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https://d.docs.live.net/d9fd4d38af88fc08/sqlبكج/"/>
    </mc:Choice>
  </mc:AlternateContent>
  <xr:revisionPtr revIDLastSave="1181" documentId="11_28AB70C43C6ADFF7B0B65396CA307BE9F409485C" xr6:coauthVersionLast="47" xr6:coauthVersionMax="47" xr10:uidLastSave="{C65C6493-0179-4503-8FD9-0495815091C8}"/>
  <bookViews>
    <workbookView xWindow="-120" yWindow="-120" windowWidth="20730" windowHeight="11160" activeTab="1" xr2:uid="{00000000-000D-0000-FFFF-FFFF00000000}"/>
  </bookViews>
  <sheets>
    <sheet name="Clean Dataset" sheetId="1" r:id="rId1"/>
    <sheet name="Summary Analysis" sheetId="2" r:id="rId2"/>
    <sheet name="Dashboard" sheetId="8" r:id="rId3"/>
  </sheets>
  <definedNames>
    <definedName name="Slicer_City">#N/A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H2" i="1"/>
  <c r="I2" i="1" s="1"/>
  <c r="H3" i="1"/>
  <c r="I3" i="1" s="1"/>
  <c r="H4" i="1"/>
  <c r="I4" i="1" s="1"/>
  <c r="H5" i="1"/>
  <c r="I5" i="1" s="1"/>
  <c r="H6" i="1"/>
  <c r="I6" i="1" s="1"/>
  <c r="H7" i="1"/>
  <c r="I7" i="1" s="1"/>
  <c r="H8" i="1"/>
  <c r="I8" i="1" s="1"/>
  <c r="H9" i="1"/>
  <c r="I9" i="1" s="1"/>
  <c r="H10" i="1"/>
  <c r="I10" i="1" s="1"/>
  <c r="H11" i="1"/>
  <c r="I11" i="1" s="1"/>
  <c r="H12" i="1"/>
  <c r="I12" i="1" s="1"/>
  <c r="H13" i="1"/>
  <c r="I13" i="1" s="1"/>
  <c r="H14" i="1"/>
  <c r="I14" i="1" s="1"/>
  <c r="H15" i="1"/>
  <c r="I15" i="1" s="1"/>
  <c r="H16" i="1"/>
  <c r="I16" i="1" s="1"/>
  <c r="H17" i="1"/>
  <c r="I17" i="1" s="1"/>
  <c r="H18" i="1"/>
  <c r="I18" i="1" s="1"/>
  <c r="H19" i="1"/>
  <c r="I19" i="1" s="1"/>
  <c r="H20" i="1"/>
  <c r="I20" i="1" s="1"/>
  <c r="H21" i="1"/>
  <c r="I21" i="1" s="1"/>
  <c r="H22" i="1"/>
  <c r="I22" i="1" s="1"/>
  <c r="H23" i="1"/>
  <c r="I23" i="1" s="1"/>
  <c r="H24" i="1"/>
  <c r="I24" i="1" s="1"/>
  <c r="H25" i="1"/>
  <c r="I25" i="1" s="1"/>
  <c r="H26" i="1"/>
  <c r="I26" i="1" s="1"/>
  <c r="H27" i="1"/>
  <c r="I27" i="1" s="1"/>
  <c r="H28" i="1"/>
  <c r="I28" i="1" s="1"/>
  <c r="H29" i="1"/>
  <c r="I29" i="1" s="1"/>
  <c r="H30" i="1"/>
  <c r="I30" i="1" s="1"/>
  <c r="H31" i="1"/>
  <c r="I31" i="1" s="1"/>
  <c r="H32" i="1"/>
  <c r="I32" i="1" s="1"/>
  <c r="H33" i="1"/>
  <c r="I33" i="1" s="1"/>
  <c r="H34" i="1"/>
  <c r="I34" i="1" s="1"/>
  <c r="H35" i="1"/>
  <c r="I35" i="1" s="1"/>
  <c r="H36" i="1"/>
  <c r="I36" i="1" s="1"/>
  <c r="H37" i="1"/>
  <c r="I37" i="1" s="1"/>
  <c r="H38" i="1"/>
  <c r="I38" i="1" s="1"/>
  <c r="H39" i="1"/>
  <c r="I39" i="1" s="1"/>
  <c r="H40" i="1"/>
  <c r="I40" i="1" s="1"/>
  <c r="H41" i="1"/>
  <c r="I41" i="1" s="1"/>
  <c r="H42" i="1"/>
  <c r="I42" i="1" s="1"/>
  <c r="H43" i="1"/>
  <c r="I43" i="1" s="1"/>
  <c r="H44" i="1"/>
  <c r="I44" i="1" s="1"/>
  <c r="H45" i="1"/>
  <c r="I45" i="1" s="1"/>
  <c r="H46" i="1"/>
  <c r="I46" i="1" s="1"/>
  <c r="H47" i="1"/>
  <c r="I47" i="1" s="1"/>
  <c r="H48" i="1"/>
  <c r="I48" i="1" s="1"/>
  <c r="H49" i="1"/>
  <c r="I49" i="1" s="1"/>
  <c r="H50" i="1"/>
  <c r="I50" i="1" s="1"/>
  <c r="H51" i="1"/>
  <c r="I51" i="1" s="1"/>
  <c r="H52" i="1"/>
  <c r="I52" i="1" s="1"/>
  <c r="H53" i="1"/>
  <c r="I53" i="1" s="1"/>
  <c r="H54" i="1"/>
  <c r="I54" i="1" s="1"/>
  <c r="H55" i="1"/>
  <c r="I55" i="1" s="1"/>
  <c r="H56" i="1"/>
  <c r="I56" i="1" s="1"/>
  <c r="H57" i="1"/>
  <c r="I57" i="1" s="1"/>
  <c r="H58" i="1"/>
  <c r="I58" i="1" s="1"/>
  <c r="H59" i="1"/>
  <c r="I59" i="1" s="1"/>
  <c r="H60" i="1"/>
  <c r="I60" i="1" s="1"/>
  <c r="H61" i="1"/>
  <c r="I61" i="1" s="1"/>
  <c r="H62" i="1"/>
  <c r="I62" i="1" s="1"/>
  <c r="H63" i="1"/>
  <c r="I63" i="1" s="1"/>
  <c r="H64" i="1"/>
  <c r="I64" i="1" s="1"/>
  <c r="H65" i="1"/>
  <c r="I65" i="1" s="1"/>
  <c r="H66" i="1"/>
  <c r="I66" i="1" s="1"/>
  <c r="H67" i="1"/>
  <c r="I67" i="1" s="1"/>
  <c r="H68" i="1"/>
  <c r="I68" i="1" s="1"/>
  <c r="H69" i="1"/>
  <c r="I69" i="1" s="1"/>
  <c r="H70" i="1"/>
  <c r="I70" i="1" s="1"/>
  <c r="H71" i="1"/>
  <c r="I71" i="1" s="1"/>
  <c r="H72" i="1"/>
  <c r="I72" i="1" s="1"/>
  <c r="H73" i="1"/>
  <c r="I73" i="1" s="1"/>
  <c r="H74" i="1"/>
  <c r="I74" i="1" s="1"/>
  <c r="H75" i="1"/>
  <c r="I75" i="1" s="1"/>
  <c r="H76" i="1"/>
  <c r="I76" i="1" s="1"/>
  <c r="H77" i="1"/>
  <c r="I77" i="1" s="1"/>
  <c r="H78" i="1"/>
  <c r="I78" i="1" s="1"/>
  <c r="H79" i="1"/>
  <c r="I79" i="1" s="1"/>
  <c r="H80" i="1"/>
  <c r="I80" i="1" s="1"/>
  <c r="H81" i="1"/>
  <c r="I81" i="1" s="1"/>
  <c r="H82" i="1"/>
  <c r="I82" i="1" s="1"/>
  <c r="H83" i="1"/>
  <c r="I83" i="1" s="1"/>
  <c r="H84" i="1"/>
  <c r="I84" i="1" s="1"/>
  <c r="H85" i="1"/>
  <c r="I85" i="1" s="1"/>
  <c r="H86" i="1"/>
  <c r="I86" i="1" s="1"/>
  <c r="H87" i="1"/>
  <c r="I87" i="1" s="1"/>
  <c r="H88" i="1"/>
  <c r="I88" i="1" s="1"/>
  <c r="H89" i="1"/>
  <c r="I89" i="1" s="1"/>
  <c r="H90" i="1"/>
  <c r="I90" i="1" s="1"/>
  <c r="H91" i="1"/>
  <c r="I91" i="1" s="1"/>
  <c r="H92" i="1"/>
  <c r="I92" i="1" s="1"/>
  <c r="H93" i="1"/>
  <c r="I93" i="1" s="1"/>
  <c r="H94" i="1"/>
  <c r="I94" i="1" s="1"/>
  <c r="H95" i="1"/>
  <c r="I95" i="1" s="1"/>
  <c r="H96" i="1"/>
  <c r="I96" i="1" s="1"/>
  <c r="H97" i="1"/>
  <c r="I97" i="1" s="1"/>
  <c r="H98" i="1"/>
  <c r="I98" i="1" s="1"/>
  <c r="H99" i="1"/>
  <c r="I99" i="1" s="1"/>
  <c r="H100" i="1"/>
  <c r="I100" i="1" s="1"/>
  <c r="H101" i="1"/>
  <c r="I101" i="1" s="1"/>
  <c r="H102" i="1"/>
  <c r="I102" i="1" s="1"/>
  <c r="H103" i="1"/>
  <c r="I103" i="1" s="1"/>
  <c r="H104" i="1"/>
  <c r="I104" i="1" s="1"/>
  <c r="H105" i="1"/>
  <c r="I105" i="1" s="1"/>
  <c r="H106" i="1"/>
  <c r="I106" i="1" s="1"/>
  <c r="H107" i="1"/>
  <c r="I107" i="1" s="1"/>
  <c r="H108" i="1"/>
  <c r="I108" i="1" s="1"/>
  <c r="H109" i="1"/>
  <c r="I109" i="1" s="1"/>
  <c r="H110" i="1"/>
  <c r="I110" i="1" s="1"/>
  <c r="H111" i="1"/>
  <c r="I111" i="1" s="1"/>
  <c r="H112" i="1"/>
  <c r="I112" i="1" s="1"/>
  <c r="H113" i="1"/>
  <c r="I113" i="1" s="1"/>
  <c r="H114" i="1"/>
  <c r="I114" i="1" s="1"/>
  <c r="H115" i="1"/>
  <c r="I115" i="1" s="1"/>
  <c r="H116" i="1"/>
  <c r="I116" i="1" s="1"/>
  <c r="H117" i="1"/>
  <c r="I117" i="1" s="1"/>
  <c r="H118" i="1"/>
  <c r="I118" i="1" s="1"/>
  <c r="H119" i="1"/>
  <c r="I119" i="1" s="1"/>
  <c r="H120" i="1"/>
  <c r="I120" i="1" s="1"/>
  <c r="H121" i="1"/>
  <c r="I121" i="1" s="1"/>
  <c r="H122" i="1"/>
  <c r="I122" i="1" s="1"/>
  <c r="H123" i="1"/>
  <c r="I123" i="1" s="1"/>
  <c r="H124" i="1"/>
  <c r="I124" i="1" s="1"/>
  <c r="H125" i="1"/>
  <c r="I125" i="1" s="1"/>
  <c r="H126" i="1"/>
  <c r="I126" i="1" s="1"/>
  <c r="H127" i="1"/>
  <c r="I127" i="1" s="1"/>
  <c r="H128" i="1"/>
  <c r="I128" i="1" s="1"/>
  <c r="H129" i="1"/>
  <c r="I129" i="1" s="1"/>
  <c r="H130" i="1"/>
  <c r="I130" i="1" s="1"/>
  <c r="H131" i="1"/>
  <c r="I131" i="1" s="1"/>
  <c r="H132" i="1"/>
  <c r="I132" i="1" s="1"/>
  <c r="H133" i="1"/>
  <c r="I133" i="1" s="1"/>
  <c r="H134" i="1"/>
  <c r="I134" i="1" s="1"/>
  <c r="H135" i="1"/>
  <c r="I135" i="1" s="1"/>
  <c r="H136" i="1"/>
  <c r="I136" i="1" s="1"/>
  <c r="H137" i="1"/>
  <c r="I137" i="1" s="1"/>
  <c r="H138" i="1"/>
  <c r="I138" i="1" s="1"/>
  <c r="H139" i="1"/>
  <c r="I139" i="1" s="1"/>
  <c r="H140" i="1"/>
  <c r="I140" i="1" s="1"/>
  <c r="H141" i="1"/>
  <c r="I141" i="1" s="1"/>
  <c r="H142" i="1"/>
  <c r="I142" i="1" s="1"/>
  <c r="H143" i="1"/>
  <c r="I143" i="1" s="1"/>
  <c r="H144" i="1"/>
  <c r="I144" i="1" s="1"/>
  <c r="H145" i="1"/>
  <c r="I145" i="1" s="1"/>
  <c r="H146" i="1"/>
  <c r="I146" i="1" s="1"/>
  <c r="H147" i="1"/>
  <c r="I147" i="1" s="1"/>
  <c r="H148" i="1"/>
  <c r="I148" i="1" s="1"/>
  <c r="H149" i="1"/>
  <c r="I149" i="1" s="1"/>
  <c r="H150" i="1"/>
  <c r="I150" i="1" s="1"/>
  <c r="H151" i="1"/>
  <c r="I151" i="1" s="1"/>
  <c r="H152" i="1"/>
  <c r="I152" i="1" s="1"/>
  <c r="H153" i="1"/>
  <c r="I153" i="1" s="1"/>
  <c r="H154" i="1"/>
  <c r="I154" i="1" s="1"/>
  <c r="H155" i="1"/>
  <c r="I155" i="1" s="1"/>
  <c r="H156" i="1"/>
  <c r="I156" i="1" s="1"/>
  <c r="H157" i="1"/>
  <c r="I157" i="1" s="1"/>
  <c r="H158" i="1"/>
  <c r="I158" i="1" s="1"/>
  <c r="H159" i="1"/>
  <c r="I159" i="1" s="1"/>
  <c r="H160" i="1"/>
  <c r="I160" i="1" s="1"/>
  <c r="H161" i="1"/>
  <c r="I161" i="1" s="1"/>
  <c r="H162" i="1"/>
  <c r="I162" i="1" s="1"/>
  <c r="H163" i="1"/>
  <c r="I163" i="1" s="1"/>
  <c r="H164" i="1"/>
  <c r="I164" i="1" s="1"/>
  <c r="H165" i="1"/>
  <c r="I165" i="1" s="1"/>
  <c r="H166" i="1"/>
  <c r="I166" i="1" s="1"/>
  <c r="H167" i="1"/>
  <c r="I167" i="1" s="1"/>
  <c r="H168" i="1"/>
  <c r="I168" i="1" s="1"/>
  <c r="H169" i="1"/>
  <c r="I169" i="1" s="1"/>
  <c r="H170" i="1"/>
  <c r="I170" i="1" s="1"/>
  <c r="H171" i="1"/>
  <c r="I171" i="1" s="1"/>
  <c r="H172" i="1"/>
  <c r="I172" i="1" s="1"/>
  <c r="H173" i="1"/>
  <c r="I173" i="1" s="1"/>
  <c r="H174" i="1"/>
  <c r="I174" i="1" s="1"/>
  <c r="H175" i="1"/>
  <c r="I175" i="1" s="1"/>
  <c r="H176" i="1"/>
  <c r="I176" i="1" s="1"/>
  <c r="H177" i="1"/>
  <c r="I177" i="1" s="1"/>
  <c r="H178" i="1"/>
  <c r="I178" i="1" s="1"/>
  <c r="H179" i="1"/>
  <c r="I179" i="1" s="1"/>
  <c r="H180" i="1"/>
  <c r="I180" i="1" s="1"/>
  <c r="H181" i="1"/>
  <c r="I181" i="1" s="1"/>
  <c r="H182" i="1"/>
  <c r="I182" i="1" s="1"/>
  <c r="H183" i="1"/>
  <c r="I183" i="1" s="1"/>
  <c r="H184" i="1"/>
  <c r="I184" i="1" s="1"/>
  <c r="H185" i="1"/>
  <c r="I185" i="1" s="1"/>
  <c r="H186" i="1"/>
  <c r="I186" i="1" s="1"/>
  <c r="H187" i="1"/>
  <c r="I187" i="1" s="1"/>
  <c r="H188" i="1"/>
  <c r="I188" i="1" s="1"/>
  <c r="H189" i="1"/>
  <c r="I189" i="1" s="1"/>
  <c r="H190" i="1"/>
  <c r="I190" i="1" s="1"/>
  <c r="H191" i="1"/>
  <c r="I191" i="1" s="1"/>
  <c r="H192" i="1"/>
  <c r="I192" i="1" s="1"/>
  <c r="H193" i="1"/>
  <c r="I193" i="1" s="1"/>
  <c r="H194" i="1"/>
  <c r="I194" i="1" s="1"/>
  <c r="H195" i="1"/>
  <c r="I195" i="1" s="1"/>
  <c r="H196" i="1"/>
  <c r="I196" i="1" s="1"/>
  <c r="H197" i="1"/>
  <c r="I197" i="1" s="1"/>
  <c r="H198" i="1"/>
  <c r="I198" i="1" s="1"/>
  <c r="H199" i="1"/>
  <c r="I199" i="1" s="1"/>
  <c r="H200" i="1"/>
  <c r="I200" i="1" s="1"/>
  <c r="H201" i="1"/>
  <c r="I201" i="1" s="1"/>
  <c r="H202" i="1"/>
  <c r="I202" i="1" s="1"/>
  <c r="H203" i="1"/>
  <c r="I203" i="1" s="1"/>
  <c r="H204" i="1"/>
  <c r="I204" i="1" s="1"/>
  <c r="H205" i="1"/>
  <c r="I205" i="1" s="1"/>
  <c r="H206" i="1"/>
  <c r="I206" i="1" s="1"/>
  <c r="H207" i="1"/>
  <c r="I207" i="1" s="1"/>
  <c r="H208" i="1"/>
  <c r="I208" i="1" s="1"/>
  <c r="H209" i="1"/>
  <c r="I209" i="1" s="1"/>
  <c r="H210" i="1"/>
  <c r="I210" i="1" s="1"/>
  <c r="H211" i="1"/>
  <c r="I211" i="1" s="1"/>
  <c r="H212" i="1"/>
  <c r="I212" i="1" s="1"/>
  <c r="H213" i="1"/>
  <c r="I213" i="1" s="1"/>
  <c r="H214" i="1"/>
  <c r="I214" i="1" s="1"/>
  <c r="H215" i="1"/>
  <c r="I215" i="1" s="1"/>
  <c r="H216" i="1"/>
  <c r="I216" i="1" s="1"/>
  <c r="H217" i="1"/>
  <c r="I217" i="1" s="1"/>
  <c r="H218" i="1"/>
  <c r="I218" i="1" s="1"/>
  <c r="H219" i="1"/>
  <c r="I219" i="1" s="1"/>
  <c r="H220" i="1"/>
  <c r="I220" i="1" s="1"/>
  <c r="H221" i="1"/>
  <c r="I221" i="1" s="1"/>
  <c r="H222" i="1"/>
  <c r="I222" i="1" s="1"/>
  <c r="H223" i="1"/>
  <c r="I223" i="1" s="1"/>
  <c r="H224" i="1"/>
  <c r="I224" i="1" s="1"/>
  <c r="H225" i="1"/>
  <c r="I225" i="1" s="1"/>
  <c r="H226" i="1"/>
  <c r="I226" i="1" s="1"/>
  <c r="H227" i="1"/>
  <c r="I227" i="1" s="1"/>
  <c r="H228" i="1"/>
  <c r="I228" i="1" s="1"/>
  <c r="H229" i="1"/>
  <c r="I229" i="1" s="1"/>
  <c r="H230" i="1"/>
  <c r="I230" i="1" s="1"/>
  <c r="H231" i="1"/>
  <c r="I231" i="1" s="1"/>
  <c r="H232" i="1"/>
  <c r="I232" i="1" s="1"/>
  <c r="H233" i="1"/>
  <c r="I233" i="1" s="1"/>
  <c r="H234" i="1"/>
  <c r="I234" i="1" s="1"/>
  <c r="H235" i="1"/>
  <c r="I235" i="1" s="1"/>
  <c r="H236" i="1"/>
  <c r="I236" i="1" s="1"/>
  <c r="H237" i="1"/>
  <c r="I237" i="1" s="1"/>
  <c r="H238" i="1"/>
  <c r="I238" i="1" s="1"/>
  <c r="H239" i="1"/>
  <c r="I239" i="1" s="1"/>
  <c r="H240" i="1"/>
  <c r="I240" i="1" s="1"/>
  <c r="H241" i="1"/>
  <c r="I241" i="1" s="1"/>
  <c r="H242" i="1"/>
  <c r="I242" i="1" s="1"/>
  <c r="H243" i="1"/>
  <c r="I243" i="1" s="1"/>
  <c r="H244" i="1"/>
  <c r="I244" i="1" s="1"/>
  <c r="H245" i="1"/>
  <c r="I245" i="1" s="1"/>
  <c r="H246" i="1"/>
  <c r="I246" i="1" s="1"/>
  <c r="H247" i="1"/>
  <c r="I247" i="1" s="1"/>
  <c r="H248" i="1"/>
  <c r="I248" i="1" s="1"/>
  <c r="H249" i="1"/>
  <c r="I249" i="1" s="1"/>
  <c r="H250" i="1"/>
  <c r="I250" i="1" s="1"/>
  <c r="H251" i="1"/>
  <c r="I251" i="1" s="1"/>
  <c r="H252" i="1"/>
  <c r="I252" i="1" s="1"/>
  <c r="H253" i="1"/>
  <c r="I253" i="1" s="1"/>
  <c r="H254" i="1"/>
  <c r="I254" i="1" s="1"/>
  <c r="H255" i="1"/>
  <c r="I255" i="1" s="1"/>
  <c r="H256" i="1"/>
  <c r="I256" i="1" s="1"/>
  <c r="H257" i="1"/>
  <c r="I257" i="1" s="1"/>
  <c r="H258" i="1"/>
  <c r="I258" i="1" s="1"/>
  <c r="H259" i="1"/>
  <c r="I259" i="1" s="1"/>
  <c r="H260" i="1"/>
  <c r="I260" i="1" s="1"/>
  <c r="H261" i="1"/>
  <c r="I261" i="1" s="1"/>
  <c r="H262" i="1"/>
  <c r="I262" i="1" s="1"/>
  <c r="H263" i="1"/>
  <c r="I263" i="1" s="1"/>
  <c r="H264" i="1"/>
  <c r="I264" i="1" s="1"/>
  <c r="H265" i="1"/>
  <c r="I265" i="1" s="1"/>
  <c r="H266" i="1"/>
  <c r="I266" i="1" s="1"/>
  <c r="H267" i="1"/>
  <c r="I267" i="1" s="1"/>
  <c r="H268" i="1"/>
  <c r="I268" i="1" s="1"/>
  <c r="H269" i="1"/>
  <c r="I269" i="1" s="1"/>
  <c r="H270" i="1"/>
  <c r="I270" i="1" s="1"/>
  <c r="H271" i="1"/>
  <c r="I271" i="1" s="1"/>
  <c r="H272" i="1"/>
  <c r="I272" i="1" s="1"/>
  <c r="H273" i="1"/>
  <c r="I273" i="1" s="1"/>
  <c r="H274" i="1"/>
  <c r="I274" i="1" s="1"/>
  <c r="H275" i="1"/>
  <c r="I275" i="1" s="1"/>
  <c r="H276" i="1"/>
  <c r="I276" i="1" s="1"/>
  <c r="H277" i="1"/>
  <c r="I277" i="1" s="1"/>
  <c r="H278" i="1"/>
  <c r="I278" i="1" s="1"/>
  <c r="H279" i="1"/>
  <c r="I279" i="1" s="1"/>
  <c r="H280" i="1"/>
  <c r="I280" i="1" s="1"/>
  <c r="H281" i="1"/>
  <c r="I281" i="1" s="1"/>
  <c r="H282" i="1"/>
  <c r="I282" i="1" s="1"/>
  <c r="H283" i="1"/>
  <c r="I283" i="1" s="1"/>
  <c r="H284" i="1"/>
  <c r="I284" i="1" s="1"/>
  <c r="H285" i="1"/>
  <c r="I285" i="1" s="1"/>
  <c r="H286" i="1"/>
  <c r="I286" i="1" s="1"/>
  <c r="H287" i="1"/>
  <c r="I287" i="1" s="1"/>
  <c r="H288" i="1"/>
  <c r="I288" i="1" s="1"/>
  <c r="H289" i="1"/>
  <c r="I289" i="1" s="1"/>
  <c r="H290" i="1"/>
  <c r="I290" i="1" s="1"/>
  <c r="H291" i="1"/>
  <c r="I291" i="1" s="1"/>
  <c r="H292" i="1"/>
  <c r="I292" i="1" s="1"/>
  <c r="H293" i="1"/>
  <c r="I293" i="1" s="1"/>
  <c r="H294" i="1"/>
  <c r="I294" i="1" s="1"/>
  <c r="H295" i="1"/>
  <c r="I295" i="1" s="1"/>
  <c r="H296" i="1"/>
  <c r="I296" i="1" s="1"/>
  <c r="H297" i="1"/>
  <c r="I297" i="1" s="1"/>
  <c r="H298" i="1"/>
  <c r="I298" i="1" s="1"/>
  <c r="H299" i="1"/>
  <c r="I299" i="1" s="1"/>
  <c r="H300" i="1"/>
  <c r="I300" i="1" s="1"/>
  <c r="H301" i="1"/>
  <c r="I301" i="1" s="1"/>
  <c r="H302" i="1"/>
  <c r="I302" i="1" s="1"/>
  <c r="H303" i="1"/>
  <c r="I303" i="1" s="1"/>
  <c r="H304" i="1"/>
  <c r="I304" i="1" s="1"/>
  <c r="H305" i="1"/>
  <c r="I305" i="1" s="1"/>
  <c r="H306" i="1"/>
  <c r="I306" i="1" s="1"/>
  <c r="H307" i="1"/>
  <c r="I307" i="1" s="1"/>
  <c r="H308" i="1"/>
  <c r="I308" i="1" s="1"/>
  <c r="H309" i="1"/>
  <c r="I309" i="1" s="1"/>
  <c r="H310" i="1"/>
  <c r="I310" i="1" s="1"/>
  <c r="H311" i="1"/>
  <c r="I311" i="1" s="1"/>
  <c r="H312" i="1"/>
  <c r="I312" i="1" s="1"/>
  <c r="H313" i="1"/>
  <c r="I313" i="1" s="1"/>
  <c r="H314" i="1"/>
  <c r="I314" i="1" s="1"/>
  <c r="H315" i="1"/>
  <c r="I315" i="1" s="1"/>
  <c r="H316" i="1"/>
  <c r="I316" i="1" s="1"/>
  <c r="H317" i="1"/>
  <c r="I317" i="1" s="1"/>
  <c r="H318" i="1"/>
  <c r="I318" i="1" s="1"/>
  <c r="H319" i="1"/>
  <c r="I319" i="1" s="1"/>
  <c r="H320" i="1"/>
  <c r="I320" i="1" s="1"/>
  <c r="H321" i="1"/>
  <c r="I321" i="1" s="1"/>
  <c r="H322" i="1"/>
  <c r="I322" i="1" s="1"/>
  <c r="H323" i="1"/>
  <c r="I323" i="1" s="1"/>
  <c r="H324" i="1"/>
  <c r="I324" i="1" s="1"/>
  <c r="H325" i="1"/>
  <c r="I325" i="1" s="1"/>
  <c r="H326" i="1"/>
  <c r="I326" i="1" s="1"/>
  <c r="H327" i="1"/>
  <c r="I327" i="1" s="1"/>
  <c r="H328" i="1"/>
  <c r="I328" i="1" s="1"/>
  <c r="H329" i="1"/>
  <c r="I329" i="1" s="1"/>
  <c r="H330" i="1"/>
  <c r="I330" i="1" s="1"/>
  <c r="H331" i="1"/>
  <c r="I331" i="1" s="1"/>
  <c r="H332" i="1"/>
  <c r="I332" i="1" s="1"/>
  <c r="H333" i="1"/>
  <c r="I333" i="1" s="1"/>
  <c r="H334" i="1"/>
  <c r="I334" i="1" s="1"/>
  <c r="H335" i="1"/>
  <c r="I335" i="1" s="1"/>
  <c r="H336" i="1"/>
  <c r="I336" i="1" s="1"/>
  <c r="H337" i="1"/>
  <c r="I337" i="1" s="1"/>
  <c r="H338" i="1"/>
  <c r="I338" i="1" s="1"/>
  <c r="H339" i="1"/>
  <c r="I339" i="1" s="1"/>
  <c r="H340" i="1"/>
  <c r="I340" i="1" s="1"/>
  <c r="H341" i="1"/>
  <c r="I341" i="1" s="1"/>
  <c r="H342" i="1"/>
  <c r="I342" i="1" s="1"/>
  <c r="H343" i="1"/>
  <c r="I343" i="1" s="1"/>
  <c r="H344" i="1"/>
  <c r="I344" i="1" s="1"/>
  <c r="H345" i="1"/>
  <c r="I345" i="1" s="1"/>
  <c r="H346" i="1"/>
  <c r="I346" i="1" s="1"/>
  <c r="H347" i="1"/>
  <c r="I347" i="1" s="1"/>
  <c r="H348" i="1"/>
  <c r="I348" i="1" s="1"/>
  <c r="H349" i="1"/>
  <c r="I349" i="1" s="1"/>
  <c r="H350" i="1"/>
  <c r="I350" i="1" s="1"/>
  <c r="H351" i="1"/>
  <c r="I351" i="1" s="1"/>
  <c r="H352" i="1"/>
  <c r="I352" i="1" s="1"/>
  <c r="H353" i="1"/>
  <c r="I353" i="1" s="1"/>
  <c r="H354" i="1"/>
  <c r="I354" i="1" s="1"/>
  <c r="H355" i="1"/>
  <c r="I355" i="1" s="1"/>
  <c r="H356" i="1"/>
  <c r="I356" i="1" s="1"/>
  <c r="H357" i="1"/>
  <c r="I357" i="1" s="1"/>
  <c r="H358" i="1"/>
  <c r="I358" i="1" s="1"/>
  <c r="H359" i="1"/>
  <c r="I359" i="1" s="1"/>
  <c r="H360" i="1"/>
  <c r="I360" i="1" s="1"/>
  <c r="H361" i="1"/>
  <c r="I361" i="1" s="1"/>
  <c r="H362" i="1"/>
  <c r="I362" i="1" s="1"/>
  <c r="H363" i="1"/>
  <c r="I363" i="1" s="1"/>
  <c r="H364" i="1"/>
  <c r="I364" i="1" s="1"/>
  <c r="H365" i="1"/>
  <c r="I365" i="1" s="1"/>
  <c r="H366" i="1"/>
  <c r="I366" i="1" s="1"/>
  <c r="H367" i="1"/>
  <c r="I367" i="1" s="1"/>
  <c r="H368" i="1"/>
  <c r="I368" i="1" s="1"/>
  <c r="H369" i="1"/>
  <c r="I369" i="1" s="1"/>
  <c r="H370" i="1"/>
  <c r="I370" i="1" s="1"/>
  <c r="H371" i="1"/>
  <c r="I371" i="1" s="1"/>
  <c r="H372" i="1"/>
  <c r="I372" i="1" s="1"/>
  <c r="H373" i="1"/>
  <c r="I373" i="1" s="1"/>
  <c r="H374" i="1"/>
  <c r="I374" i="1" s="1"/>
  <c r="H375" i="1"/>
  <c r="I375" i="1" s="1"/>
  <c r="H376" i="1"/>
  <c r="I376" i="1" s="1"/>
  <c r="H377" i="1"/>
  <c r="I377" i="1" s="1"/>
  <c r="H378" i="1"/>
  <c r="I378" i="1" s="1"/>
  <c r="H379" i="1"/>
  <c r="I379" i="1" s="1"/>
  <c r="H380" i="1"/>
  <c r="I380" i="1" s="1"/>
  <c r="H381" i="1"/>
  <c r="I381" i="1" s="1"/>
  <c r="H382" i="1"/>
  <c r="I382" i="1" s="1"/>
  <c r="H383" i="1"/>
  <c r="I383" i="1" s="1"/>
  <c r="H384" i="1"/>
  <c r="I384" i="1" s="1"/>
  <c r="H385" i="1"/>
  <c r="I385" i="1" s="1"/>
  <c r="H386" i="1"/>
  <c r="I386" i="1" s="1"/>
  <c r="H387" i="1"/>
  <c r="I387" i="1" s="1"/>
  <c r="H388" i="1"/>
  <c r="I388" i="1" s="1"/>
  <c r="H389" i="1"/>
  <c r="I389" i="1" s="1"/>
  <c r="H390" i="1"/>
  <c r="I390" i="1" s="1"/>
  <c r="H391" i="1"/>
  <c r="I391" i="1" s="1"/>
  <c r="H392" i="1"/>
  <c r="I392" i="1" s="1"/>
  <c r="H393" i="1"/>
  <c r="I393" i="1" s="1"/>
  <c r="H394" i="1"/>
  <c r="I394" i="1" s="1"/>
  <c r="H395" i="1"/>
  <c r="I395" i="1" s="1"/>
  <c r="H396" i="1"/>
  <c r="I396" i="1" s="1"/>
  <c r="H397" i="1"/>
  <c r="I397" i="1" s="1"/>
  <c r="H398" i="1"/>
  <c r="I398" i="1" s="1"/>
  <c r="H399" i="1"/>
  <c r="I399" i="1" s="1"/>
  <c r="H400" i="1"/>
  <c r="I400" i="1" s="1"/>
  <c r="H401" i="1"/>
  <c r="I401" i="1" s="1"/>
  <c r="H402" i="1"/>
  <c r="I402" i="1" s="1"/>
  <c r="H403" i="1"/>
  <c r="I403" i="1" s="1"/>
  <c r="H404" i="1"/>
  <c r="I404" i="1" s="1"/>
  <c r="H405" i="1"/>
  <c r="I405" i="1" s="1"/>
  <c r="H406" i="1"/>
  <c r="I406" i="1" s="1"/>
  <c r="H407" i="1"/>
  <c r="I407" i="1" s="1"/>
  <c r="H408" i="1"/>
  <c r="I408" i="1" s="1"/>
  <c r="H409" i="1"/>
  <c r="I409" i="1" s="1"/>
  <c r="H410" i="1"/>
  <c r="I410" i="1" s="1"/>
  <c r="H411" i="1"/>
  <c r="I411" i="1" s="1"/>
  <c r="H412" i="1"/>
  <c r="I412" i="1" s="1"/>
  <c r="H413" i="1"/>
  <c r="I413" i="1" s="1"/>
  <c r="H414" i="1"/>
  <c r="I414" i="1" s="1"/>
  <c r="H415" i="1"/>
  <c r="I415" i="1" s="1"/>
  <c r="H416" i="1"/>
  <c r="I416" i="1" s="1"/>
  <c r="H417" i="1"/>
  <c r="I417" i="1" s="1"/>
  <c r="H418" i="1"/>
  <c r="I418" i="1" s="1"/>
  <c r="H419" i="1"/>
  <c r="I419" i="1" s="1"/>
  <c r="H420" i="1"/>
  <c r="I420" i="1" s="1"/>
  <c r="H421" i="1"/>
  <c r="I421" i="1" s="1"/>
  <c r="H422" i="1"/>
  <c r="I422" i="1" s="1"/>
  <c r="H423" i="1"/>
  <c r="I423" i="1" s="1"/>
  <c r="H424" i="1"/>
  <c r="I424" i="1" s="1"/>
  <c r="H425" i="1"/>
  <c r="I425" i="1" s="1"/>
  <c r="H426" i="1"/>
  <c r="I426" i="1" s="1"/>
  <c r="H427" i="1"/>
  <c r="I427" i="1" s="1"/>
  <c r="H428" i="1"/>
  <c r="I428" i="1" s="1"/>
  <c r="H429" i="1"/>
  <c r="I429" i="1" s="1"/>
  <c r="H430" i="1"/>
  <c r="I430" i="1" s="1"/>
  <c r="H431" i="1"/>
  <c r="I431" i="1" s="1"/>
  <c r="H432" i="1"/>
  <c r="I432" i="1" s="1"/>
  <c r="H433" i="1"/>
  <c r="I433" i="1" s="1"/>
  <c r="H434" i="1"/>
  <c r="I434" i="1" s="1"/>
  <c r="H435" i="1"/>
  <c r="I435" i="1" s="1"/>
  <c r="H436" i="1"/>
  <c r="I436" i="1" s="1"/>
  <c r="H437" i="1"/>
  <c r="I437" i="1" s="1"/>
  <c r="H438" i="1"/>
  <c r="I438" i="1" s="1"/>
  <c r="H439" i="1"/>
  <c r="I439" i="1" s="1"/>
  <c r="H440" i="1"/>
  <c r="I440" i="1" s="1"/>
  <c r="H441" i="1"/>
  <c r="I441" i="1" s="1"/>
  <c r="H442" i="1"/>
  <c r="I442" i="1" s="1"/>
  <c r="H443" i="1"/>
  <c r="I443" i="1" s="1"/>
  <c r="H444" i="1"/>
  <c r="I444" i="1" s="1"/>
  <c r="H445" i="1"/>
  <c r="I445" i="1" s="1"/>
  <c r="H446" i="1"/>
  <c r="I446" i="1" s="1"/>
  <c r="H447" i="1"/>
  <c r="I447" i="1" s="1"/>
  <c r="H448" i="1"/>
  <c r="I448" i="1" s="1"/>
  <c r="H449" i="1"/>
  <c r="I449" i="1" s="1"/>
  <c r="H450" i="1"/>
  <c r="I450" i="1" s="1"/>
  <c r="H451" i="1"/>
  <c r="I451" i="1" s="1"/>
  <c r="H452" i="1"/>
  <c r="I452" i="1" s="1"/>
  <c r="H453" i="1"/>
  <c r="I453" i="1" s="1"/>
  <c r="H454" i="1"/>
  <c r="I454" i="1" s="1"/>
  <c r="H455" i="1"/>
  <c r="I455" i="1" s="1"/>
  <c r="H456" i="1"/>
  <c r="I456" i="1" s="1"/>
  <c r="H457" i="1"/>
  <c r="I457" i="1" s="1"/>
  <c r="H458" i="1"/>
  <c r="I458" i="1" s="1"/>
  <c r="H459" i="1"/>
  <c r="I459" i="1" s="1"/>
  <c r="H460" i="1"/>
  <c r="I460" i="1" s="1"/>
  <c r="H461" i="1"/>
  <c r="I461" i="1" s="1"/>
  <c r="H462" i="1"/>
  <c r="I462" i="1" s="1"/>
  <c r="H463" i="1"/>
  <c r="I463" i="1" s="1"/>
  <c r="H464" i="1"/>
  <c r="I464" i="1" s="1"/>
  <c r="H465" i="1"/>
  <c r="I465" i="1" s="1"/>
  <c r="H466" i="1"/>
  <c r="I466" i="1" s="1"/>
  <c r="H467" i="1"/>
  <c r="I467" i="1" s="1"/>
  <c r="H468" i="1"/>
  <c r="I468" i="1" s="1"/>
  <c r="H469" i="1"/>
  <c r="I469" i="1" s="1"/>
  <c r="H470" i="1"/>
  <c r="I470" i="1" s="1"/>
  <c r="H471" i="1"/>
  <c r="I471" i="1" s="1"/>
  <c r="H472" i="1"/>
  <c r="I472" i="1" s="1"/>
  <c r="H473" i="1"/>
  <c r="I473" i="1" s="1"/>
  <c r="H474" i="1"/>
  <c r="I474" i="1" s="1"/>
  <c r="H475" i="1"/>
  <c r="I475" i="1" s="1"/>
  <c r="H476" i="1"/>
  <c r="I476" i="1" s="1"/>
  <c r="H477" i="1"/>
  <c r="I477" i="1" s="1"/>
  <c r="H478" i="1"/>
  <c r="I478" i="1" s="1"/>
  <c r="H479" i="1"/>
  <c r="I479" i="1" s="1"/>
  <c r="H480" i="1"/>
  <c r="I480" i="1" s="1"/>
  <c r="H481" i="1"/>
  <c r="I481" i="1" s="1"/>
  <c r="H482" i="1"/>
  <c r="I482" i="1" s="1"/>
  <c r="H483" i="1"/>
  <c r="I483" i="1" s="1"/>
  <c r="H484" i="1"/>
  <c r="I484" i="1" s="1"/>
  <c r="H485" i="1"/>
  <c r="I485" i="1" s="1"/>
  <c r="H486" i="1"/>
  <c r="I486" i="1" s="1"/>
  <c r="H487" i="1"/>
  <c r="I487" i="1" s="1"/>
  <c r="H488" i="1"/>
  <c r="I488" i="1" s="1"/>
  <c r="H489" i="1"/>
  <c r="I489" i="1" s="1"/>
  <c r="H490" i="1"/>
  <c r="I490" i="1" s="1"/>
  <c r="H491" i="1"/>
  <c r="I491" i="1" s="1"/>
  <c r="H492" i="1"/>
  <c r="I492" i="1" s="1"/>
  <c r="H493" i="1"/>
  <c r="I493" i="1" s="1"/>
  <c r="H494" i="1"/>
  <c r="I494" i="1" s="1"/>
  <c r="H495" i="1"/>
  <c r="I495" i="1" s="1"/>
  <c r="H496" i="1"/>
  <c r="I496" i="1" s="1"/>
  <c r="H497" i="1"/>
  <c r="I497" i="1" s="1"/>
  <c r="H498" i="1"/>
  <c r="I498" i="1" s="1"/>
  <c r="H499" i="1"/>
  <c r="I499" i="1" s="1"/>
  <c r="H500" i="1"/>
  <c r="I500" i="1" s="1"/>
  <c r="H501" i="1"/>
  <c r="I501" i="1" s="1"/>
  <c r="H502" i="1"/>
  <c r="I502" i="1" s="1"/>
  <c r="H503" i="1"/>
  <c r="I503" i="1" s="1"/>
  <c r="H504" i="1"/>
  <c r="I504" i="1" s="1"/>
  <c r="H505" i="1"/>
  <c r="I505" i="1" s="1"/>
  <c r="H506" i="1"/>
  <c r="I506" i="1" s="1"/>
  <c r="H507" i="1"/>
  <c r="I507" i="1" s="1"/>
  <c r="H508" i="1"/>
  <c r="I508" i="1" s="1"/>
  <c r="H509" i="1"/>
  <c r="I509" i="1" s="1"/>
  <c r="H510" i="1"/>
  <c r="I510" i="1" s="1"/>
  <c r="H511" i="1"/>
  <c r="I511" i="1" s="1"/>
  <c r="H512" i="1"/>
  <c r="I512" i="1" s="1"/>
  <c r="H513" i="1"/>
  <c r="I513" i="1" s="1"/>
  <c r="H514" i="1"/>
  <c r="I514" i="1" s="1"/>
  <c r="H515" i="1"/>
  <c r="I515" i="1" s="1"/>
  <c r="H516" i="1"/>
  <c r="I516" i="1" s="1"/>
  <c r="H517" i="1"/>
  <c r="I517" i="1" s="1"/>
  <c r="H518" i="1"/>
  <c r="I518" i="1" s="1"/>
  <c r="H519" i="1"/>
  <c r="I519" i="1" s="1"/>
  <c r="H520" i="1"/>
  <c r="I520" i="1" s="1"/>
  <c r="H521" i="1"/>
  <c r="I521" i="1" s="1"/>
  <c r="H522" i="1"/>
  <c r="I522" i="1" s="1"/>
  <c r="H523" i="1"/>
  <c r="I523" i="1" s="1"/>
  <c r="H524" i="1"/>
  <c r="I524" i="1" s="1"/>
  <c r="H525" i="1"/>
  <c r="I525" i="1" s="1"/>
  <c r="H526" i="1"/>
  <c r="I526" i="1" s="1"/>
  <c r="H527" i="1"/>
  <c r="I527" i="1" s="1"/>
  <c r="H528" i="1"/>
  <c r="I528" i="1" s="1"/>
  <c r="H529" i="1"/>
  <c r="I529" i="1" s="1"/>
  <c r="H530" i="1"/>
  <c r="I530" i="1" s="1"/>
  <c r="H531" i="1"/>
  <c r="I531" i="1" s="1"/>
  <c r="H532" i="1"/>
  <c r="I532" i="1" s="1"/>
  <c r="H533" i="1"/>
  <c r="I533" i="1" s="1"/>
  <c r="H534" i="1"/>
  <c r="I534" i="1" s="1"/>
  <c r="H535" i="1"/>
  <c r="I535" i="1" s="1"/>
  <c r="H536" i="1"/>
  <c r="I536" i="1" s="1"/>
  <c r="H537" i="1"/>
  <c r="I537" i="1" s="1"/>
  <c r="H538" i="1"/>
  <c r="I538" i="1" s="1"/>
  <c r="H539" i="1"/>
  <c r="I539" i="1" s="1"/>
  <c r="H540" i="1"/>
  <c r="I540" i="1" s="1"/>
  <c r="H541" i="1"/>
  <c r="I541" i="1" s="1"/>
  <c r="H542" i="1"/>
  <c r="I542" i="1" s="1"/>
  <c r="H543" i="1"/>
  <c r="I543" i="1" s="1"/>
  <c r="H544" i="1"/>
  <c r="I544" i="1" s="1"/>
  <c r="H545" i="1"/>
  <c r="I545" i="1" s="1"/>
  <c r="H546" i="1"/>
  <c r="I546" i="1" s="1"/>
  <c r="H547" i="1"/>
  <c r="I547" i="1" s="1"/>
  <c r="H548" i="1"/>
  <c r="I548" i="1" s="1"/>
  <c r="H549" i="1"/>
  <c r="I549" i="1" s="1"/>
  <c r="H550" i="1"/>
  <c r="I550" i="1" s="1"/>
  <c r="H551" i="1"/>
  <c r="I551" i="1" s="1"/>
  <c r="H552" i="1"/>
  <c r="I552" i="1" s="1"/>
  <c r="H553" i="1"/>
  <c r="I553" i="1" s="1"/>
  <c r="H554" i="1"/>
  <c r="I554" i="1" s="1"/>
  <c r="H555" i="1"/>
  <c r="I555" i="1" s="1"/>
  <c r="H556" i="1"/>
  <c r="I556" i="1" s="1"/>
  <c r="H557" i="1"/>
  <c r="I557" i="1" s="1"/>
  <c r="H558" i="1"/>
  <c r="I558" i="1" s="1"/>
  <c r="H559" i="1"/>
  <c r="I559" i="1" s="1"/>
  <c r="H560" i="1"/>
  <c r="I560" i="1" s="1"/>
  <c r="H561" i="1"/>
  <c r="I561" i="1" s="1"/>
  <c r="H562" i="1"/>
  <c r="I562" i="1" s="1"/>
  <c r="H563" i="1"/>
  <c r="I563" i="1" s="1"/>
  <c r="H564" i="1"/>
  <c r="I564" i="1" s="1"/>
  <c r="H565" i="1"/>
  <c r="I565" i="1" s="1"/>
  <c r="H566" i="1"/>
  <c r="I566" i="1" s="1"/>
  <c r="H567" i="1"/>
  <c r="I567" i="1" s="1"/>
  <c r="H568" i="1"/>
  <c r="I568" i="1" s="1"/>
  <c r="H569" i="1"/>
  <c r="I569" i="1" s="1"/>
  <c r="H570" i="1"/>
  <c r="I570" i="1" s="1"/>
  <c r="H571" i="1"/>
  <c r="I571" i="1" s="1"/>
  <c r="H572" i="1"/>
  <c r="I572" i="1" s="1"/>
  <c r="H573" i="1"/>
  <c r="I573" i="1" s="1"/>
  <c r="H574" i="1"/>
  <c r="I574" i="1" s="1"/>
  <c r="H575" i="1"/>
  <c r="I575" i="1" s="1"/>
  <c r="H576" i="1"/>
  <c r="I576" i="1" s="1"/>
  <c r="H577" i="1"/>
  <c r="I577" i="1" s="1"/>
  <c r="H578" i="1"/>
  <c r="I578" i="1" s="1"/>
  <c r="H579" i="1"/>
  <c r="I579" i="1" s="1"/>
  <c r="H580" i="1"/>
  <c r="I580" i="1" s="1"/>
  <c r="H581" i="1"/>
  <c r="I581" i="1" s="1"/>
  <c r="H582" i="1"/>
  <c r="I582" i="1" s="1"/>
  <c r="H583" i="1"/>
  <c r="I583" i="1" s="1"/>
  <c r="H584" i="1"/>
  <c r="I584" i="1" s="1"/>
  <c r="H585" i="1"/>
  <c r="I585" i="1" s="1"/>
  <c r="H586" i="1"/>
  <c r="I586" i="1" s="1"/>
  <c r="H587" i="1"/>
  <c r="I587" i="1" s="1"/>
  <c r="H588" i="1"/>
  <c r="I588" i="1" s="1"/>
  <c r="H589" i="1"/>
  <c r="I589" i="1" s="1"/>
  <c r="H590" i="1"/>
  <c r="I590" i="1" s="1"/>
  <c r="H591" i="1"/>
  <c r="I591" i="1" s="1"/>
  <c r="H592" i="1"/>
  <c r="I592" i="1" s="1"/>
  <c r="H593" i="1"/>
  <c r="I593" i="1" s="1"/>
  <c r="H594" i="1"/>
  <c r="I594" i="1" s="1"/>
  <c r="H595" i="1"/>
  <c r="I595" i="1" s="1"/>
  <c r="H596" i="1"/>
  <c r="I596" i="1" s="1"/>
  <c r="H597" i="1"/>
  <c r="I597" i="1" s="1"/>
  <c r="H598" i="1"/>
  <c r="I598" i="1" s="1"/>
  <c r="H599" i="1"/>
  <c r="I599" i="1" s="1"/>
  <c r="H600" i="1"/>
  <c r="I600" i="1" s="1"/>
  <c r="H601" i="1"/>
  <c r="I601" i="1" s="1"/>
  <c r="H602" i="1"/>
  <c r="I602" i="1" s="1"/>
  <c r="H603" i="1"/>
  <c r="I603" i="1" s="1"/>
  <c r="H604" i="1"/>
  <c r="I604" i="1" s="1"/>
  <c r="H605" i="1"/>
  <c r="I605" i="1" s="1"/>
  <c r="H606" i="1"/>
  <c r="I606" i="1" s="1"/>
  <c r="H607" i="1"/>
  <c r="I607" i="1" s="1"/>
  <c r="H608" i="1"/>
  <c r="I608" i="1" s="1"/>
  <c r="H609" i="1"/>
  <c r="I609" i="1" s="1"/>
  <c r="H610" i="1"/>
  <c r="I610" i="1" s="1"/>
  <c r="H611" i="1"/>
  <c r="I611" i="1" s="1"/>
  <c r="H612" i="1"/>
  <c r="I612" i="1" s="1"/>
  <c r="H613" i="1"/>
  <c r="I613" i="1" s="1"/>
  <c r="H614" i="1"/>
  <c r="I614" i="1" s="1"/>
  <c r="H615" i="1"/>
  <c r="I615" i="1" s="1"/>
  <c r="H616" i="1"/>
  <c r="I616" i="1" s="1"/>
  <c r="H617" i="1"/>
  <c r="I617" i="1" s="1"/>
  <c r="H618" i="1"/>
  <c r="I618" i="1" s="1"/>
  <c r="H619" i="1"/>
  <c r="I619" i="1" s="1"/>
  <c r="H620" i="1"/>
  <c r="I620" i="1" s="1"/>
  <c r="H621" i="1"/>
  <c r="I621" i="1" s="1"/>
  <c r="H622" i="1"/>
  <c r="I622" i="1" s="1"/>
  <c r="H623" i="1"/>
  <c r="I623" i="1" s="1"/>
  <c r="H624" i="1"/>
  <c r="I624" i="1" s="1"/>
  <c r="H625" i="1"/>
  <c r="I625" i="1" s="1"/>
  <c r="H626" i="1"/>
  <c r="I626" i="1" s="1"/>
  <c r="H627" i="1"/>
  <c r="I627" i="1" s="1"/>
  <c r="H628" i="1"/>
  <c r="I628" i="1" s="1"/>
  <c r="H629" i="1"/>
  <c r="I629" i="1" s="1"/>
  <c r="H630" i="1"/>
  <c r="I630" i="1" s="1"/>
  <c r="H631" i="1"/>
  <c r="I631" i="1" s="1"/>
  <c r="H632" i="1"/>
  <c r="I632" i="1" s="1"/>
  <c r="H633" i="1"/>
  <c r="I633" i="1" s="1"/>
  <c r="H634" i="1"/>
  <c r="I634" i="1" s="1"/>
  <c r="H635" i="1"/>
  <c r="I635" i="1" s="1"/>
  <c r="H636" i="1"/>
  <c r="I636" i="1" s="1"/>
  <c r="H637" i="1"/>
  <c r="I637" i="1" s="1"/>
  <c r="H638" i="1"/>
  <c r="I638" i="1" s="1"/>
  <c r="H639" i="1"/>
  <c r="I639" i="1" s="1"/>
  <c r="H640" i="1"/>
  <c r="I640" i="1" s="1"/>
  <c r="H641" i="1"/>
  <c r="I641" i="1" s="1"/>
  <c r="H642" i="1"/>
  <c r="I642" i="1" s="1"/>
  <c r="H643" i="1"/>
  <c r="I643" i="1" s="1"/>
  <c r="H644" i="1"/>
  <c r="I644" i="1" s="1"/>
  <c r="H645" i="1"/>
  <c r="I645" i="1" s="1"/>
  <c r="H646" i="1"/>
  <c r="I646" i="1" s="1"/>
  <c r="H647" i="1"/>
  <c r="I647" i="1" s="1"/>
  <c r="H648" i="1"/>
  <c r="I648" i="1" s="1"/>
  <c r="H649" i="1"/>
  <c r="I649" i="1" s="1"/>
  <c r="H650" i="1"/>
  <c r="I650" i="1" s="1"/>
  <c r="H651" i="1"/>
  <c r="I651" i="1" s="1"/>
  <c r="H652" i="1"/>
  <c r="I652" i="1" s="1"/>
  <c r="H653" i="1"/>
  <c r="I653" i="1" s="1"/>
  <c r="H654" i="1"/>
  <c r="I654" i="1" s="1"/>
  <c r="H655" i="1"/>
  <c r="I655" i="1" s="1"/>
  <c r="H656" i="1"/>
  <c r="I656" i="1" s="1"/>
  <c r="H657" i="1"/>
  <c r="I657" i="1" s="1"/>
  <c r="H658" i="1"/>
  <c r="I658" i="1" s="1"/>
  <c r="H659" i="1"/>
  <c r="I659" i="1" s="1"/>
  <c r="H660" i="1"/>
  <c r="I660" i="1" s="1"/>
  <c r="H661" i="1"/>
  <c r="I661" i="1" s="1"/>
  <c r="H662" i="1"/>
  <c r="I662" i="1" s="1"/>
  <c r="H663" i="1"/>
  <c r="I663" i="1" s="1"/>
  <c r="H664" i="1"/>
  <c r="I664" i="1" s="1"/>
  <c r="H665" i="1"/>
  <c r="I665" i="1" s="1"/>
  <c r="H666" i="1"/>
  <c r="I666" i="1" s="1"/>
  <c r="H667" i="1"/>
  <c r="I667" i="1" s="1"/>
  <c r="H668" i="1"/>
  <c r="I668" i="1" s="1"/>
  <c r="H669" i="1"/>
  <c r="I669" i="1" s="1"/>
  <c r="H670" i="1"/>
  <c r="I670" i="1" s="1"/>
  <c r="H671" i="1"/>
  <c r="I671" i="1" s="1"/>
  <c r="H672" i="1"/>
  <c r="I672" i="1" s="1"/>
  <c r="H673" i="1"/>
  <c r="I673" i="1" s="1"/>
  <c r="H674" i="1"/>
  <c r="I674" i="1" s="1"/>
  <c r="H675" i="1"/>
  <c r="I675" i="1" s="1"/>
  <c r="H676" i="1"/>
  <c r="I676" i="1" s="1"/>
  <c r="H677" i="1"/>
  <c r="I677" i="1" s="1"/>
  <c r="H678" i="1"/>
  <c r="I678" i="1" s="1"/>
  <c r="H679" i="1"/>
  <c r="I679" i="1" s="1"/>
  <c r="H680" i="1"/>
  <c r="I680" i="1" s="1"/>
  <c r="H681" i="1"/>
  <c r="I681" i="1" s="1"/>
  <c r="H682" i="1"/>
  <c r="I682" i="1" s="1"/>
  <c r="H683" i="1"/>
  <c r="I683" i="1" s="1"/>
  <c r="H684" i="1"/>
  <c r="I684" i="1" s="1"/>
  <c r="H685" i="1"/>
  <c r="I685" i="1" s="1"/>
  <c r="H686" i="1"/>
  <c r="I686" i="1" s="1"/>
  <c r="H687" i="1"/>
  <c r="I687" i="1" s="1"/>
  <c r="H688" i="1"/>
  <c r="I688" i="1" s="1"/>
  <c r="H689" i="1"/>
  <c r="I689" i="1" s="1"/>
  <c r="H690" i="1"/>
  <c r="I690" i="1" s="1"/>
  <c r="H691" i="1"/>
  <c r="I691" i="1" s="1"/>
  <c r="H692" i="1"/>
  <c r="I692" i="1" s="1"/>
  <c r="H693" i="1"/>
  <c r="I693" i="1" s="1"/>
  <c r="H694" i="1"/>
  <c r="I694" i="1" s="1"/>
  <c r="H695" i="1"/>
  <c r="I695" i="1" s="1"/>
  <c r="H696" i="1"/>
  <c r="I696" i="1" s="1"/>
  <c r="H697" i="1"/>
  <c r="I697" i="1" s="1"/>
  <c r="H698" i="1"/>
  <c r="I698" i="1" s="1"/>
  <c r="H699" i="1"/>
  <c r="I699" i="1" s="1"/>
  <c r="H700" i="1"/>
  <c r="I700" i="1" s="1"/>
  <c r="H701" i="1"/>
  <c r="I701" i="1" s="1"/>
  <c r="H702" i="1"/>
  <c r="I702" i="1" s="1"/>
  <c r="H703" i="1"/>
  <c r="I703" i="1" s="1"/>
  <c r="H704" i="1"/>
  <c r="I704" i="1" s="1"/>
  <c r="H705" i="1"/>
  <c r="I705" i="1" s="1"/>
  <c r="H706" i="1"/>
  <c r="I706" i="1" s="1"/>
  <c r="H707" i="1"/>
  <c r="I707" i="1" s="1"/>
  <c r="H708" i="1"/>
  <c r="I708" i="1" s="1"/>
  <c r="H709" i="1"/>
  <c r="I709" i="1" s="1"/>
  <c r="H710" i="1"/>
  <c r="I710" i="1" s="1"/>
  <c r="H711" i="1"/>
  <c r="I711" i="1" s="1"/>
  <c r="H712" i="1"/>
  <c r="I712" i="1" s="1"/>
  <c r="H713" i="1"/>
  <c r="I713" i="1" s="1"/>
  <c r="H714" i="1"/>
  <c r="I714" i="1" s="1"/>
  <c r="H715" i="1"/>
  <c r="I715" i="1" s="1"/>
  <c r="H716" i="1"/>
  <c r="I716" i="1" s="1"/>
  <c r="H717" i="1"/>
  <c r="I717" i="1" s="1"/>
  <c r="H718" i="1"/>
  <c r="I718" i="1" s="1"/>
  <c r="H719" i="1"/>
  <c r="I719" i="1" s="1"/>
  <c r="H720" i="1"/>
  <c r="I720" i="1" s="1"/>
  <c r="H721" i="1"/>
  <c r="I721" i="1" s="1"/>
  <c r="H722" i="1"/>
  <c r="I722" i="1" s="1"/>
  <c r="H723" i="1"/>
  <c r="I723" i="1" s="1"/>
  <c r="H724" i="1"/>
  <c r="I724" i="1" s="1"/>
  <c r="H725" i="1"/>
  <c r="I725" i="1" s="1"/>
  <c r="H726" i="1"/>
  <c r="I726" i="1" s="1"/>
  <c r="H727" i="1"/>
  <c r="I727" i="1" s="1"/>
  <c r="H728" i="1"/>
  <c r="I728" i="1" s="1"/>
  <c r="H729" i="1"/>
  <c r="I729" i="1" s="1"/>
  <c r="H730" i="1"/>
  <c r="I730" i="1" s="1"/>
  <c r="H731" i="1"/>
  <c r="I731" i="1" s="1"/>
  <c r="H732" i="1"/>
  <c r="I732" i="1" s="1"/>
  <c r="H733" i="1"/>
  <c r="I733" i="1" s="1"/>
  <c r="H734" i="1"/>
  <c r="I734" i="1" s="1"/>
  <c r="H735" i="1"/>
  <c r="I735" i="1" s="1"/>
  <c r="H736" i="1"/>
  <c r="I736" i="1" s="1"/>
  <c r="H737" i="1"/>
  <c r="I737" i="1" s="1"/>
  <c r="H738" i="1"/>
  <c r="I738" i="1" s="1"/>
  <c r="H739" i="1"/>
  <c r="I739" i="1" s="1"/>
  <c r="H740" i="1"/>
  <c r="I740" i="1" s="1"/>
  <c r="H741" i="1"/>
  <c r="I741" i="1" s="1"/>
  <c r="H742" i="1"/>
  <c r="I742" i="1" s="1"/>
  <c r="H743" i="1"/>
  <c r="I743" i="1" s="1"/>
  <c r="H744" i="1"/>
  <c r="I744" i="1" s="1"/>
  <c r="H745" i="1"/>
  <c r="I745" i="1" s="1"/>
  <c r="H746" i="1"/>
  <c r="I746" i="1" s="1"/>
  <c r="H747" i="1"/>
  <c r="I747" i="1" s="1"/>
  <c r="H748" i="1"/>
  <c r="I748" i="1" s="1"/>
  <c r="H749" i="1"/>
  <c r="I749" i="1" s="1"/>
  <c r="H750" i="1"/>
  <c r="I750" i="1" s="1"/>
  <c r="H751" i="1"/>
  <c r="I751" i="1" s="1"/>
  <c r="H752" i="1"/>
  <c r="I752" i="1" s="1"/>
  <c r="H753" i="1"/>
  <c r="I753" i="1" s="1"/>
  <c r="H754" i="1"/>
  <c r="I754" i="1" s="1"/>
  <c r="H755" i="1"/>
  <c r="I755" i="1" s="1"/>
  <c r="H756" i="1"/>
  <c r="I756" i="1" s="1"/>
  <c r="H757" i="1"/>
  <c r="I757" i="1" s="1"/>
  <c r="H758" i="1"/>
  <c r="I758" i="1" s="1"/>
  <c r="H759" i="1"/>
  <c r="I759" i="1" s="1"/>
  <c r="H760" i="1"/>
  <c r="I760" i="1" s="1"/>
  <c r="H761" i="1"/>
  <c r="I761" i="1" s="1"/>
  <c r="H762" i="1"/>
  <c r="I762" i="1" s="1"/>
  <c r="H763" i="1"/>
  <c r="I763" i="1" s="1"/>
  <c r="H764" i="1"/>
  <c r="I764" i="1" s="1"/>
  <c r="H765" i="1"/>
  <c r="I765" i="1" s="1"/>
  <c r="H766" i="1"/>
  <c r="I766" i="1" s="1"/>
  <c r="H767" i="1"/>
  <c r="I767" i="1" s="1"/>
  <c r="H768" i="1"/>
  <c r="I768" i="1" s="1"/>
  <c r="H769" i="1"/>
  <c r="I769" i="1" s="1"/>
  <c r="H770" i="1"/>
  <c r="I770" i="1" s="1"/>
  <c r="H771" i="1"/>
  <c r="I771" i="1" s="1"/>
  <c r="H772" i="1"/>
  <c r="I772" i="1" s="1"/>
  <c r="H773" i="1"/>
  <c r="I773" i="1" s="1"/>
  <c r="H774" i="1"/>
  <c r="I774" i="1" s="1"/>
  <c r="H775" i="1"/>
  <c r="I775" i="1" s="1"/>
  <c r="H776" i="1"/>
  <c r="I776" i="1" s="1"/>
  <c r="H777" i="1"/>
  <c r="I777" i="1" s="1"/>
  <c r="H778" i="1"/>
  <c r="I778" i="1" s="1"/>
  <c r="H779" i="1"/>
  <c r="I779" i="1" s="1"/>
  <c r="H780" i="1"/>
  <c r="I780" i="1" s="1"/>
  <c r="H781" i="1"/>
  <c r="I781" i="1" s="1"/>
  <c r="H782" i="1"/>
  <c r="I782" i="1" s="1"/>
  <c r="H783" i="1"/>
  <c r="I783" i="1" s="1"/>
  <c r="H784" i="1"/>
  <c r="I784" i="1" s="1"/>
  <c r="H785" i="1"/>
  <c r="I785" i="1" s="1"/>
  <c r="H786" i="1"/>
  <c r="I786" i="1" s="1"/>
  <c r="H787" i="1"/>
  <c r="I787" i="1" s="1"/>
  <c r="H788" i="1"/>
  <c r="I788" i="1" s="1"/>
  <c r="H789" i="1"/>
  <c r="I789" i="1" s="1"/>
  <c r="H790" i="1"/>
  <c r="I790" i="1" s="1"/>
  <c r="H791" i="1"/>
  <c r="I791" i="1" s="1"/>
  <c r="H792" i="1"/>
  <c r="I792" i="1" s="1"/>
  <c r="H793" i="1"/>
  <c r="I793" i="1" s="1"/>
  <c r="H794" i="1"/>
  <c r="I794" i="1" s="1"/>
  <c r="H795" i="1"/>
  <c r="I795" i="1" s="1"/>
  <c r="H796" i="1"/>
  <c r="I796" i="1" s="1"/>
  <c r="H797" i="1"/>
  <c r="I797" i="1" s="1"/>
  <c r="H798" i="1"/>
  <c r="I798" i="1" s="1"/>
  <c r="H799" i="1"/>
  <c r="I799" i="1" s="1"/>
  <c r="H800" i="1"/>
  <c r="I800" i="1" s="1"/>
  <c r="H801" i="1"/>
  <c r="I801" i="1" s="1"/>
  <c r="H802" i="1"/>
  <c r="I802" i="1" s="1"/>
  <c r="H803" i="1"/>
  <c r="I803" i="1" s="1"/>
  <c r="H804" i="1"/>
  <c r="I804" i="1" s="1"/>
  <c r="H805" i="1"/>
  <c r="I805" i="1" s="1"/>
  <c r="H806" i="1"/>
  <c r="I806" i="1" s="1"/>
  <c r="H807" i="1"/>
  <c r="I807" i="1" s="1"/>
  <c r="H808" i="1"/>
  <c r="I808" i="1" s="1"/>
  <c r="H809" i="1"/>
  <c r="I809" i="1" s="1"/>
  <c r="H810" i="1"/>
  <c r="I810" i="1" s="1"/>
  <c r="H811" i="1"/>
  <c r="I811" i="1" s="1"/>
  <c r="H812" i="1"/>
  <c r="I812" i="1" s="1"/>
  <c r="H813" i="1"/>
  <c r="I813" i="1" s="1"/>
  <c r="H814" i="1"/>
  <c r="I814" i="1" s="1"/>
  <c r="H815" i="1"/>
  <c r="I815" i="1" s="1"/>
  <c r="H816" i="1"/>
  <c r="I816" i="1" s="1"/>
  <c r="H817" i="1"/>
  <c r="I817" i="1" s="1"/>
  <c r="H818" i="1"/>
  <c r="I818" i="1" s="1"/>
  <c r="H819" i="1"/>
  <c r="I819" i="1" s="1"/>
  <c r="H820" i="1"/>
  <c r="I820" i="1" s="1"/>
  <c r="H821" i="1"/>
  <c r="I821" i="1" s="1"/>
  <c r="H822" i="1"/>
  <c r="I822" i="1" s="1"/>
  <c r="H823" i="1"/>
  <c r="I823" i="1" s="1"/>
  <c r="H824" i="1"/>
  <c r="I824" i="1" s="1"/>
  <c r="H825" i="1"/>
  <c r="I825" i="1" s="1"/>
  <c r="H826" i="1"/>
  <c r="I826" i="1" s="1"/>
  <c r="H827" i="1"/>
  <c r="I827" i="1" s="1"/>
  <c r="H828" i="1"/>
  <c r="I828" i="1" s="1"/>
  <c r="H829" i="1"/>
  <c r="I829" i="1" s="1"/>
  <c r="H830" i="1"/>
  <c r="I830" i="1" s="1"/>
  <c r="H831" i="1"/>
  <c r="I831" i="1" s="1"/>
  <c r="H832" i="1"/>
  <c r="I832" i="1" s="1"/>
  <c r="H833" i="1"/>
  <c r="I833" i="1" s="1"/>
  <c r="H834" i="1"/>
  <c r="I834" i="1" s="1"/>
  <c r="H835" i="1"/>
  <c r="I835" i="1" s="1"/>
  <c r="H836" i="1"/>
  <c r="I836" i="1" s="1"/>
  <c r="H837" i="1"/>
  <c r="I837" i="1" s="1"/>
  <c r="H838" i="1"/>
  <c r="I838" i="1" s="1"/>
  <c r="H839" i="1"/>
  <c r="I839" i="1" s="1"/>
  <c r="H840" i="1"/>
  <c r="I840" i="1" s="1"/>
  <c r="H841" i="1"/>
  <c r="I841" i="1" s="1"/>
  <c r="H842" i="1"/>
  <c r="I842" i="1" s="1"/>
  <c r="H843" i="1"/>
  <c r="I843" i="1" s="1"/>
  <c r="H844" i="1"/>
  <c r="I844" i="1" s="1"/>
  <c r="H845" i="1"/>
  <c r="I845" i="1" s="1"/>
  <c r="H846" i="1"/>
  <c r="I846" i="1" s="1"/>
  <c r="H847" i="1"/>
  <c r="I847" i="1" s="1"/>
  <c r="H848" i="1"/>
  <c r="I848" i="1" s="1"/>
  <c r="H849" i="1"/>
  <c r="I849" i="1" s="1"/>
  <c r="H850" i="1"/>
  <c r="I850" i="1" s="1"/>
  <c r="H851" i="1"/>
  <c r="I851" i="1" s="1"/>
  <c r="H852" i="1"/>
  <c r="I852" i="1" s="1"/>
  <c r="H853" i="1"/>
  <c r="I853" i="1" s="1"/>
  <c r="H854" i="1"/>
  <c r="I854" i="1" s="1"/>
  <c r="H855" i="1"/>
  <c r="I855" i="1" s="1"/>
  <c r="H856" i="1"/>
  <c r="I856" i="1" s="1"/>
  <c r="H857" i="1"/>
  <c r="I857" i="1" s="1"/>
  <c r="H858" i="1"/>
  <c r="I858" i="1" s="1"/>
  <c r="H859" i="1"/>
  <c r="I859" i="1" s="1"/>
  <c r="H860" i="1"/>
  <c r="I860" i="1" s="1"/>
  <c r="H861" i="1"/>
  <c r="I861" i="1" s="1"/>
  <c r="H862" i="1"/>
  <c r="I862" i="1" s="1"/>
  <c r="H863" i="1"/>
  <c r="I863" i="1" s="1"/>
  <c r="H864" i="1"/>
  <c r="I864" i="1" s="1"/>
  <c r="H865" i="1"/>
  <c r="I865" i="1" s="1"/>
  <c r="H866" i="1"/>
  <c r="I866" i="1" s="1"/>
  <c r="H867" i="1"/>
  <c r="I867" i="1" s="1"/>
  <c r="H868" i="1"/>
  <c r="I868" i="1" s="1"/>
  <c r="H869" i="1"/>
  <c r="I869" i="1" s="1"/>
  <c r="H870" i="1"/>
  <c r="I870" i="1" s="1"/>
  <c r="H871" i="1"/>
  <c r="I871" i="1" s="1"/>
  <c r="H872" i="1"/>
  <c r="I872" i="1" s="1"/>
  <c r="H873" i="1"/>
  <c r="I873" i="1" s="1"/>
  <c r="H874" i="1"/>
  <c r="I874" i="1" s="1"/>
  <c r="H875" i="1"/>
  <c r="I875" i="1" s="1"/>
  <c r="H876" i="1"/>
  <c r="I876" i="1" s="1"/>
  <c r="H877" i="1"/>
  <c r="I877" i="1" s="1"/>
  <c r="H878" i="1"/>
  <c r="I878" i="1" s="1"/>
  <c r="H879" i="1"/>
  <c r="I879" i="1" s="1"/>
  <c r="H880" i="1"/>
  <c r="I880" i="1" s="1"/>
  <c r="H881" i="1"/>
  <c r="I881" i="1" s="1"/>
  <c r="H882" i="1"/>
  <c r="I882" i="1" s="1"/>
  <c r="H883" i="1"/>
  <c r="I883" i="1" s="1"/>
  <c r="H884" i="1"/>
  <c r="I884" i="1" s="1"/>
  <c r="H885" i="1"/>
  <c r="I885" i="1" s="1"/>
  <c r="H886" i="1"/>
  <c r="I886" i="1" s="1"/>
  <c r="H887" i="1"/>
  <c r="I887" i="1" s="1"/>
  <c r="H888" i="1"/>
  <c r="I888" i="1" s="1"/>
  <c r="H889" i="1"/>
  <c r="I889" i="1" s="1"/>
  <c r="H890" i="1"/>
  <c r="I890" i="1" s="1"/>
  <c r="H891" i="1"/>
  <c r="I891" i="1" s="1"/>
  <c r="H892" i="1"/>
  <c r="I892" i="1" s="1"/>
  <c r="H893" i="1"/>
  <c r="I893" i="1" s="1"/>
  <c r="H894" i="1"/>
  <c r="I894" i="1" s="1"/>
  <c r="H895" i="1"/>
  <c r="I895" i="1" s="1"/>
  <c r="H896" i="1"/>
  <c r="I896" i="1" s="1"/>
  <c r="H897" i="1"/>
  <c r="I897" i="1" s="1"/>
  <c r="H898" i="1"/>
  <c r="I898" i="1" s="1"/>
  <c r="H899" i="1"/>
  <c r="I899" i="1" s="1"/>
  <c r="H900" i="1"/>
  <c r="I900" i="1" s="1"/>
  <c r="H901" i="1"/>
  <c r="I901" i="1" s="1"/>
  <c r="H902" i="1"/>
  <c r="I902" i="1" s="1"/>
  <c r="H903" i="1"/>
  <c r="I903" i="1" s="1"/>
  <c r="H904" i="1"/>
  <c r="I904" i="1" s="1"/>
  <c r="H905" i="1"/>
  <c r="I905" i="1" s="1"/>
  <c r="H906" i="1"/>
  <c r="I906" i="1" s="1"/>
  <c r="H907" i="1"/>
  <c r="I907" i="1" s="1"/>
  <c r="H908" i="1"/>
  <c r="I908" i="1" s="1"/>
  <c r="H909" i="1"/>
  <c r="I909" i="1" s="1"/>
  <c r="H910" i="1"/>
  <c r="I910" i="1" s="1"/>
  <c r="H911" i="1"/>
  <c r="I911" i="1" s="1"/>
  <c r="H912" i="1"/>
  <c r="I912" i="1" s="1"/>
  <c r="H913" i="1"/>
  <c r="I913" i="1" s="1"/>
  <c r="H914" i="1"/>
  <c r="I914" i="1" s="1"/>
  <c r="H915" i="1"/>
  <c r="I915" i="1" s="1"/>
  <c r="H916" i="1"/>
  <c r="I916" i="1" s="1"/>
  <c r="H917" i="1"/>
  <c r="I917" i="1" s="1"/>
  <c r="H918" i="1"/>
  <c r="I918" i="1" s="1"/>
  <c r="H919" i="1"/>
  <c r="I919" i="1" s="1"/>
  <c r="H920" i="1"/>
  <c r="I920" i="1" s="1"/>
  <c r="H921" i="1"/>
  <c r="I921" i="1" s="1"/>
  <c r="H922" i="1"/>
  <c r="I922" i="1" s="1"/>
  <c r="H923" i="1"/>
  <c r="I923" i="1" s="1"/>
  <c r="H924" i="1"/>
  <c r="I924" i="1" s="1"/>
  <c r="H925" i="1"/>
  <c r="I925" i="1" s="1"/>
  <c r="H926" i="1"/>
  <c r="I926" i="1" s="1"/>
  <c r="H927" i="1"/>
  <c r="I927" i="1" s="1"/>
  <c r="H928" i="1"/>
  <c r="I928" i="1" s="1"/>
  <c r="H929" i="1"/>
  <c r="I929" i="1" s="1"/>
  <c r="H930" i="1"/>
  <c r="I930" i="1" s="1"/>
  <c r="H931" i="1"/>
  <c r="I931" i="1" s="1"/>
  <c r="H932" i="1"/>
  <c r="I932" i="1" s="1"/>
  <c r="H933" i="1"/>
  <c r="I933" i="1" s="1"/>
  <c r="H934" i="1"/>
  <c r="I934" i="1" s="1"/>
  <c r="H935" i="1"/>
  <c r="I935" i="1" s="1"/>
  <c r="H936" i="1"/>
  <c r="I936" i="1" s="1"/>
  <c r="H937" i="1"/>
  <c r="I937" i="1" s="1"/>
  <c r="H938" i="1"/>
  <c r="I938" i="1" s="1"/>
  <c r="H939" i="1"/>
  <c r="I939" i="1" s="1"/>
  <c r="H940" i="1"/>
  <c r="I940" i="1" s="1"/>
  <c r="H941" i="1"/>
  <c r="I941" i="1" s="1"/>
  <c r="H942" i="1"/>
  <c r="I942" i="1" s="1"/>
  <c r="H943" i="1"/>
  <c r="I943" i="1" s="1"/>
  <c r="H944" i="1"/>
  <c r="I944" i="1" s="1"/>
  <c r="H945" i="1"/>
  <c r="I945" i="1" s="1"/>
  <c r="H946" i="1"/>
  <c r="I946" i="1" s="1"/>
  <c r="H947" i="1"/>
  <c r="I947" i="1" s="1"/>
  <c r="H948" i="1"/>
  <c r="I948" i="1" s="1"/>
  <c r="H949" i="1"/>
  <c r="I949" i="1" s="1"/>
  <c r="H950" i="1"/>
  <c r="I950" i="1" s="1"/>
  <c r="H951" i="1"/>
  <c r="I951" i="1" s="1"/>
  <c r="H952" i="1"/>
  <c r="I952" i="1" s="1"/>
  <c r="H953" i="1"/>
  <c r="I953" i="1" s="1"/>
  <c r="H954" i="1"/>
  <c r="I954" i="1" s="1"/>
  <c r="H955" i="1"/>
  <c r="I955" i="1" s="1"/>
  <c r="H956" i="1"/>
  <c r="I956" i="1" s="1"/>
  <c r="H957" i="1"/>
  <c r="I957" i="1" s="1"/>
  <c r="H958" i="1"/>
  <c r="I958" i="1" s="1"/>
  <c r="H959" i="1"/>
  <c r="I959" i="1" s="1"/>
  <c r="H960" i="1"/>
  <c r="I960" i="1" s="1"/>
  <c r="H961" i="1"/>
  <c r="I961" i="1" s="1"/>
  <c r="H962" i="1"/>
  <c r="I962" i="1" s="1"/>
  <c r="H963" i="1"/>
  <c r="I963" i="1" s="1"/>
  <c r="H964" i="1"/>
  <c r="I964" i="1" s="1"/>
  <c r="H965" i="1"/>
  <c r="I965" i="1" s="1"/>
  <c r="H966" i="1"/>
  <c r="I966" i="1" s="1"/>
  <c r="H967" i="1"/>
  <c r="I967" i="1" s="1"/>
  <c r="H968" i="1"/>
  <c r="I968" i="1" s="1"/>
  <c r="H969" i="1"/>
  <c r="I969" i="1" s="1"/>
  <c r="H970" i="1"/>
  <c r="I970" i="1" s="1"/>
  <c r="H971" i="1"/>
  <c r="I971" i="1" s="1"/>
  <c r="H972" i="1"/>
  <c r="I972" i="1" s="1"/>
  <c r="H973" i="1"/>
  <c r="I973" i="1" s="1"/>
  <c r="H974" i="1"/>
  <c r="I974" i="1" s="1"/>
  <c r="H975" i="1"/>
  <c r="I975" i="1" s="1"/>
  <c r="H976" i="1"/>
  <c r="I976" i="1" s="1"/>
  <c r="H977" i="1"/>
  <c r="I977" i="1" s="1"/>
  <c r="H978" i="1"/>
  <c r="I978" i="1" s="1"/>
  <c r="H979" i="1"/>
  <c r="I979" i="1" s="1"/>
  <c r="H980" i="1"/>
  <c r="I980" i="1" s="1"/>
  <c r="H981" i="1"/>
  <c r="I981" i="1" s="1"/>
  <c r="H982" i="1"/>
  <c r="I982" i="1" s="1"/>
  <c r="H983" i="1"/>
  <c r="I983" i="1" s="1"/>
  <c r="H984" i="1"/>
  <c r="I984" i="1" s="1"/>
  <c r="H985" i="1"/>
  <c r="I985" i="1" s="1"/>
  <c r="H986" i="1"/>
  <c r="I986" i="1" s="1"/>
  <c r="H987" i="1"/>
  <c r="I987" i="1" s="1"/>
  <c r="H988" i="1"/>
  <c r="I988" i="1" s="1"/>
  <c r="H989" i="1"/>
  <c r="I989" i="1" s="1"/>
  <c r="H990" i="1"/>
  <c r="I990" i="1" s="1"/>
  <c r="H991" i="1"/>
  <c r="I991" i="1" s="1"/>
  <c r="H992" i="1"/>
  <c r="I992" i="1" s="1"/>
  <c r="H993" i="1"/>
  <c r="I993" i="1" s="1"/>
  <c r="H994" i="1"/>
  <c r="I994" i="1" s="1"/>
  <c r="H995" i="1"/>
  <c r="I995" i="1" s="1"/>
  <c r="H996" i="1"/>
  <c r="I996" i="1" s="1"/>
  <c r="H997" i="1"/>
  <c r="I997" i="1" s="1"/>
  <c r="H998" i="1"/>
  <c r="I998" i="1" s="1"/>
  <c r="H999" i="1"/>
  <c r="I999" i="1" s="1"/>
  <c r="H1000" i="1"/>
  <c r="I1000" i="1" s="1"/>
  <c r="H1001" i="1"/>
  <c r="I1001" i="1" s="1"/>
  <c r="H1002" i="1"/>
  <c r="I1002" i="1" s="1"/>
  <c r="H1003" i="1"/>
  <c r="I1003" i="1" s="1"/>
  <c r="H1004" i="1"/>
  <c r="I1004" i="1" s="1"/>
  <c r="H1005" i="1"/>
  <c r="I1005" i="1" s="1"/>
  <c r="H1006" i="1"/>
  <c r="I1006" i="1" s="1"/>
  <c r="H1007" i="1"/>
  <c r="I1007" i="1" s="1"/>
  <c r="H1008" i="1"/>
  <c r="I1008" i="1" s="1"/>
  <c r="H1009" i="1"/>
  <c r="I1009" i="1" s="1"/>
  <c r="H1010" i="1"/>
  <c r="I1010" i="1" s="1"/>
  <c r="H1011" i="1"/>
  <c r="I1011" i="1" s="1"/>
  <c r="H1012" i="1"/>
  <c r="I1012" i="1" s="1"/>
  <c r="H1013" i="1"/>
  <c r="I1013" i="1" s="1"/>
  <c r="H1014" i="1"/>
  <c r="I1014" i="1" s="1"/>
  <c r="H1015" i="1"/>
  <c r="I1015" i="1" s="1"/>
  <c r="H1016" i="1"/>
  <c r="I1016" i="1" s="1"/>
  <c r="H1017" i="1"/>
  <c r="I1017" i="1" s="1"/>
  <c r="H1018" i="1"/>
  <c r="I1018" i="1" s="1"/>
  <c r="H1019" i="1"/>
  <c r="I1019" i="1" s="1"/>
  <c r="H1020" i="1"/>
  <c r="I1020" i="1" s="1"/>
  <c r="H1021" i="1"/>
  <c r="I1021" i="1" s="1"/>
  <c r="H1022" i="1"/>
  <c r="I1022" i="1" s="1"/>
  <c r="H1023" i="1"/>
  <c r="I1023" i="1" s="1"/>
  <c r="H1024" i="1"/>
  <c r="I1024" i="1" s="1"/>
  <c r="H1025" i="1"/>
  <c r="I1025" i="1" s="1"/>
  <c r="H1026" i="1"/>
  <c r="I1026" i="1" s="1"/>
  <c r="H1027" i="1"/>
  <c r="I1027" i="1" s="1"/>
  <c r="H1028" i="1"/>
  <c r="I1028" i="1" s="1"/>
  <c r="H1029" i="1"/>
  <c r="I1029" i="1" s="1"/>
  <c r="H1030" i="1"/>
  <c r="I1030" i="1" s="1"/>
  <c r="H1031" i="1"/>
  <c r="I1031" i="1" s="1"/>
  <c r="H1032" i="1"/>
  <c r="I1032" i="1" s="1"/>
  <c r="H1033" i="1"/>
  <c r="I1033" i="1" s="1"/>
  <c r="H1034" i="1"/>
  <c r="I1034" i="1" s="1"/>
  <c r="H1035" i="1"/>
  <c r="I1035" i="1" s="1"/>
  <c r="H1036" i="1"/>
  <c r="I1036" i="1" s="1"/>
  <c r="H1037" i="1"/>
  <c r="I1037" i="1" s="1"/>
  <c r="H1038" i="1"/>
  <c r="I1038" i="1" s="1"/>
  <c r="H1039" i="1"/>
  <c r="I1039" i="1" s="1"/>
  <c r="H1040" i="1"/>
  <c r="I1040" i="1" s="1"/>
  <c r="H1041" i="1"/>
  <c r="I1041" i="1" s="1"/>
  <c r="H1042" i="1"/>
  <c r="I1042" i="1" s="1"/>
  <c r="H1043" i="1"/>
  <c r="I1043" i="1" s="1"/>
  <c r="H1044" i="1"/>
  <c r="I1044" i="1" s="1"/>
  <c r="H1045" i="1"/>
  <c r="I1045" i="1" s="1"/>
  <c r="H1046" i="1"/>
  <c r="I1046" i="1" s="1"/>
  <c r="H1047" i="1"/>
  <c r="I1047" i="1" s="1"/>
  <c r="H1048" i="1"/>
  <c r="I1048" i="1" s="1"/>
  <c r="H1049" i="1"/>
  <c r="I1049" i="1" s="1"/>
  <c r="H1050" i="1"/>
  <c r="I1050" i="1" s="1"/>
  <c r="H1051" i="1"/>
  <c r="I1051" i="1" s="1"/>
  <c r="H1052" i="1"/>
  <c r="I1052" i="1" s="1"/>
  <c r="H1053" i="1"/>
  <c r="I1053" i="1" s="1"/>
  <c r="H1054" i="1"/>
  <c r="I1054" i="1" s="1"/>
  <c r="H1055" i="1"/>
  <c r="I1055" i="1" s="1"/>
  <c r="H1056" i="1"/>
  <c r="I1056" i="1" s="1"/>
  <c r="H1057" i="1"/>
  <c r="I1057" i="1" s="1"/>
  <c r="H1058" i="1"/>
  <c r="I1058" i="1" s="1"/>
  <c r="H1059" i="1"/>
  <c r="I1059" i="1" s="1"/>
  <c r="H1060" i="1"/>
  <c r="I1060" i="1" s="1"/>
  <c r="H1061" i="1"/>
  <c r="I1061" i="1" s="1"/>
  <c r="H1062" i="1"/>
  <c r="I1062" i="1" s="1"/>
  <c r="H1063" i="1"/>
  <c r="I1063" i="1" s="1"/>
  <c r="H1064" i="1"/>
  <c r="I1064" i="1" s="1"/>
  <c r="H1065" i="1"/>
  <c r="I1065" i="1" s="1"/>
  <c r="H1066" i="1"/>
  <c r="I1066" i="1" s="1"/>
  <c r="H1067" i="1"/>
  <c r="I1067" i="1" s="1"/>
  <c r="H1068" i="1"/>
  <c r="I1068" i="1" s="1"/>
  <c r="H1069" i="1"/>
  <c r="I1069" i="1" s="1"/>
  <c r="H1070" i="1"/>
  <c r="I1070" i="1" s="1"/>
  <c r="H1071" i="1"/>
  <c r="I1071" i="1" s="1"/>
  <c r="H1072" i="1"/>
  <c r="I1072" i="1" s="1"/>
  <c r="H1073" i="1"/>
  <c r="I1073" i="1" s="1"/>
  <c r="H1074" i="1"/>
  <c r="I1074" i="1" s="1"/>
  <c r="H1075" i="1"/>
  <c r="I1075" i="1" s="1"/>
  <c r="H1076" i="1"/>
  <c r="I1076" i="1" s="1"/>
  <c r="H1077" i="1"/>
  <c r="I1077" i="1" s="1"/>
  <c r="H1078" i="1"/>
  <c r="I1078" i="1" s="1"/>
  <c r="H1079" i="1"/>
  <c r="I1079" i="1" s="1"/>
  <c r="H1080" i="1"/>
  <c r="I1080" i="1" s="1"/>
  <c r="H1081" i="1"/>
  <c r="I1081" i="1" s="1"/>
  <c r="H1082" i="1"/>
  <c r="I1082" i="1" s="1"/>
  <c r="H1083" i="1"/>
  <c r="I1083" i="1" s="1"/>
  <c r="H1084" i="1"/>
  <c r="I1084" i="1" s="1"/>
  <c r="H1085" i="1"/>
  <c r="I1085" i="1" s="1"/>
  <c r="H1086" i="1"/>
  <c r="I1086" i="1" s="1"/>
  <c r="H1087" i="1"/>
  <c r="I1087" i="1" s="1"/>
  <c r="H1088" i="1"/>
  <c r="I1088" i="1" s="1"/>
  <c r="H1089" i="1"/>
  <c r="I1089" i="1" s="1"/>
  <c r="H1090" i="1"/>
  <c r="I1090" i="1" s="1"/>
  <c r="H1091" i="1"/>
  <c r="I1091" i="1" s="1"/>
  <c r="H1092" i="1"/>
  <c r="I1092" i="1" s="1"/>
  <c r="H1093" i="1"/>
  <c r="I1093" i="1" s="1"/>
  <c r="H1094" i="1"/>
  <c r="I1094" i="1" s="1"/>
  <c r="H1095" i="1"/>
  <c r="I1095" i="1" s="1"/>
  <c r="H1096" i="1"/>
  <c r="I1096" i="1" s="1"/>
  <c r="H1097" i="1"/>
  <c r="I1097" i="1" s="1"/>
  <c r="H1098" i="1"/>
  <c r="I1098" i="1" s="1"/>
  <c r="H1099" i="1"/>
  <c r="I1099" i="1" s="1"/>
  <c r="H1100" i="1"/>
  <c r="I1100" i="1" s="1"/>
  <c r="H1101" i="1"/>
  <c r="I1101" i="1" s="1"/>
  <c r="H1102" i="1"/>
  <c r="I1102" i="1" s="1"/>
  <c r="H1103" i="1"/>
  <c r="I1103" i="1" s="1"/>
  <c r="H1104" i="1"/>
  <c r="I1104" i="1" s="1"/>
  <c r="H1105" i="1"/>
  <c r="I1105" i="1" s="1"/>
  <c r="H1106" i="1"/>
  <c r="I1106" i="1" s="1"/>
  <c r="H1107" i="1"/>
  <c r="I1107" i="1" s="1"/>
  <c r="H1108" i="1"/>
  <c r="I1108" i="1" s="1"/>
  <c r="H1109" i="1"/>
  <c r="I1109" i="1" s="1"/>
  <c r="H1110" i="1"/>
  <c r="I1110" i="1" s="1"/>
  <c r="H1111" i="1"/>
  <c r="I1111" i="1" s="1"/>
  <c r="H1112" i="1"/>
  <c r="I1112" i="1" s="1"/>
  <c r="H1113" i="1"/>
  <c r="I1113" i="1" s="1"/>
  <c r="H1114" i="1"/>
  <c r="I1114" i="1" s="1"/>
  <c r="H1115" i="1"/>
  <c r="I1115" i="1" s="1"/>
  <c r="H1116" i="1"/>
  <c r="I1116" i="1" s="1"/>
  <c r="H1117" i="1"/>
  <c r="I1117" i="1" s="1"/>
  <c r="H1118" i="1"/>
  <c r="I1118" i="1" s="1"/>
  <c r="H1119" i="1"/>
  <c r="I1119" i="1" s="1"/>
  <c r="H1120" i="1"/>
  <c r="I1120" i="1" s="1"/>
  <c r="H1121" i="1"/>
  <c r="I1121" i="1" s="1"/>
  <c r="H1122" i="1"/>
  <c r="I1122" i="1" s="1"/>
  <c r="H1123" i="1"/>
  <c r="I1123" i="1" s="1"/>
  <c r="H1124" i="1"/>
  <c r="I1124" i="1" s="1"/>
  <c r="H1125" i="1"/>
  <c r="I1125" i="1" s="1"/>
  <c r="H1126" i="1"/>
  <c r="I1126" i="1" s="1"/>
  <c r="H1127" i="1"/>
  <c r="I1127" i="1" s="1"/>
  <c r="H1128" i="1"/>
  <c r="I1128" i="1" s="1"/>
  <c r="H1129" i="1"/>
  <c r="I1129" i="1" s="1"/>
  <c r="H1130" i="1"/>
  <c r="I1130" i="1" s="1"/>
  <c r="H1131" i="1"/>
  <c r="I1131" i="1" s="1"/>
  <c r="H1132" i="1"/>
  <c r="I1132" i="1" s="1"/>
  <c r="H1133" i="1"/>
  <c r="I1133" i="1" s="1"/>
  <c r="H1134" i="1"/>
  <c r="I1134" i="1" s="1"/>
  <c r="H1135" i="1"/>
  <c r="I1135" i="1" s="1"/>
  <c r="H1136" i="1"/>
  <c r="I1136" i="1" s="1"/>
  <c r="H1137" i="1"/>
  <c r="I1137" i="1" s="1"/>
  <c r="H1138" i="1"/>
  <c r="I1138" i="1" s="1"/>
  <c r="H1139" i="1"/>
  <c r="I1139" i="1" s="1"/>
  <c r="H1140" i="1"/>
  <c r="I1140" i="1" s="1"/>
  <c r="H1141" i="1"/>
  <c r="I1141" i="1" s="1"/>
  <c r="H1142" i="1"/>
  <c r="I1142" i="1" s="1"/>
  <c r="H1143" i="1"/>
  <c r="I1143" i="1" s="1"/>
  <c r="H1144" i="1"/>
  <c r="I1144" i="1" s="1"/>
  <c r="H1145" i="1"/>
  <c r="I1145" i="1" s="1"/>
  <c r="H1146" i="1"/>
  <c r="I1146" i="1" s="1"/>
  <c r="H1147" i="1"/>
  <c r="I1147" i="1" s="1"/>
  <c r="H1148" i="1"/>
  <c r="I1148" i="1" s="1"/>
  <c r="H1149" i="1"/>
  <c r="I1149" i="1" s="1"/>
  <c r="H1150" i="1"/>
  <c r="I1150" i="1" s="1"/>
  <c r="H1151" i="1"/>
  <c r="I1151" i="1" s="1"/>
  <c r="H1152" i="1"/>
  <c r="I1152" i="1" s="1"/>
  <c r="H1153" i="1"/>
  <c r="I1153" i="1" s="1"/>
  <c r="H1154" i="1"/>
  <c r="I1154" i="1" s="1"/>
  <c r="H1155" i="1"/>
  <c r="I1155" i="1" s="1"/>
  <c r="H1156" i="1"/>
  <c r="I1156" i="1" s="1"/>
  <c r="H1157" i="1"/>
  <c r="I1157" i="1" s="1"/>
  <c r="H1158" i="1"/>
  <c r="I1158" i="1" s="1"/>
  <c r="H1159" i="1"/>
  <c r="I1159" i="1" s="1"/>
  <c r="H1160" i="1"/>
  <c r="I1160" i="1" s="1"/>
  <c r="H1161" i="1"/>
  <c r="I1161" i="1" s="1"/>
  <c r="H1162" i="1"/>
  <c r="I1162" i="1" s="1"/>
  <c r="H1163" i="1"/>
  <c r="I1163" i="1" s="1"/>
  <c r="H1164" i="1"/>
  <c r="I1164" i="1" s="1"/>
  <c r="H1165" i="1"/>
  <c r="I1165" i="1" s="1"/>
  <c r="H1166" i="1"/>
  <c r="I1166" i="1" s="1"/>
  <c r="H1167" i="1"/>
  <c r="I1167" i="1" s="1"/>
  <c r="H1168" i="1"/>
  <c r="I1168" i="1" s="1"/>
  <c r="H1169" i="1"/>
  <c r="I1169" i="1" s="1"/>
  <c r="H1170" i="1"/>
  <c r="I1170" i="1" s="1"/>
  <c r="H1171" i="1"/>
  <c r="I1171" i="1" s="1"/>
  <c r="H1172" i="1"/>
  <c r="I1172" i="1" s="1"/>
  <c r="H1173" i="1"/>
  <c r="I1173" i="1" s="1"/>
  <c r="H1174" i="1"/>
  <c r="I1174" i="1" s="1"/>
  <c r="H1175" i="1"/>
  <c r="I1175" i="1" s="1"/>
  <c r="H1176" i="1"/>
  <c r="I1176" i="1" s="1"/>
  <c r="H1177" i="1"/>
  <c r="I1177" i="1" s="1"/>
  <c r="H1178" i="1"/>
  <c r="I1178" i="1" s="1"/>
  <c r="H1179" i="1"/>
  <c r="I1179" i="1" s="1"/>
  <c r="H1180" i="1"/>
  <c r="I1180" i="1" s="1"/>
  <c r="H1181" i="1"/>
  <c r="I1181" i="1" s="1"/>
  <c r="H1182" i="1"/>
  <c r="I1182" i="1" s="1"/>
  <c r="H1183" i="1"/>
  <c r="I1183" i="1" s="1"/>
  <c r="H1184" i="1"/>
  <c r="I1184" i="1" s="1"/>
  <c r="H1185" i="1"/>
  <c r="I1185" i="1" s="1"/>
  <c r="H1186" i="1"/>
  <c r="I1186" i="1" s="1"/>
  <c r="H1187" i="1"/>
  <c r="I1187" i="1" s="1"/>
  <c r="H1188" i="1"/>
  <c r="I1188" i="1" s="1"/>
  <c r="H1189" i="1"/>
  <c r="I1189" i="1" s="1"/>
  <c r="H1190" i="1"/>
  <c r="I1190" i="1" s="1"/>
  <c r="H1191" i="1"/>
  <c r="I1191" i="1" s="1"/>
  <c r="H1192" i="1"/>
  <c r="I1192" i="1" s="1"/>
  <c r="H1193" i="1"/>
  <c r="I1193" i="1" s="1"/>
  <c r="H1194" i="1"/>
  <c r="I1194" i="1" s="1"/>
  <c r="H1195" i="1"/>
  <c r="I1195" i="1" s="1"/>
  <c r="H1196" i="1"/>
  <c r="I1196" i="1" s="1"/>
  <c r="H1197" i="1"/>
  <c r="I1197" i="1" s="1"/>
  <c r="H1198" i="1"/>
  <c r="I1198" i="1" s="1"/>
  <c r="H1199" i="1"/>
  <c r="I1199" i="1" s="1"/>
  <c r="H1200" i="1"/>
  <c r="I1200" i="1" s="1"/>
  <c r="H1201" i="1"/>
  <c r="I1201" i="1" s="1"/>
  <c r="H1202" i="1"/>
  <c r="I1202" i="1" s="1"/>
  <c r="H1203" i="1"/>
  <c r="I1203" i="1" s="1"/>
  <c r="H1204" i="1"/>
  <c r="I1204" i="1" s="1"/>
  <c r="H1205" i="1"/>
  <c r="I1205" i="1" s="1"/>
  <c r="H1206" i="1"/>
  <c r="I1206" i="1" s="1"/>
  <c r="H1207" i="1"/>
  <c r="I1207" i="1" s="1"/>
  <c r="H1208" i="1"/>
  <c r="I1208" i="1" s="1"/>
  <c r="H1209" i="1"/>
  <c r="I1209" i="1" s="1"/>
  <c r="H1210" i="1"/>
  <c r="I1210" i="1" s="1"/>
  <c r="H1211" i="1"/>
  <c r="I1211" i="1" s="1"/>
  <c r="H1212" i="1"/>
  <c r="I1212" i="1" s="1"/>
  <c r="H1213" i="1"/>
  <c r="I1213" i="1" s="1"/>
  <c r="H1214" i="1"/>
  <c r="I1214" i="1" s="1"/>
  <c r="H1215" i="1"/>
  <c r="I1215" i="1" s="1"/>
  <c r="H1216" i="1"/>
  <c r="I1216" i="1" s="1"/>
  <c r="H1217" i="1"/>
  <c r="I1217" i="1" s="1"/>
  <c r="H1218" i="1"/>
  <c r="I1218" i="1" s="1"/>
  <c r="H1219" i="1"/>
  <c r="I1219" i="1" s="1"/>
  <c r="H1220" i="1"/>
  <c r="I1220" i="1" s="1"/>
  <c r="H1221" i="1"/>
  <c r="I1221" i="1" s="1"/>
  <c r="H1222" i="1"/>
  <c r="I1222" i="1" s="1"/>
  <c r="H1223" i="1"/>
  <c r="I1223" i="1" s="1"/>
  <c r="H1224" i="1"/>
  <c r="I1224" i="1" s="1"/>
  <c r="H1225" i="1"/>
  <c r="I1225" i="1" s="1"/>
  <c r="H1226" i="1"/>
  <c r="I1226" i="1" s="1"/>
  <c r="H1227" i="1"/>
  <c r="I1227" i="1" s="1"/>
  <c r="H1228" i="1"/>
  <c r="I1228" i="1" s="1"/>
  <c r="H1229" i="1"/>
  <c r="I1229" i="1" s="1"/>
  <c r="H1230" i="1"/>
  <c r="I1230" i="1" s="1"/>
  <c r="H1231" i="1"/>
  <c r="I1231" i="1" s="1"/>
  <c r="H1232" i="1"/>
  <c r="I1232" i="1" s="1"/>
  <c r="H1233" i="1"/>
  <c r="I1233" i="1" s="1"/>
  <c r="H1234" i="1"/>
  <c r="I1234" i="1" s="1"/>
  <c r="H1235" i="1"/>
  <c r="I1235" i="1" s="1"/>
  <c r="H1236" i="1"/>
  <c r="I1236" i="1" s="1"/>
  <c r="H1237" i="1"/>
  <c r="I1237" i="1" s="1"/>
  <c r="H1238" i="1"/>
  <c r="I1238" i="1" s="1"/>
  <c r="H1239" i="1"/>
  <c r="I1239" i="1" s="1"/>
  <c r="H1240" i="1"/>
  <c r="I1240" i="1" s="1"/>
  <c r="H1241" i="1"/>
  <c r="I1241" i="1" s="1"/>
  <c r="H1242" i="1"/>
  <c r="I1242" i="1" s="1"/>
  <c r="H1243" i="1"/>
  <c r="I1243" i="1" s="1"/>
  <c r="H1244" i="1"/>
  <c r="I1244" i="1" s="1"/>
  <c r="H1245" i="1"/>
  <c r="I1245" i="1" s="1"/>
  <c r="H1246" i="1"/>
  <c r="I1246" i="1" s="1"/>
  <c r="H1247" i="1"/>
  <c r="I1247" i="1" s="1"/>
  <c r="H1248" i="1"/>
  <c r="I1248" i="1" s="1"/>
  <c r="H1249" i="1"/>
  <c r="I1249" i="1" s="1"/>
  <c r="H1250" i="1"/>
  <c r="I1250" i="1" s="1"/>
  <c r="H1251" i="1"/>
  <c r="I1251" i="1" s="1"/>
  <c r="H1252" i="1"/>
  <c r="I1252" i="1" s="1"/>
  <c r="H1253" i="1"/>
  <c r="I1253" i="1" s="1"/>
  <c r="H1254" i="1"/>
  <c r="I1254" i="1" s="1"/>
  <c r="H1255" i="1"/>
  <c r="I1255" i="1" s="1"/>
  <c r="H1256" i="1"/>
  <c r="I1256" i="1" s="1"/>
  <c r="H1257" i="1"/>
  <c r="I1257" i="1" s="1"/>
  <c r="H1258" i="1"/>
  <c r="I1258" i="1" s="1"/>
  <c r="H1259" i="1"/>
  <c r="I1259" i="1" s="1"/>
  <c r="H1260" i="1"/>
  <c r="I1260" i="1" s="1"/>
  <c r="H1261" i="1"/>
  <c r="I1261" i="1" s="1"/>
  <c r="H1262" i="1"/>
  <c r="I1262" i="1" s="1"/>
  <c r="H1263" i="1"/>
  <c r="I1263" i="1" s="1"/>
  <c r="H1264" i="1"/>
  <c r="I1264" i="1" s="1"/>
  <c r="H1265" i="1"/>
  <c r="I1265" i="1" s="1"/>
  <c r="H1266" i="1"/>
  <c r="I1266" i="1" s="1"/>
  <c r="H1267" i="1"/>
  <c r="I1267" i="1" s="1"/>
  <c r="H1268" i="1"/>
  <c r="I1268" i="1" s="1"/>
  <c r="H1269" i="1"/>
  <c r="I1269" i="1" s="1"/>
  <c r="H1270" i="1"/>
  <c r="I1270" i="1" s="1"/>
  <c r="H1271" i="1"/>
  <c r="I1271" i="1" s="1"/>
  <c r="H1272" i="1"/>
  <c r="I1272" i="1" s="1"/>
  <c r="H1273" i="1"/>
  <c r="I1273" i="1" s="1"/>
  <c r="H1274" i="1"/>
  <c r="I1274" i="1" s="1"/>
  <c r="H1275" i="1"/>
  <c r="I1275" i="1" s="1"/>
  <c r="H1276" i="1"/>
  <c r="I1276" i="1" s="1"/>
  <c r="H1277" i="1"/>
  <c r="I1277" i="1" s="1"/>
  <c r="H1278" i="1"/>
  <c r="I1278" i="1" s="1"/>
  <c r="H1279" i="1"/>
  <c r="I1279" i="1" s="1"/>
  <c r="H1280" i="1"/>
  <c r="I1280" i="1" s="1"/>
  <c r="H1281" i="1"/>
  <c r="I1281" i="1" s="1"/>
  <c r="H1282" i="1"/>
  <c r="I1282" i="1" s="1"/>
  <c r="H1283" i="1"/>
  <c r="I1283" i="1" s="1"/>
  <c r="H1284" i="1"/>
  <c r="I1284" i="1" s="1"/>
  <c r="H1285" i="1"/>
  <c r="I1285" i="1" s="1"/>
  <c r="H1286" i="1"/>
  <c r="I1286" i="1" s="1"/>
  <c r="H1287" i="1"/>
  <c r="I1287" i="1" s="1"/>
  <c r="H1288" i="1"/>
  <c r="I1288" i="1" s="1"/>
  <c r="H1289" i="1"/>
  <c r="I1289" i="1" s="1"/>
  <c r="H1290" i="1"/>
  <c r="I1290" i="1" s="1"/>
  <c r="H1291" i="1"/>
  <c r="I1291" i="1" s="1"/>
  <c r="H1292" i="1"/>
  <c r="I1292" i="1" s="1"/>
  <c r="H1293" i="1"/>
  <c r="I1293" i="1" s="1"/>
  <c r="H1294" i="1"/>
  <c r="I1294" i="1" s="1"/>
  <c r="H1295" i="1"/>
  <c r="I1295" i="1" s="1"/>
  <c r="H1296" i="1"/>
  <c r="I1296" i="1" s="1"/>
  <c r="H1297" i="1"/>
  <c r="I1297" i="1" s="1"/>
  <c r="H1298" i="1"/>
  <c r="I1298" i="1" s="1"/>
  <c r="H1299" i="1"/>
  <c r="I1299" i="1" s="1"/>
  <c r="H1300" i="1"/>
  <c r="I1300" i="1" s="1"/>
  <c r="H1301" i="1"/>
  <c r="I1301" i="1" s="1"/>
  <c r="H1302" i="1"/>
  <c r="I1302" i="1" s="1"/>
  <c r="H1303" i="1"/>
  <c r="I1303" i="1" s="1"/>
  <c r="H1304" i="1"/>
  <c r="I1304" i="1" s="1"/>
  <c r="H1305" i="1"/>
  <c r="I1305" i="1" s="1"/>
  <c r="H1306" i="1"/>
  <c r="I1306" i="1" s="1"/>
  <c r="H1307" i="1"/>
  <c r="I1307" i="1" s="1"/>
  <c r="H1308" i="1"/>
  <c r="I1308" i="1" s="1"/>
  <c r="H1309" i="1"/>
  <c r="I1309" i="1" s="1"/>
  <c r="H1310" i="1"/>
  <c r="I1310" i="1" s="1"/>
  <c r="H1311" i="1"/>
  <c r="I1311" i="1" s="1"/>
  <c r="H1312" i="1"/>
  <c r="I1312" i="1" s="1"/>
  <c r="H1313" i="1"/>
  <c r="I1313" i="1" s="1"/>
  <c r="H1314" i="1"/>
  <c r="I1314" i="1" s="1"/>
  <c r="H1315" i="1"/>
  <c r="I1315" i="1" s="1"/>
  <c r="H1316" i="1"/>
  <c r="I1316" i="1" s="1"/>
  <c r="H1317" i="1"/>
  <c r="I1317" i="1" s="1"/>
  <c r="H1318" i="1"/>
  <c r="I1318" i="1" s="1"/>
  <c r="H1319" i="1"/>
  <c r="I1319" i="1" s="1"/>
  <c r="H1320" i="1"/>
  <c r="I1320" i="1" s="1"/>
  <c r="H1321" i="1"/>
  <c r="I1321" i="1" s="1"/>
  <c r="H1322" i="1"/>
  <c r="I1322" i="1" s="1"/>
  <c r="H1323" i="1"/>
  <c r="I1323" i="1" s="1"/>
  <c r="H1324" i="1"/>
  <c r="I1324" i="1" s="1"/>
  <c r="H1325" i="1"/>
  <c r="I1325" i="1" s="1"/>
  <c r="H1326" i="1"/>
  <c r="I1326" i="1" s="1"/>
  <c r="H1327" i="1"/>
  <c r="I1327" i="1" s="1"/>
  <c r="H1328" i="1"/>
  <c r="I1328" i="1" s="1"/>
  <c r="H1329" i="1"/>
  <c r="I1329" i="1" s="1"/>
  <c r="H1330" i="1"/>
  <c r="I1330" i="1" s="1"/>
  <c r="H1331" i="1"/>
  <c r="I1331" i="1" s="1"/>
  <c r="H1332" i="1"/>
  <c r="I1332" i="1" s="1"/>
  <c r="H1333" i="1"/>
  <c r="I1333" i="1" s="1"/>
  <c r="H1334" i="1"/>
  <c r="I1334" i="1" s="1"/>
  <c r="H1335" i="1"/>
  <c r="I1335" i="1" s="1"/>
  <c r="H1336" i="1"/>
  <c r="I1336" i="1" s="1"/>
  <c r="H1337" i="1"/>
  <c r="I1337" i="1" s="1"/>
  <c r="H1338" i="1"/>
  <c r="I1338" i="1" s="1"/>
  <c r="H1339" i="1"/>
  <c r="I1339" i="1" s="1"/>
  <c r="H1340" i="1"/>
  <c r="I1340" i="1" s="1"/>
  <c r="H1341" i="1"/>
  <c r="I1341" i="1" s="1"/>
  <c r="H1342" i="1"/>
  <c r="I1342" i="1" s="1"/>
  <c r="H1343" i="1"/>
  <c r="I1343" i="1" s="1"/>
  <c r="H1344" i="1"/>
  <c r="I1344" i="1" s="1"/>
  <c r="H1345" i="1"/>
  <c r="I1345" i="1" s="1"/>
  <c r="H1346" i="1"/>
  <c r="I1346" i="1" s="1"/>
  <c r="H1347" i="1"/>
  <c r="I1347" i="1" s="1"/>
  <c r="H1348" i="1"/>
  <c r="I1348" i="1" s="1"/>
  <c r="H1349" i="1"/>
  <c r="I1349" i="1" s="1"/>
  <c r="H1350" i="1"/>
  <c r="I1350" i="1" s="1"/>
  <c r="H1351" i="1"/>
  <c r="I1351" i="1" s="1"/>
  <c r="H1352" i="1"/>
  <c r="I1352" i="1" s="1"/>
  <c r="H1353" i="1"/>
  <c r="I1353" i="1" s="1"/>
  <c r="H1354" i="1"/>
  <c r="I1354" i="1" s="1"/>
  <c r="H1355" i="1"/>
  <c r="I1355" i="1" s="1"/>
  <c r="H1356" i="1"/>
  <c r="I1356" i="1" s="1"/>
  <c r="H1357" i="1"/>
  <c r="I1357" i="1" s="1"/>
  <c r="H1358" i="1"/>
  <c r="I1358" i="1" s="1"/>
  <c r="H1359" i="1"/>
  <c r="I1359" i="1" s="1"/>
  <c r="H1360" i="1"/>
  <c r="I1360" i="1" s="1"/>
  <c r="H1361" i="1"/>
  <c r="I1361" i="1" s="1"/>
  <c r="H1362" i="1"/>
  <c r="I1362" i="1" s="1"/>
  <c r="H1363" i="1"/>
  <c r="I1363" i="1" s="1"/>
  <c r="H1364" i="1"/>
  <c r="I1364" i="1" s="1"/>
  <c r="H1365" i="1"/>
  <c r="I1365" i="1" s="1"/>
  <c r="H1366" i="1"/>
  <c r="I1366" i="1" s="1"/>
  <c r="H1367" i="1"/>
  <c r="I1367" i="1" s="1"/>
  <c r="H1368" i="1"/>
  <c r="I1368" i="1" s="1"/>
  <c r="H1369" i="1"/>
  <c r="I1369" i="1" s="1"/>
  <c r="H1370" i="1"/>
  <c r="I1370" i="1" s="1"/>
  <c r="H1371" i="1"/>
  <c r="I1371" i="1" s="1"/>
  <c r="H1372" i="1"/>
  <c r="I1372" i="1" s="1"/>
  <c r="H1373" i="1"/>
  <c r="I1373" i="1" s="1"/>
  <c r="H1374" i="1"/>
  <c r="I1374" i="1" s="1"/>
  <c r="H1375" i="1"/>
  <c r="I1375" i="1" s="1"/>
  <c r="H1376" i="1"/>
  <c r="I1376" i="1" s="1"/>
  <c r="H1377" i="1"/>
  <c r="I1377" i="1" s="1"/>
  <c r="H1378" i="1"/>
  <c r="I1378" i="1" s="1"/>
  <c r="H1379" i="1"/>
  <c r="I1379" i="1" s="1"/>
  <c r="H1380" i="1"/>
  <c r="I1380" i="1" s="1"/>
  <c r="H1381" i="1"/>
  <c r="I1381" i="1" s="1"/>
  <c r="H1382" i="1"/>
  <c r="I1382" i="1" s="1"/>
  <c r="H1383" i="1"/>
  <c r="I1383" i="1" s="1"/>
  <c r="H1384" i="1"/>
  <c r="I1384" i="1" s="1"/>
  <c r="H1385" i="1"/>
  <c r="I1385" i="1" s="1"/>
  <c r="H1386" i="1"/>
  <c r="I1386" i="1" s="1"/>
  <c r="H1387" i="1"/>
  <c r="I1387" i="1" s="1"/>
  <c r="H1388" i="1"/>
  <c r="I1388" i="1" s="1"/>
  <c r="H1389" i="1"/>
  <c r="I1389" i="1" s="1"/>
  <c r="H1390" i="1"/>
  <c r="I1390" i="1" s="1"/>
  <c r="H1391" i="1"/>
  <c r="I1391" i="1" s="1"/>
  <c r="H1392" i="1"/>
  <c r="I1392" i="1" s="1"/>
  <c r="H1393" i="1"/>
  <c r="I1393" i="1" s="1"/>
  <c r="H1394" i="1"/>
  <c r="I1394" i="1" s="1"/>
  <c r="H1395" i="1"/>
  <c r="I1395" i="1" s="1"/>
  <c r="H1396" i="1"/>
  <c r="I1396" i="1" s="1"/>
  <c r="H1397" i="1"/>
  <c r="I1397" i="1" s="1"/>
  <c r="H1398" i="1"/>
  <c r="I1398" i="1" s="1"/>
  <c r="H1399" i="1"/>
  <c r="I1399" i="1" s="1"/>
  <c r="H1400" i="1"/>
  <c r="I1400" i="1" s="1"/>
  <c r="H1401" i="1"/>
  <c r="I1401" i="1" s="1"/>
  <c r="H1402" i="1"/>
  <c r="I1402" i="1" s="1"/>
  <c r="H1403" i="1"/>
  <c r="I1403" i="1" s="1"/>
  <c r="H1404" i="1"/>
  <c r="I1404" i="1" s="1"/>
  <c r="H1405" i="1"/>
  <c r="I1405" i="1" s="1"/>
  <c r="H1406" i="1"/>
  <c r="I1406" i="1" s="1"/>
  <c r="H1407" i="1"/>
  <c r="I1407" i="1" s="1"/>
  <c r="H1408" i="1"/>
  <c r="I1408" i="1" s="1"/>
  <c r="H1409" i="1"/>
  <c r="I1409" i="1" s="1"/>
  <c r="H1410" i="1"/>
  <c r="I1410" i="1" s="1"/>
  <c r="H1411" i="1"/>
  <c r="I1411" i="1" s="1"/>
  <c r="H1412" i="1"/>
  <c r="I1412" i="1" s="1"/>
  <c r="H1413" i="1"/>
  <c r="I1413" i="1" s="1"/>
  <c r="H1414" i="1"/>
  <c r="I1414" i="1" s="1"/>
  <c r="H1415" i="1"/>
  <c r="I1415" i="1" s="1"/>
  <c r="H1416" i="1"/>
  <c r="I1416" i="1" s="1"/>
  <c r="H1417" i="1"/>
  <c r="I1417" i="1" s="1"/>
  <c r="H1418" i="1"/>
  <c r="I1418" i="1" s="1"/>
  <c r="H1419" i="1"/>
  <c r="I1419" i="1" s="1"/>
  <c r="H1420" i="1"/>
  <c r="I1420" i="1" s="1"/>
  <c r="H1421" i="1"/>
  <c r="I1421" i="1" s="1"/>
  <c r="H1422" i="1"/>
  <c r="I1422" i="1" s="1"/>
  <c r="H1423" i="1"/>
  <c r="I1423" i="1" s="1"/>
  <c r="H1424" i="1"/>
  <c r="I1424" i="1" s="1"/>
  <c r="H1425" i="1"/>
  <c r="I1425" i="1" s="1"/>
  <c r="H1426" i="1"/>
  <c r="I1426" i="1" s="1"/>
  <c r="H1427" i="1"/>
  <c r="I1427" i="1" s="1"/>
  <c r="H1428" i="1"/>
  <c r="I1428" i="1" s="1"/>
  <c r="H1429" i="1"/>
  <c r="I1429" i="1" s="1"/>
  <c r="H1430" i="1"/>
  <c r="I1430" i="1" s="1"/>
  <c r="H1431" i="1"/>
  <c r="I1431" i="1" s="1"/>
  <c r="H1432" i="1"/>
  <c r="I1432" i="1" s="1"/>
  <c r="H1433" i="1"/>
  <c r="I1433" i="1" s="1"/>
  <c r="H1434" i="1"/>
  <c r="I1434" i="1" s="1"/>
  <c r="H1435" i="1"/>
  <c r="I1435" i="1" s="1"/>
  <c r="H1436" i="1"/>
  <c r="I1436" i="1" s="1"/>
  <c r="H1437" i="1"/>
  <c r="I1437" i="1" s="1"/>
  <c r="H1438" i="1"/>
  <c r="I1438" i="1" s="1"/>
  <c r="H1439" i="1"/>
  <c r="I1439" i="1" s="1"/>
  <c r="H1440" i="1"/>
  <c r="I1440" i="1" s="1"/>
  <c r="H1441" i="1"/>
  <c r="I1441" i="1" s="1"/>
  <c r="H1442" i="1"/>
  <c r="I1442" i="1" s="1"/>
  <c r="H1443" i="1"/>
  <c r="I1443" i="1" s="1"/>
  <c r="H1444" i="1"/>
  <c r="I1444" i="1" s="1"/>
  <c r="H1445" i="1"/>
  <c r="I1445" i="1" s="1"/>
  <c r="H1446" i="1"/>
  <c r="I1446" i="1" s="1"/>
  <c r="H1447" i="1"/>
  <c r="I1447" i="1" s="1"/>
  <c r="H1448" i="1"/>
  <c r="I1448" i="1" s="1"/>
  <c r="H1449" i="1"/>
  <c r="I1449" i="1" s="1"/>
  <c r="H1450" i="1"/>
  <c r="I1450" i="1" s="1"/>
  <c r="H1451" i="1"/>
  <c r="I1451" i="1" s="1"/>
  <c r="H1452" i="1"/>
  <c r="I1452" i="1" s="1"/>
  <c r="H1453" i="1"/>
  <c r="I1453" i="1" s="1"/>
  <c r="H1454" i="1"/>
  <c r="I1454" i="1" s="1"/>
  <c r="H1455" i="1"/>
  <c r="I1455" i="1" s="1"/>
  <c r="H1456" i="1"/>
  <c r="I1456" i="1" s="1"/>
  <c r="H1457" i="1"/>
  <c r="I1457" i="1" s="1"/>
  <c r="H1458" i="1"/>
  <c r="I1458" i="1" s="1"/>
  <c r="H1459" i="1"/>
  <c r="I1459" i="1" s="1"/>
  <c r="H1460" i="1"/>
  <c r="I1460" i="1" s="1"/>
  <c r="H1461" i="1"/>
  <c r="I1461" i="1" s="1"/>
  <c r="H1462" i="1"/>
  <c r="I1462" i="1" s="1"/>
  <c r="H1463" i="1"/>
  <c r="I1463" i="1" s="1"/>
  <c r="H1464" i="1"/>
  <c r="I1464" i="1" s="1"/>
  <c r="H1465" i="1"/>
  <c r="I1465" i="1" s="1"/>
  <c r="H1466" i="1"/>
  <c r="I1466" i="1" s="1"/>
  <c r="H1467" i="1"/>
  <c r="I1467" i="1" s="1"/>
  <c r="H1468" i="1"/>
  <c r="I1468" i="1" s="1"/>
  <c r="H1469" i="1"/>
  <c r="I1469" i="1" s="1"/>
  <c r="H1470" i="1"/>
  <c r="I1470" i="1" s="1"/>
  <c r="H1471" i="1"/>
  <c r="I1471" i="1" s="1"/>
  <c r="H1472" i="1"/>
  <c r="I1472" i="1" s="1"/>
  <c r="H1473" i="1"/>
  <c r="I1473" i="1" s="1"/>
  <c r="H1474" i="1"/>
  <c r="I1474" i="1" s="1"/>
  <c r="H1475" i="1"/>
  <c r="I1475" i="1" s="1"/>
  <c r="H1476" i="1"/>
  <c r="I1476" i="1" s="1"/>
  <c r="H1477" i="1"/>
  <c r="I1477" i="1" s="1"/>
  <c r="H1478" i="1"/>
  <c r="I1478" i="1" s="1"/>
  <c r="H1479" i="1"/>
  <c r="I1479" i="1" s="1"/>
  <c r="H1480" i="1"/>
  <c r="I1480" i="1" s="1"/>
  <c r="H1481" i="1"/>
  <c r="I1481" i="1" s="1"/>
  <c r="H1482" i="1"/>
  <c r="I1482" i="1" s="1"/>
  <c r="H1483" i="1"/>
  <c r="I1483" i="1" s="1"/>
  <c r="H1484" i="1"/>
  <c r="I1484" i="1" s="1"/>
  <c r="H1485" i="1"/>
  <c r="I1485" i="1" s="1"/>
  <c r="H1486" i="1"/>
  <c r="I1486" i="1" s="1"/>
  <c r="H1487" i="1"/>
  <c r="I1487" i="1" s="1"/>
  <c r="H1488" i="1"/>
  <c r="I1488" i="1" s="1"/>
  <c r="H1489" i="1"/>
  <c r="I1489" i="1" s="1"/>
  <c r="H1490" i="1"/>
  <c r="I1490" i="1" s="1"/>
  <c r="H1491" i="1"/>
  <c r="I1491" i="1" s="1"/>
  <c r="H1492" i="1"/>
  <c r="I1492" i="1" s="1"/>
  <c r="H1493" i="1"/>
  <c r="I1493" i="1" s="1"/>
  <c r="H1494" i="1"/>
  <c r="I1494" i="1" s="1"/>
  <c r="H1495" i="1"/>
  <c r="I1495" i="1" s="1"/>
  <c r="H1496" i="1"/>
  <c r="I1496" i="1" s="1"/>
  <c r="H1497" i="1"/>
  <c r="I1497" i="1" s="1"/>
  <c r="H1498" i="1"/>
  <c r="I1498" i="1" s="1"/>
  <c r="H1499" i="1"/>
  <c r="I1499" i="1" s="1"/>
  <c r="H1500" i="1"/>
  <c r="I1500" i="1" s="1"/>
  <c r="H1501" i="1"/>
  <c r="I1501" i="1" s="1"/>
  <c r="H1502" i="1"/>
  <c r="I1502" i="1" s="1"/>
  <c r="H1503" i="1"/>
  <c r="I1503" i="1" s="1"/>
  <c r="H1504" i="1"/>
  <c r="I1504" i="1" s="1"/>
  <c r="H1505" i="1"/>
  <c r="I1505" i="1" s="1"/>
  <c r="H1506" i="1"/>
  <c r="I1506" i="1" s="1"/>
  <c r="H1507" i="1"/>
  <c r="I1507" i="1" s="1"/>
  <c r="H1508" i="1"/>
  <c r="I1508" i="1" s="1"/>
  <c r="H1509" i="1"/>
  <c r="I1509" i="1" s="1"/>
  <c r="H1510" i="1"/>
  <c r="I1510" i="1" s="1"/>
  <c r="H1511" i="1"/>
  <c r="I1511" i="1" s="1"/>
  <c r="H1512" i="1"/>
  <c r="I1512" i="1" s="1"/>
  <c r="H1513" i="1"/>
  <c r="I1513" i="1" s="1"/>
  <c r="H1514" i="1"/>
  <c r="I1514" i="1" s="1"/>
  <c r="H1515" i="1"/>
  <c r="I1515" i="1" s="1"/>
  <c r="H1516" i="1"/>
  <c r="I1516" i="1" s="1"/>
  <c r="H1517" i="1"/>
  <c r="I1517" i="1" s="1"/>
  <c r="H1518" i="1"/>
  <c r="I1518" i="1" s="1"/>
  <c r="H1519" i="1"/>
  <c r="I1519" i="1" s="1"/>
  <c r="H1520" i="1"/>
  <c r="I1520" i="1" s="1"/>
  <c r="H1521" i="1"/>
  <c r="I1521" i="1" s="1"/>
  <c r="H1522" i="1"/>
  <c r="I1522" i="1" s="1"/>
  <c r="H1523" i="1"/>
  <c r="I1523" i="1" s="1"/>
  <c r="H1524" i="1"/>
  <c r="I1524" i="1" s="1"/>
  <c r="H1525" i="1"/>
  <c r="I1525" i="1" s="1"/>
  <c r="H1526" i="1"/>
  <c r="I1526" i="1" s="1"/>
  <c r="H1527" i="1"/>
  <c r="I1527" i="1" s="1"/>
  <c r="H1528" i="1"/>
  <c r="I1528" i="1" s="1"/>
  <c r="H1529" i="1"/>
  <c r="I1529" i="1" s="1"/>
  <c r="H1530" i="1"/>
  <c r="I1530" i="1" s="1"/>
  <c r="H1531" i="1"/>
  <c r="I1531" i="1" s="1"/>
  <c r="H1532" i="1"/>
  <c r="I1532" i="1" s="1"/>
  <c r="H1533" i="1"/>
  <c r="I1533" i="1" s="1"/>
  <c r="H1534" i="1"/>
  <c r="I1534" i="1" s="1"/>
  <c r="H1535" i="1"/>
  <c r="I1535" i="1" s="1"/>
  <c r="H1536" i="1"/>
  <c r="I1536" i="1" s="1"/>
  <c r="H1537" i="1"/>
  <c r="I1537" i="1" s="1"/>
  <c r="H1538" i="1"/>
  <c r="I1538" i="1" s="1"/>
  <c r="H1539" i="1"/>
  <c r="I1539" i="1" s="1"/>
  <c r="H1540" i="1"/>
  <c r="I1540" i="1" s="1"/>
  <c r="H1541" i="1"/>
  <c r="I1541" i="1" s="1"/>
  <c r="H1542" i="1"/>
  <c r="I1542" i="1" s="1"/>
  <c r="H1543" i="1"/>
  <c r="I1543" i="1" s="1"/>
  <c r="H1544" i="1"/>
  <c r="I1544" i="1" s="1"/>
  <c r="H1545" i="1"/>
  <c r="I1545" i="1" s="1"/>
  <c r="H1546" i="1"/>
  <c r="I1546" i="1" s="1"/>
  <c r="H1547" i="1"/>
  <c r="I1547" i="1" s="1"/>
  <c r="H1548" i="1"/>
  <c r="I1548" i="1" s="1"/>
  <c r="H1549" i="1"/>
  <c r="I1549" i="1" s="1"/>
  <c r="H1550" i="1"/>
  <c r="I1550" i="1" s="1"/>
  <c r="H1551" i="1"/>
  <c r="I1551" i="1" s="1"/>
  <c r="H1552" i="1"/>
  <c r="I1552" i="1" s="1"/>
  <c r="H1553" i="1"/>
  <c r="I1553" i="1" s="1"/>
  <c r="H1554" i="1"/>
  <c r="I1554" i="1" s="1"/>
  <c r="H1555" i="1"/>
  <c r="I1555" i="1" s="1"/>
  <c r="H1556" i="1"/>
  <c r="I1556" i="1" s="1"/>
  <c r="H1557" i="1"/>
  <c r="I1557" i="1" s="1"/>
  <c r="H1558" i="1"/>
  <c r="I1558" i="1" s="1"/>
  <c r="H1559" i="1"/>
  <c r="I1559" i="1" s="1"/>
  <c r="H1560" i="1"/>
  <c r="I1560" i="1" s="1"/>
  <c r="H1561" i="1"/>
  <c r="I1561" i="1" s="1"/>
  <c r="H1562" i="1"/>
  <c r="I1562" i="1" s="1"/>
  <c r="H1563" i="1"/>
  <c r="I1563" i="1" s="1"/>
  <c r="H1564" i="1"/>
  <c r="I1564" i="1" s="1"/>
  <c r="H1565" i="1"/>
  <c r="I1565" i="1" s="1"/>
  <c r="H1566" i="1"/>
  <c r="I1566" i="1" s="1"/>
  <c r="H1567" i="1"/>
  <c r="I1567" i="1" s="1"/>
  <c r="H1568" i="1"/>
  <c r="I1568" i="1" s="1"/>
  <c r="H1569" i="1"/>
  <c r="I1569" i="1" s="1"/>
  <c r="H1570" i="1"/>
  <c r="I1570" i="1" s="1"/>
  <c r="H1571" i="1"/>
  <c r="I1571" i="1" s="1"/>
  <c r="H1572" i="1"/>
  <c r="I1572" i="1" s="1"/>
  <c r="H1573" i="1"/>
  <c r="I1573" i="1" s="1"/>
  <c r="H1574" i="1"/>
  <c r="I1574" i="1" s="1"/>
  <c r="H1575" i="1"/>
  <c r="I1575" i="1" s="1"/>
  <c r="H1576" i="1"/>
  <c r="I1576" i="1" s="1"/>
  <c r="H1577" i="1"/>
  <c r="I1577" i="1" s="1"/>
  <c r="H1578" i="1"/>
  <c r="I1578" i="1" s="1"/>
  <c r="H1579" i="1"/>
  <c r="I1579" i="1" s="1"/>
  <c r="H1580" i="1"/>
  <c r="I1580" i="1" s="1"/>
  <c r="H1581" i="1"/>
  <c r="I1581" i="1" s="1"/>
  <c r="H1582" i="1"/>
  <c r="I1582" i="1" s="1"/>
  <c r="H1583" i="1"/>
  <c r="I1583" i="1" s="1"/>
  <c r="H1584" i="1"/>
  <c r="I1584" i="1" s="1"/>
  <c r="H1585" i="1"/>
  <c r="I1585" i="1" s="1"/>
  <c r="H1586" i="1"/>
  <c r="I1586" i="1" s="1"/>
  <c r="H1587" i="1"/>
  <c r="I1587" i="1" s="1"/>
  <c r="H1588" i="1"/>
  <c r="I1588" i="1" s="1"/>
  <c r="H1589" i="1"/>
  <c r="I1589" i="1" s="1"/>
  <c r="H1590" i="1"/>
  <c r="I1590" i="1" s="1"/>
  <c r="H1591" i="1"/>
  <c r="I1591" i="1" s="1"/>
  <c r="H1592" i="1"/>
  <c r="I1592" i="1" s="1"/>
  <c r="H1593" i="1"/>
  <c r="I1593" i="1" s="1"/>
  <c r="H1594" i="1"/>
  <c r="I1594" i="1" s="1"/>
  <c r="H1595" i="1"/>
  <c r="I1595" i="1" s="1"/>
  <c r="H1596" i="1"/>
  <c r="I1596" i="1" s="1"/>
  <c r="H1597" i="1"/>
  <c r="I1597" i="1" s="1"/>
  <c r="H1598" i="1"/>
  <c r="I1598" i="1" s="1"/>
  <c r="H1599" i="1"/>
  <c r="I1599" i="1" s="1"/>
  <c r="H1600" i="1"/>
  <c r="I1600" i="1" s="1"/>
  <c r="H1601" i="1"/>
  <c r="I1601" i="1" s="1"/>
  <c r="H1602" i="1"/>
  <c r="I1602" i="1" s="1"/>
  <c r="H1603" i="1"/>
  <c r="I1603" i="1" s="1"/>
  <c r="H1604" i="1"/>
  <c r="I1604" i="1" s="1"/>
  <c r="H1605" i="1"/>
  <c r="I1605" i="1" s="1"/>
  <c r="H1606" i="1"/>
  <c r="I1606" i="1" s="1"/>
  <c r="H1607" i="1"/>
  <c r="I1607" i="1" s="1"/>
  <c r="H1608" i="1"/>
  <c r="I1608" i="1" s="1"/>
  <c r="H1609" i="1"/>
  <c r="I1609" i="1" s="1"/>
  <c r="H1610" i="1"/>
  <c r="I1610" i="1" s="1"/>
  <c r="H1611" i="1"/>
  <c r="I1611" i="1" s="1"/>
  <c r="H1612" i="1"/>
  <c r="I1612" i="1" s="1"/>
  <c r="H1613" i="1"/>
  <c r="I1613" i="1" s="1"/>
  <c r="H1614" i="1"/>
  <c r="I1614" i="1" s="1"/>
  <c r="H1615" i="1"/>
  <c r="I1615" i="1" s="1"/>
  <c r="H1616" i="1"/>
  <c r="I1616" i="1" s="1"/>
  <c r="H1617" i="1"/>
  <c r="I1617" i="1" s="1"/>
  <c r="H1618" i="1"/>
  <c r="I1618" i="1" s="1"/>
  <c r="H1619" i="1"/>
  <c r="I1619" i="1" s="1"/>
  <c r="H1620" i="1"/>
  <c r="I1620" i="1" s="1"/>
  <c r="H1621" i="1"/>
  <c r="I1621" i="1" s="1"/>
  <c r="H1622" i="1"/>
  <c r="I1622" i="1" s="1"/>
  <c r="H1623" i="1"/>
  <c r="I1623" i="1" s="1"/>
  <c r="H1624" i="1"/>
  <c r="I1624" i="1" s="1"/>
  <c r="H1625" i="1"/>
  <c r="I1625" i="1" s="1"/>
  <c r="H1626" i="1"/>
  <c r="I1626" i="1" s="1"/>
  <c r="H1627" i="1"/>
  <c r="I1627" i="1" s="1"/>
  <c r="H1628" i="1"/>
  <c r="I1628" i="1" s="1"/>
  <c r="H1629" i="1"/>
  <c r="I1629" i="1" s="1"/>
  <c r="H1630" i="1"/>
  <c r="I1630" i="1" s="1"/>
  <c r="H1631" i="1"/>
  <c r="I1631" i="1" s="1"/>
  <c r="H1632" i="1"/>
  <c r="I1632" i="1" s="1"/>
  <c r="H1633" i="1"/>
  <c r="I1633" i="1" s="1"/>
  <c r="H1634" i="1"/>
  <c r="I1634" i="1" s="1"/>
  <c r="H1635" i="1"/>
  <c r="I1635" i="1" s="1"/>
  <c r="H1636" i="1"/>
  <c r="I1636" i="1" s="1"/>
  <c r="H1637" i="1"/>
  <c r="I1637" i="1" s="1"/>
  <c r="H1638" i="1"/>
  <c r="I1638" i="1" s="1"/>
  <c r="H1639" i="1"/>
  <c r="I1639" i="1" s="1"/>
  <c r="H1640" i="1"/>
  <c r="I1640" i="1" s="1"/>
  <c r="H1641" i="1"/>
  <c r="I1641" i="1" s="1"/>
  <c r="H1642" i="1"/>
  <c r="I1642" i="1" s="1"/>
  <c r="H1643" i="1"/>
  <c r="I1643" i="1" s="1"/>
  <c r="H1644" i="1"/>
  <c r="I1644" i="1" s="1"/>
  <c r="H1645" i="1"/>
  <c r="I1645" i="1" s="1"/>
  <c r="H1646" i="1"/>
  <c r="I1646" i="1" s="1"/>
  <c r="H1647" i="1"/>
  <c r="I1647" i="1" s="1"/>
  <c r="H1648" i="1"/>
  <c r="I1648" i="1" s="1"/>
  <c r="H1649" i="1"/>
  <c r="I1649" i="1" s="1"/>
  <c r="H1650" i="1"/>
  <c r="I1650" i="1" s="1"/>
  <c r="H1651" i="1"/>
  <c r="I1651" i="1" s="1"/>
  <c r="H1652" i="1"/>
  <c r="I1652" i="1" s="1"/>
  <c r="H1653" i="1"/>
  <c r="I1653" i="1" s="1"/>
  <c r="H1654" i="1"/>
  <c r="I1654" i="1" s="1"/>
  <c r="H1655" i="1"/>
  <c r="I1655" i="1" s="1"/>
  <c r="H1656" i="1"/>
  <c r="I1656" i="1" s="1"/>
  <c r="H1657" i="1"/>
  <c r="I1657" i="1" s="1"/>
  <c r="H1658" i="1"/>
  <c r="I1658" i="1" s="1"/>
  <c r="H1659" i="1"/>
  <c r="I1659" i="1" s="1"/>
  <c r="H1660" i="1"/>
  <c r="I1660" i="1" s="1"/>
  <c r="H1661" i="1"/>
  <c r="I1661" i="1" s="1"/>
  <c r="H1662" i="1"/>
  <c r="I1662" i="1" s="1"/>
  <c r="H1663" i="1"/>
  <c r="I1663" i="1" s="1"/>
  <c r="H1664" i="1"/>
  <c r="I1664" i="1" s="1"/>
  <c r="H1665" i="1"/>
  <c r="I1665" i="1" s="1"/>
  <c r="H1666" i="1"/>
  <c r="I1666" i="1" s="1"/>
  <c r="H1667" i="1"/>
  <c r="I1667" i="1" s="1"/>
  <c r="H1668" i="1"/>
  <c r="I1668" i="1" s="1"/>
  <c r="H1669" i="1"/>
  <c r="I1669" i="1" s="1"/>
  <c r="H1670" i="1"/>
  <c r="I1670" i="1" s="1"/>
  <c r="H1671" i="1"/>
  <c r="I1671" i="1" s="1"/>
  <c r="H1672" i="1"/>
  <c r="I1672" i="1" s="1"/>
  <c r="H1673" i="1"/>
  <c r="I1673" i="1" s="1"/>
  <c r="H1674" i="1"/>
  <c r="I1674" i="1" s="1"/>
  <c r="H1675" i="1"/>
  <c r="I1675" i="1" s="1"/>
  <c r="H1676" i="1"/>
  <c r="I1676" i="1" s="1"/>
  <c r="H1677" i="1"/>
  <c r="I1677" i="1" s="1"/>
  <c r="H1678" i="1"/>
  <c r="I1678" i="1" s="1"/>
  <c r="H1679" i="1"/>
  <c r="I1679" i="1" s="1"/>
  <c r="H1680" i="1"/>
  <c r="I1680" i="1" s="1"/>
  <c r="H1681" i="1"/>
  <c r="I1681" i="1" s="1"/>
  <c r="H1682" i="1"/>
  <c r="I1682" i="1" s="1"/>
  <c r="H1683" i="1"/>
  <c r="I1683" i="1" s="1"/>
  <c r="H1684" i="1"/>
  <c r="I1684" i="1" s="1"/>
  <c r="H1685" i="1"/>
  <c r="I1685" i="1" s="1"/>
  <c r="H1686" i="1"/>
  <c r="I1686" i="1" s="1"/>
  <c r="H1687" i="1"/>
  <c r="I1687" i="1" s="1"/>
  <c r="H1688" i="1"/>
  <c r="I1688" i="1" s="1"/>
  <c r="H1689" i="1"/>
  <c r="I1689" i="1" s="1"/>
  <c r="H1690" i="1"/>
  <c r="I1690" i="1" s="1"/>
  <c r="H1691" i="1"/>
  <c r="I1691" i="1" s="1"/>
  <c r="H1692" i="1"/>
  <c r="I1692" i="1" s="1"/>
  <c r="H1693" i="1"/>
  <c r="I1693" i="1" s="1"/>
  <c r="H1694" i="1"/>
  <c r="I1694" i="1" s="1"/>
  <c r="H1695" i="1"/>
  <c r="I1695" i="1" s="1"/>
  <c r="H1696" i="1"/>
  <c r="I1696" i="1" s="1"/>
  <c r="H1697" i="1"/>
  <c r="I1697" i="1" s="1"/>
  <c r="H1698" i="1"/>
  <c r="I1698" i="1" s="1"/>
  <c r="H1699" i="1"/>
  <c r="I1699" i="1" s="1"/>
  <c r="H1700" i="1"/>
  <c r="I1700" i="1" s="1"/>
  <c r="H1701" i="1"/>
  <c r="I1701" i="1" s="1"/>
  <c r="H1702" i="1"/>
  <c r="I1702" i="1" s="1"/>
  <c r="H1703" i="1"/>
  <c r="I1703" i="1" s="1"/>
  <c r="H1704" i="1"/>
  <c r="I1704" i="1" s="1"/>
  <c r="H1705" i="1"/>
  <c r="I1705" i="1" s="1"/>
  <c r="H1706" i="1"/>
  <c r="I1706" i="1" s="1"/>
  <c r="H1707" i="1"/>
  <c r="I1707" i="1" s="1"/>
  <c r="H1708" i="1"/>
  <c r="I1708" i="1" s="1"/>
  <c r="H1709" i="1"/>
  <c r="I1709" i="1" s="1"/>
  <c r="H1710" i="1"/>
  <c r="I1710" i="1" s="1"/>
  <c r="H1711" i="1"/>
  <c r="I1711" i="1" s="1"/>
  <c r="H1712" i="1"/>
  <c r="I1712" i="1" s="1"/>
  <c r="H1713" i="1"/>
  <c r="I1713" i="1" s="1"/>
  <c r="H1714" i="1"/>
  <c r="I1714" i="1" s="1"/>
  <c r="H1715" i="1"/>
  <c r="I1715" i="1" s="1"/>
  <c r="H1716" i="1"/>
  <c r="I1716" i="1" s="1"/>
  <c r="H1717" i="1"/>
  <c r="I1717" i="1" s="1"/>
  <c r="H1718" i="1"/>
  <c r="I1718" i="1" s="1"/>
  <c r="H1719" i="1"/>
  <c r="I1719" i="1" s="1"/>
  <c r="H1720" i="1"/>
  <c r="I1720" i="1" s="1"/>
  <c r="H1721" i="1"/>
  <c r="I1721" i="1" s="1"/>
  <c r="H1722" i="1"/>
  <c r="I1722" i="1" s="1"/>
  <c r="H1723" i="1"/>
  <c r="I1723" i="1" s="1"/>
  <c r="H1724" i="1"/>
  <c r="I1724" i="1" s="1"/>
  <c r="H1725" i="1"/>
  <c r="I1725" i="1" s="1"/>
  <c r="H1726" i="1"/>
  <c r="I1726" i="1" s="1"/>
  <c r="H1727" i="1"/>
  <c r="I1727" i="1" s="1"/>
  <c r="H1728" i="1"/>
  <c r="I1728" i="1" s="1"/>
  <c r="H1729" i="1"/>
  <c r="I1729" i="1" s="1"/>
  <c r="H1730" i="1"/>
  <c r="I1730" i="1" s="1"/>
  <c r="H1731" i="1"/>
  <c r="I1731" i="1" s="1"/>
  <c r="H1732" i="1"/>
  <c r="I1732" i="1" s="1"/>
  <c r="H1733" i="1"/>
  <c r="I1733" i="1" s="1"/>
  <c r="H1734" i="1"/>
  <c r="I1734" i="1" s="1"/>
  <c r="H1735" i="1"/>
  <c r="I1735" i="1" s="1"/>
  <c r="H1736" i="1"/>
  <c r="I1736" i="1" s="1"/>
  <c r="H1737" i="1"/>
  <c r="I1737" i="1" s="1"/>
  <c r="H1738" i="1"/>
  <c r="I1738" i="1" s="1"/>
  <c r="H1739" i="1"/>
  <c r="I1739" i="1" s="1"/>
  <c r="H1740" i="1"/>
  <c r="I1740" i="1" s="1"/>
  <c r="H1741" i="1"/>
  <c r="I1741" i="1" s="1"/>
  <c r="H1742" i="1"/>
  <c r="I1742" i="1" s="1"/>
  <c r="H1743" i="1"/>
  <c r="I1743" i="1" s="1"/>
  <c r="H1744" i="1"/>
  <c r="I1744" i="1" s="1"/>
  <c r="H1745" i="1"/>
  <c r="I1745" i="1" s="1"/>
  <c r="H1746" i="1"/>
  <c r="I1746" i="1" s="1"/>
  <c r="H1747" i="1"/>
  <c r="I1747" i="1" s="1"/>
  <c r="H1748" i="1"/>
  <c r="I1748" i="1" s="1"/>
  <c r="H1749" i="1"/>
  <c r="I1749" i="1" s="1"/>
  <c r="H1750" i="1"/>
  <c r="I1750" i="1" s="1"/>
  <c r="H1751" i="1"/>
  <c r="I1751" i="1" s="1"/>
  <c r="H1752" i="1"/>
  <c r="I1752" i="1" s="1"/>
  <c r="H1753" i="1"/>
  <c r="I1753" i="1" s="1"/>
  <c r="H1754" i="1"/>
  <c r="I1754" i="1" s="1"/>
  <c r="H1755" i="1"/>
  <c r="I1755" i="1" s="1"/>
  <c r="H1756" i="1"/>
  <c r="I1756" i="1" s="1"/>
  <c r="H1757" i="1"/>
  <c r="I1757" i="1" s="1"/>
  <c r="H1758" i="1"/>
  <c r="I1758" i="1" s="1"/>
  <c r="H1759" i="1"/>
  <c r="I1759" i="1" s="1"/>
  <c r="H1760" i="1"/>
  <c r="I1760" i="1" s="1"/>
  <c r="H1761" i="1"/>
  <c r="I1761" i="1" s="1"/>
  <c r="H1762" i="1"/>
  <c r="I1762" i="1" s="1"/>
  <c r="H1763" i="1"/>
  <c r="I1763" i="1" s="1"/>
  <c r="H1764" i="1"/>
  <c r="I1764" i="1" s="1"/>
  <c r="H1765" i="1"/>
  <c r="I1765" i="1" s="1"/>
  <c r="H1766" i="1"/>
  <c r="I1766" i="1" s="1"/>
  <c r="H1767" i="1"/>
  <c r="I1767" i="1" s="1"/>
  <c r="H1768" i="1"/>
  <c r="I1768" i="1" s="1"/>
  <c r="H1769" i="1"/>
  <c r="I1769" i="1" s="1"/>
  <c r="H1770" i="1"/>
  <c r="I1770" i="1" s="1"/>
  <c r="H1771" i="1"/>
  <c r="I1771" i="1" s="1"/>
  <c r="H1772" i="1"/>
  <c r="I1772" i="1" s="1"/>
  <c r="H1773" i="1"/>
  <c r="I1773" i="1" s="1"/>
  <c r="H1774" i="1"/>
  <c r="I1774" i="1" s="1"/>
  <c r="H1775" i="1"/>
  <c r="I1775" i="1" s="1"/>
  <c r="H1776" i="1"/>
  <c r="I1776" i="1" s="1"/>
  <c r="H1777" i="1"/>
  <c r="I1777" i="1" s="1"/>
  <c r="H1778" i="1"/>
  <c r="I1778" i="1" s="1"/>
  <c r="H1779" i="1"/>
  <c r="I1779" i="1" s="1"/>
  <c r="H1780" i="1"/>
  <c r="I1780" i="1" s="1"/>
  <c r="H1781" i="1"/>
  <c r="I1781" i="1" s="1"/>
  <c r="H1782" i="1"/>
  <c r="I1782" i="1" s="1"/>
  <c r="H1783" i="1"/>
  <c r="I1783" i="1" s="1"/>
  <c r="H1784" i="1"/>
  <c r="I1784" i="1" s="1"/>
  <c r="H1785" i="1"/>
  <c r="I1785" i="1" s="1"/>
  <c r="H1786" i="1"/>
  <c r="I1786" i="1" s="1"/>
  <c r="H1787" i="1"/>
  <c r="I1787" i="1" s="1"/>
  <c r="H1788" i="1"/>
  <c r="I1788" i="1" s="1"/>
  <c r="H1789" i="1"/>
  <c r="I1789" i="1" s="1"/>
  <c r="H1790" i="1"/>
  <c r="I1790" i="1" s="1"/>
  <c r="H1791" i="1"/>
  <c r="I1791" i="1" s="1"/>
  <c r="H1792" i="1"/>
  <c r="I1792" i="1" s="1"/>
  <c r="H1793" i="1"/>
  <c r="I1793" i="1" s="1"/>
  <c r="H1794" i="1"/>
  <c r="I1794" i="1" s="1"/>
  <c r="H1795" i="1"/>
  <c r="I1795" i="1" s="1"/>
  <c r="H1796" i="1"/>
  <c r="I1796" i="1" s="1"/>
  <c r="H1797" i="1"/>
  <c r="I1797" i="1" s="1"/>
  <c r="H1798" i="1"/>
  <c r="I1798" i="1" s="1"/>
  <c r="H1799" i="1"/>
  <c r="I1799" i="1" s="1"/>
  <c r="H1800" i="1"/>
  <c r="I1800" i="1" s="1"/>
  <c r="H1801" i="1"/>
  <c r="I1801" i="1" s="1"/>
  <c r="H1802" i="1"/>
  <c r="I1802" i="1" s="1"/>
  <c r="H1803" i="1"/>
  <c r="I1803" i="1" s="1"/>
  <c r="H1804" i="1"/>
  <c r="I1804" i="1" s="1"/>
  <c r="H1805" i="1"/>
  <c r="I1805" i="1" s="1"/>
  <c r="H1806" i="1"/>
  <c r="I1806" i="1" s="1"/>
  <c r="H1807" i="1"/>
  <c r="I1807" i="1" s="1"/>
  <c r="H1808" i="1"/>
  <c r="I1808" i="1" s="1"/>
  <c r="H1809" i="1"/>
  <c r="I1809" i="1" s="1"/>
  <c r="H1810" i="1"/>
  <c r="I1810" i="1" s="1"/>
  <c r="H1811" i="1"/>
  <c r="I1811" i="1" s="1"/>
  <c r="H1812" i="1"/>
  <c r="I1812" i="1" s="1"/>
  <c r="H1813" i="1"/>
  <c r="I1813" i="1" s="1"/>
  <c r="H1814" i="1"/>
  <c r="I1814" i="1" s="1"/>
  <c r="H1815" i="1"/>
  <c r="I1815" i="1" s="1"/>
  <c r="H1816" i="1"/>
  <c r="I1816" i="1" s="1"/>
  <c r="H1817" i="1"/>
  <c r="I1817" i="1" s="1"/>
  <c r="H1818" i="1"/>
  <c r="I1818" i="1" s="1"/>
  <c r="H1819" i="1"/>
  <c r="I1819" i="1" s="1"/>
  <c r="H1820" i="1"/>
  <c r="I1820" i="1" s="1"/>
  <c r="H1821" i="1"/>
  <c r="I1821" i="1" s="1"/>
  <c r="H1822" i="1"/>
  <c r="I1822" i="1" s="1"/>
  <c r="H1823" i="1"/>
  <c r="I1823" i="1" s="1"/>
  <c r="H1824" i="1"/>
  <c r="I1824" i="1" s="1"/>
  <c r="H1825" i="1"/>
  <c r="I1825" i="1" s="1"/>
  <c r="H1826" i="1"/>
  <c r="I1826" i="1" s="1"/>
  <c r="H1827" i="1"/>
  <c r="I1827" i="1" s="1"/>
  <c r="H1828" i="1"/>
  <c r="I1828" i="1" s="1"/>
  <c r="H1829" i="1"/>
  <c r="I1829" i="1" s="1"/>
  <c r="H1830" i="1"/>
  <c r="I1830" i="1" s="1"/>
  <c r="H1831" i="1"/>
  <c r="I1831" i="1" s="1"/>
  <c r="H1832" i="1"/>
  <c r="I1832" i="1" s="1"/>
  <c r="H1833" i="1"/>
  <c r="I1833" i="1" s="1"/>
  <c r="H1834" i="1"/>
  <c r="I1834" i="1" s="1"/>
  <c r="H1835" i="1"/>
  <c r="I1835" i="1" s="1"/>
  <c r="H1836" i="1"/>
  <c r="I1836" i="1" s="1"/>
  <c r="H1837" i="1"/>
  <c r="I1837" i="1" s="1"/>
  <c r="H1838" i="1"/>
  <c r="I1838" i="1" s="1"/>
  <c r="H1839" i="1"/>
  <c r="I1839" i="1" s="1"/>
  <c r="H1840" i="1"/>
  <c r="I1840" i="1" s="1"/>
  <c r="H1841" i="1"/>
  <c r="I1841" i="1" s="1"/>
  <c r="H1842" i="1"/>
  <c r="I1842" i="1" s="1"/>
  <c r="H1843" i="1"/>
  <c r="I1843" i="1" s="1"/>
  <c r="H1844" i="1"/>
  <c r="I1844" i="1" s="1"/>
  <c r="H1845" i="1"/>
  <c r="I1845" i="1" s="1"/>
  <c r="H1846" i="1"/>
  <c r="I1846" i="1" s="1"/>
  <c r="H1847" i="1"/>
  <c r="I1847" i="1" s="1"/>
  <c r="H1848" i="1"/>
  <c r="I1848" i="1" s="1"/>
  <c r="H1849" i="1"/>
  <c r="I1849" i="1" s="1"/>
  <c r="H1850" i="1"/>
  <c r="I1850" i="1" s="1"/>
  <c r="H1851" i="1"/>
  <c r="I1851" i="1" s="1"/>
  <c r="H1852" i="1"/>
  <c r="I1852" i="1" s="1"/>
  <c r="H1853" i="1"/>
  <c r="I1853" i="1" s="1"/>
  <c r="H1854" i="1"/>
  <c r="I1854" i="1" s="1"/>
  <c r="H1855" i="1"/>
  <c r="I1855" i="1" s="1"/>
  <c r="H1856" i="1"/>
  <c r="I1856" i="1" s="1"/>
  <c r="H1857" i="1"/>
  <c r="I1857" i="1" s="1"/>
  <c r="H1858" i="1"/>
  <c r="I1858" i="1" s="1"/>
  <c r="H1859" i="1"/>
  <c r="I1859" i="1" s="1"/>
  <c r="H1860" i="1"/>
  <c r="I1860" i="1" s="1"/>
  <c r="H1861" i="1"/>
  <c r="I1861" i="1" s="1"/>
  <c r="H1862" i="1"/>
  <c r="I1862" i="1" s="1"/>
  <c r="H1863" i="1"/>
  <c r="I1863" i="1" s="1"/>
  <c r="H1864" i="1"/>
  <c r="I1864" i="1" s="1"/>
  <c r="H1865" i="1"/>
  <c r="I1865" i="1" s="1"/>
  <c r="H1866" i="1"/>
  <c r="I1866" i="1" s="1"/>
  <c r="H1867" i="1"/>
  <c r="I1867" i="1" s="1"/>
  <c r="H1868" i="1"/>
  <c r="I1868" i="1" s="1"/>
  <c r="H1869" i="1"/>
  <c r="I1869" i="1" s="1"/>
  <c r="H1870" i="1"/>
  <c r="I1870" i="1" s="1"/>
  <c r="H1871" i="1"/>
  <c r="I1871" i="1" s="1"/>
  <c r="H1872" i="1"/>
  <c r="I1872" i="1" s="1"/>
  <c r="H1873" i="1"/>
  <c r="I1873" i="1" s="1"/>
  <c r="H1874" i="1"/>
  <c r="I1874" i="1" s="1"/>
  <c r="H1875" i="1"/>
  <c r="I1875" i="1" s="1"/>
  <c r="H1876" i="1"/>
  <c r="I1876" i="1" s="1"/>
  <c r="H1877" i="1"/>
  <c r="I1877" i="1" s="1"/>
  <c r="H1878" i="1"/>
  <c r="I1878" i="1" s="1"/>
  <c r="H1879" i="1"/>
  <c r="I1879" i="1" s="1"/>
  <c r="H1880" i="1"/>
  <c r="I1880" i="1" s="1"/>
  <c r="H1881" i="1"/>
  <c r="I1881" i="1" s="1"/>
  <c r="H1882" i="1"/>
  <c r="I1882" i="1" s="1"/>
  <c r="H1883" i="1"/>
  <c r="I1883" i="1" s="1"/>
  <c r="H1884" i="1"/>
  <c r="I1884" i="1" s="1"/>
  <c r="H1885" i="1"/>
  <c r="I1885" i="1" s="1"/>
  <c r="H1886" i="1"/>
  <c r="I1886" i="1" s="1"/>
  <c r="H1887" i="1"/>
  <c r="I1887" i="1" s="1"/>
  <c r="H1888" i="1"/>
  <c r="I1888" i="1" s="1"/>
  <c r="H1889" i="1"/>
  <c r="I1889" i="1" s="1"/>
  <c r="H1890" i="1"/>
  <c r="I1890" i="1" s="1"/>
  <c r="H1891" i="1"/>
  <c r="I1891" i="1" s="1"/>
  <c r="H1892" i="1"/>
  <c r="I1892" i="1" s="1"/>
  <c r="H1893" i="1"/>
  <c r="I1893" i="1" s="1"/>
  <c r="H1894" i="1"/>
  <c r="I1894" i="1" s="1"/>
  <c r="H1895" i="1"/>
  <c r="I1895" i="1" s="1"/>
  <c r="H1896" i="1"/>
  <c r="I1896" i="1" s="1"/>
  <c r="H1897" i="1"/>
  <c r="I1897" i="1" s="1"/>
  <c r="H1898" i="1"/>
  <c r="I1898" i="1" s="1"/>
  <c r="H1899" i="1"/>
  <c r="I1899" i="1" s="1"/>
  <c r="H1900" i="1"/>
  <c r="I1900" i="1" s="1"/>
  <c r="H1901" i="1"/>
  <c r="I1901" i="1" s="1"/>
  <c r="H1902" i="1"/>
  <c r="I1902" i="1" s="1"/>
  <c r="H1903" i="1"/>
  <c r="I1903" i="1" s="1"/>
  <c r="H1904" i="1"/>
  <c r="I1904" i="1" s="1"/>
  <c r="H1905" i="1"/>
  <c r="I1905" i="1" s="1"/>
  <c r="H1906" i="1"/>
  <c r="I1906" i="1" s="1"/>
  <c r="H1907" i="1"/>
  <c r="I1907" i="1" s="1"/>
  <c r="H1908" i="1"/>
  <c r="I1908" i="1" s="1"/>
  <c r="H1909" i="1"/>
  <c r="I1909" i="1" s="1"/>
  <c r="H1910" i="1"/>
  <c r="I1910" i="1" s="1"/>
  <c r="H1911" i="1"/>
  <c r="I1911" i="1" s="1"/>
  <c r="H1912" i="1"/>
  <c r="I1912" i="1" s="1"/>
  <c r="H1913" i="1"/>
  <c r="I1913" i="1" s="1"/>
  <c r="H1914" i="1"/>
  <c r="I1914" i="1" s="1"/>
  <c r="H1915" i="1"/>
  <c r="I1915" i="1" s="1"/>
  <c r="H1916" i="1"/>
  <c r="I1916" i="1" s="1"/>
  <c r="H1917" i="1"/>
  <c r="I1917" i="1" s="1"/>
  <c r="H1918" i="1"/>
  <c r="I1918" i="1" s="1"/>
  <c r="H1919" i="1"/>
  <c r="I1919" i="1" s="1"/>
  <c r="H1920" i="1"/>
  <c r="I1920" i="1" s="1"/>
  <c r="H1921" i="1"/>
  <c r="I1921" i="1" s="1"/>
  <c r="H1922" i="1"/>
  <c r="I1922" i="1" s="1"/>
  <c r="H1923" i="1"/>
  <c r="I1923" i="1" s="1"/>
  <c r="H1924" i="1"/>
  <c r="I1924" i="1" s="1"/>
  <c r="H1925" i="1"/>
  <c r="I1925" i="1" s="1"/>
  <c r="H1926" i="1"/>
  <c r="I1926" i="1" s="1"/>
  <c r="H1927" i="1"/>
  <c r="I1927" i="1" s="1"/>
  <c r="H1928" i="1"/>
  <c r="I1928" i="1" s="1"/>
  <c r="H1929" i="1"/>
  <c r="I1929" i="1" s="1"/>
  <c r="H1930" i="1"/>
  <c r="I1930" i="1" s="1"/>
  <c r="H1931" i="1"/>
  <c r="I1931" i="1" s="1"/>
  <c r="H1932" i="1"/>
  <c r="I1932" i="1" s="1"/>
  <c r="H1933" i="1"/>
  <c r="I1933" i="1" s="1"/>
  <c r="H1934" i="1"/>
  <c r="I1934" i="1" s="1"/>
  <c r="H1935" i="1"/>
  <c r="I1935" i="1" s="1"/>
  <c r="H1936" i="1"/>
  <c r="I1936" i="1" s="1"/>
  <c r="H1937" i="1"/>
  <c r="I1937" i="1" s="1"/>
  <c r="H1938" i="1"/>
  <c r="I1938" i="1" s="1"/>
  <c r="H1939" i="1"/>
  <c r="I1939" i="1" s="1"/>
  <c r="H1940" i="1"/>
  <c r="I1940" i="1" s="1"/>
  <c r="H1941" i="1"/>
  <c r="I1941" i="1" s="1"/>
  <c r="H1942" i="1"/>
  <c r="I1942" i="1" s="1"/>
  <c r="H1943" i="1"/>
  <c r="I1943" i="1" s="1"/>
  <c r="H1944" i="1"/>
  <c r="I1944" i="1" s="1"/>
  <c r="H1945" i="1"/>
  <c r="I1945" i="1" s="1"/>
  <c r="H1946" i="1"/>
  <c r="I1946" i="1" s="1"/>
  <c r="H1947" i="1"/>
  <c r="I1947" i="1" s="1"/>
  <c r="H1948" i="1"/>
  <c r="I1948" i="1" s="1"/>
  <c r="H1949" i="1"/>
  <c r="I1949" i="1" s="1"/>
  <c r="H1950" i="1"/>
  <c r="I1950" i="1" s="1"/>
  <c r="H1951" i="1"/>
  <c r="I1951" i="1" s="1"/>
  <c r="H1952" i="1"/>
  <c r="I1952" i="1" s="1"/>
  <c r="H1953" i="1"/>
  <c r="I1953" i="1" s="1"/>
  <c r="H1954" i="1"/>
  <c r="I1954" i="1" s="1"/>
  <c r="H1955" i="1"/>
  <c r="I1955" i="1" s="1"/>
  <c r="H1956" i="1"/>
  <c r="I1956" i="1" s="1"/>
  <c r="H1957" i="1"/>
  <c r="I1957" i="1" s="1"/>
  <c r="H1958" i="1"/>
  <c r="I1958" i="1" s="1"/>
  <c r="H1959" i="1"/>
  <c r="I1959" i="1" s="1"/>
  <c r="H1960" i="1"/>
  <c r="I1960" i="1" s="1"/>
  <c r="H1961" i="1"/>
  <c r="I1961" i="1" s="1"/>
  <c r="H1962" i="1"/>
  <c r="I1962" i="1" s="1"/>
  <c r="H1963" i="1"/>
  <c r="I1963" i="1" s="1"/>
  <c r="H1964" i="1"/>
  <c r="I1964" i="1" s="1"/>
  <c r="H1965" i="1"/>
  <c r="I1965" i="1" s="1"/>
  <c r="H1966" i="1"/>
  <c r="I1966" i="1" s="1"/>
  <c r="H1967" i="1"/>
  <c r="I1967" i="1" s="1"/>
  <c r="H1968" i="1"/>
  <c r="I1968" i="1" s="1"/>
  <c r="H1969" i="1"/>
  <c r="I1969" i="1" s="1"/>
  <c r="H1970" i="1"/>
  <c r="I1970" i="1" s="1"/>
  <c r="H1971" i="1"/>
  <c r="I1971" i="1" s="1"/>
  <c r="H1972" i="1"/>
  <c r="I1972" i="1" s="1"/>
  <c r="H1973" i="1"/>
  <c r="I1973" i="1" s="1"/>
  <c r="H1974" i="1"/>
  <c r="I1974" i="1" s="1"/>
  <c r="H1975" i="1"/>
  <c r="I1975" i="1" s="1"/>
  <c r="H1976" i="1"/>
  <c r="I1976" i="1" s="1"/>
  <c r="H1977" i="1"/>
  <c r="I1977" i="1" s="1"/>
  <c r="H1978" i="1"/>
  <c r="I1978" i="1" s="1"/>
  <c r="H1979" i="1"/>
  <c r="I1979" i="1" s="1"/>
  <c r="H1980" i="1"/>
  <c r="I1980" i="1" s="1"/>
  <c r="H1981" i="1"/>
  <c r="I1981" i="1" s="1"/>
  <c r="H1982" i="1"/>
  <c r="I1982" i="1" s="1"/>
  <c r="H1983" i="1"/>
  <c r="I1983" i="1" s="1"/>
  <c r="H1984" i="1"/>
  <c r="I1984" i="1" s="1"/>
  <c r="H1985" i="1"/>
  <c r="I1985" i="1" s="1"/>
  <c r="H1986" i="1"/>
  <c r="I1986" i="1" s="1"/>
  <c r="H1987" i="1"/>
  <c r="I1987" i="1" s="1"/>
  <c r="H1988" i="1"/>
  <c r="I1988" i="1" s="1"/>
  <c r="H1989" i="1"/>
  <c r="I1989" i="1" s="1"/>
  <c r="H1990" i="1"/>
  <c r="I1990" i="1" s="1"/>
  <c r="H1991" i="1"/>
  <c r="I1991" i="1" s="1"/>
  <c r="H1992" i="1"/>
  <c r="I1992" i="1" s="1"/>
  <c r="H1993" i="1"/>
  <c r="I1993" i="1" s="1"/>
  <c r="H1994" i="1"/>
  <c r="I1994" i="1" s="1"/>
  <c r="H1995" i="1"/>
  <c r="I1995" i="1" s="1"/>
  <c r="H1996" i="1"/>
  <c r="I1996" i="1" s="1"/>
  <c r="H1997" i="1"/>
  <c r="I1997" i="1" s="1"/>
  <c r="H1998" i="1"/>
  <c r="I1998" i="1" s="1"/>
  <c r="H1999" i="1"/>
  <c r="I1999" i="1" s="1"/>
  <c r="N8" i="2"/>
  <c r="M8" i="2"/>
  <c r="N7" i="2"/>
  <c r="N6" i="2"/>
  <c r="N5" i="2"/>
  <c r="M7" i="2"/>
  <c r="M6" i="2"/>
  <c r="M5" i="2"/>
  <c r="N4" i="2"/>
  <c r="M4" i="2"/>
  <c r="N3" i="2"/>
  <c r="M3" i="2"/>
</calcChain>
</file>

<file path=xl/sharedStrings.xml><?xml version="1.0" encoding="utf-8"?>
<sst xmlns="http://schemas.openxmlformats.org/spreadsheetml/2006/main" count="8085" uniqueCount="65">
  <si>
    <t>Date</t>
  </si>
  <si>
    <t>City</t>
  </si>
  <si>
    <t>Rep</t>
  </si>
  <si>
    <t>Store</t>
  </si>
  <si>
    <t>Prod</t>
  </si>
  <si>
    <t>Cost</t>
  </si>
  <si>
    <t>Sale</t>
  </si>
  <si>
    <t>Profit</t>
  </si>
  <si>
    <t>Margin %</t>
  </si>
  <si>
    <t>Year</t>
  </si>
  <si>
    <t>Month</t>
  </si>
  <si>
    <t>Jubail</t>
  </si>
  <si>
    <t>Yahia</t>
  </si>
  <si>
    <t>Othaim</t>
  </si>
  <si>
    <t>Toys</t>
  </si>
  <si>
    <t>Abha</t>
  </si>
  <si>
    <t>Panda</t>
  </si>
  <si>
    <t>Riyadh</t>
  </si>
  <si>
    <t>Mjeed</t>
  </si>
  <si>
    <t>Lulu</t>
  </si>
  <si>
    <t>Home</t>
  </si>
  <si>
    <t>Jeddah</t>
  </si>
  <si>
    <t>Dammam</t>
  </si>
  <si>
    <t>Abdul</t>
  </si>
  <si>
    <t>Food</t>
  </si>
  <si>
    <t>Office</t>
  </si>
  <si>
    <t>Hail</t>
  </si>
  <si>
    <t>Maliha</t>
  </si>
  <si>
    <t>Carrefour</t>
  </si>
  <si>
    <t>Ghalia</t>
  </si>
  <si>
    <t>City Summary</t>
  </si>
  <si>
    <t>Store Summary</t>
  </si>
  <si>
    <t>Sales Rep Summary</t>
  </si>
  <si>
    <t>Product Category Summary</t>
  </si>
  <si>
    <t>Basic Descriptive Statistics</t>
  </si>
  <si>
    <t>Metric</t>
  </si>
  <si>
    <t>Sales Stat</t>
  </si>
  <si>
    <t>Profit Stat</t>
  </si>
  <si>
    <t>count</t>
  </si>
  <si>
    <t>mean</t>
  </si>
  <si>
    <t>std</t>
  </si>
  <si>
    <t>min</t>
  </si>
  <si>
    <t>max</t>
  </si>
  <si>
    <t>Grand Total</t>
  </si>
  <si>
    <t>Row Labels</t>
  </si>
  <si>
    <t>Sum of Sale</t>
  </si>
  <si>
    <t>Sum of Profit</t>
  </si>
  <si>
    <t>Sum of Margin %</t>
  </si>
  <si>
    <t>SUM</t>
  </si>
  <si>
    <t>Day</t>
  </si>
  <si>
    <t xml:space="preserve">  Sales Performance Dashboard</t>
  </si>
  <si>
    <t>month name</t>
  </si>
  <si>
    <t>Average of Margin %</t>
  </si>
  <si>
    <t>Oct</t>
  </si>
  <si>
    <t>Apr</t>
  </si>
  <si>
    <t>Jun</t>
  </si>
  <si>
    <t>Jul</t>
  </si>
  <si>
    <t>Nov</t>
  </si>
  <si>
    <t>Feb</t>
  </si>
  <si>
    <t>Mar</t>
  </si>
  <si>
    <t>Jan</t>
  </si>
  <si>
    <t>May</t>
  </si>
  <si>
    <t>Sep</t>
  </si>
  <si>
    <t>Dec</t>
  </si>
  <si>
    <t>Aug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</si>
</sst>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yyyy\-mm\-dd"/>
    <numFmt numFmtId="165" formatCode="\$#,##0.00"/>
    <numFmt numFmtId="166" formatCode="#,###,&quot;M&quot;"/>
  </numFmts>
  <fonts count="6" x14ac:knownFonts="1">
    <font>
      <sz val="11"/>
      <color theme="1"/>
      <name val="Calibri"/>
      <family val="2"/>
      <scheme val="minor"/>
    </font>
    <font>
      <b/>
      <sz val="11"/>
      <color rgb="FFFFFFFF"/>
      <name val="Calibri"/>
    </font>
    <font>
      <b/>
      <sz val="12"/>
      <name val="Calibri"/>
    </font>
    <font>
      <b/>
      <sz val="11"/>
      <color rgb="FFFFFFFF"/>
      <name val="Calibri"/>
      <family val="2"/>
    </font>
    <font>
      <sz val="10"/>
      <name val="Calibri"/>
    </font>
    <font>
      <b/>
      <sz val="22"/>
      <color rgb="FFFFFFFF"/>
      <name val="Bodoni MT Black"/>
      <family val="1"/>
    </font>
  </fonts>
  <fills count="5">
    <fill>
      <patternFill patternType="none"/>
    </fill>
    <fill>
      <patternFill patternType="gray125"/>
    </fill>
    <fill>
      <patternFill patternType="solid">
        <fgColor rgb="FF1F4E78"/>
        <bgColor rgb="FF1F4E78"/>
      </patternFill>
    </fill>
    <fill>
      <patternFill patternType="solid">
        <fgColor rgb="FFFFFF00"/>
        <bgColor indexed="64"/>
      </patternFill>
    </fill>
    <fill>
      <patternFill patternType="solid">
        <fgColor rgb="FF0F0F29"/>
        <bgColor rgb="FF1F4E78"/>
      </patternFill>
    </fill>
  </fills>
  <borders count="1">
    <border>
      <left/>
      <right/>
      <top/>
      <bottom/>
      <diagonal/>
    </border>
  </borders>
  <cellStyleXfs count="1">
    <xf numFmtId="0" fontId="0" fillId="0" borderId="0"/>
  </cellStyleXfs>
  <cellXfs count="27">
    <xf numFmtId="0" fontId="0" fillId="0" borderId="0" xfId="0"/>
    <xf numFmtId="0" fontId="1" fillId="2" borderId="0" xfId="0" applyFont="1" applyFill="1" applyAlignment="1">
      <alignment horizontal="center" vertical="center"/>
    </xf>
    <xf numFmtId="164" fontId="0" fillId="0" borderId="0" xfId="0" applyNumberFormat="1" applyAlignment="1">
      <alignment horizontal="center" vertical="center"/>
    </xf>
    <xf numFmtId="4" fontId="0" fillId="0" borderId="0" xfId="0" applyNumberFormat="1"/>
    <xf numFmtId="10" fontId="0" fillId="0" borderId="0" xfId="0" applyNumberFormat="1"/>
    <xf numFmtId="0" fontId="0" fillId="0" borderId="0" xfId="0" applyAlignment="1">
      <alignment horizontal="center" vertical="center"/>
    </xf>
    <xf numFmtId="165" fontId="0" fillId="0" borderId="0" xfId="0" applyNumberFormat="1"/>
    <xf numFmtId="0" fontId="0" fillId="0" borderId="0" xfId="0" applyAlignment="1">
      <alignment horizontal="center"/>
    </xf>
    <xf numFmtId="0" fontId="4" fillId="0" borderId="0" xfId="0" applyFont="1" applyAlignment="1">
      <alignment vertical="top" wrapText="1"/>
    </xf>
    <xf numFmtId="2" fontId="0" fillId="0" borderId="0" xfId="0" applyNumberFormat="1"/>
    <xf numFmtId="0" fontId="0" fillId="0" borderId="0" xfId="0" pivotButton="1"/>
    <xf numFmtId="0" fontId="0" fillId="0" borderId="0" xfId="0" applyAlignment="1">
      <alignment horizontal="left"/>
    </xf>
    <xf numFmtId="2" fontId="0" fillId="0" borderId="0" xfId="0" pivotButton="1" applyNumberFormat="1"/>
    <xf numFmtId="2" fontId="0" fillId="0" borderId="0" xfId="0" applyNumberFormat="1" applyAlignment="1">
      <alignment horizontal="left"/>
    </xf>
    <xf numFmtId="0" fontId="2" fillId="3" borderId="0" xfId="0" applyFont="1" applyFill="1"/>
    <xf numFmtId="0" fontId="0" fillId="3" borderId="0" xfId="0" applyFill="1"/>
    <xf numFmtId="0" fontId="2" fillId="0" borderId="0" xfId="0" applyFont="1"/>
    <xf numFmtId="1" fontId="0" fillId="0" borderId="0" xfId="0" applyNumberFormat="1"/>
    <xf numFmtId="0" fontId="3" fillId="2" borderId="0" xfId="0" applyFont="1" applyFill="1" applyAlignment="1">
      <alignment horizontal="center" vertical="center"/>
    </xf>
    <xf numFmtId="0" fontId="5" fillId="0" borderId="0" xfId="0" applyFont="1" applyAlignment="1">
      <alignment vertical="center"/>
    </xf>
    <xf numFmtId="166" fontId="0" fillId="0" borderId="0" xfId="0" applyNumberFormat="1"/>
    <xf numFmtId="9" fontId="0" fillId="0" borderId="0" xfId="0" applyNumberFormat="1"/>
    <xf numFmtId="0" fontId="0" fillId="0" borderId="0" xfId="0" applyAlignment="1">
      <alignment horizontal="left" indent="1"/>
    </xf>
    <xf numFmtId="0" fontId="5" fillId="4" borderId="0" xfId="0" applyFont="1" applyFill="1" applyAlignment="1">
      <alignment horizontal="center" vertical="center"/>
    </xf>
    <xf numFmtId="0" fontId="5" fillId="0" borderId="0" xfId="0" applyFont="1" applyAlignment="1">
      <alignment horizontal="center" vertical="center"/>
    </xf>
    <xf numFmtId="0" fontId="2" fillId="3" borderId="0" xfId="0" applyFont="1" applyFill="1" applyAlignment="1">
      <alignment horizontal="center" vertical="center"/>
    </xf>
    <xf numFmtId="0" fontId="2" fillId="3" borderId="0" xfId="0" applyFont="1" applyFill="1" applyAlignment="1">
      <alignment horizontal="center"/>
    </xf>
  </cellXfs>
  <cellStyles count="1">
    <cellStyle name="Normal" xfId="0" builtinId="0"/>
  </cellStyles>
  <dxfs count="52">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6" formatCode="#,###,&quot;M&quot;"/>
    </dxf>
    <dxf>
      <numFmt numFmtId="166" formatCode="#,###,&quot;M&quot;"/>
    </dxf>
    <dxf>
      <numFmt numFmtId="13"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6" formatCode="#,###,&quot;M&quot;"/>
    </dxf>
    <dxf>
      <numFmt numFmtId="166" formatCode="#,###,&quot;M&quot;"/>
    </dxf>
    <dxf>
      <numFmt numFmtId="13" formatCode="0%"/>
    </dxf>
    <dxf>
      <numFmt numFmtId="165" formatCode="\$#,##0.00"/>
    </dxf>
    <dxf>
      <numFmt numFmtId="1" formatCode="0"/>
    </dxf>
    <dxf>
      <numFmt numFmtId="13" formatCode="0%"/>
    </dxf>
    <dxf>
      <numFmt numFmtId="166" formatCode="#,###,&quot;M&quot;"/>
    </dxf>
    <dxf>
      <numFmt numFmtId="166" formatCode="#,###,&quot;M&quo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4" formatCode="0.00%"/>
    </dxf>
    <dxf>
      <numFmt numFmtId="4" formatCode="#,##0.00"/>
    </dxf>
    <dxf>
      <numFmt numFmtId="4" formatCode="#,##0.00"/>
    </dxf>
    <dxf>
      <numFmt numFmtId="4" formatCode="#,##0.00"/>
    </dxf>
    <dxf>
      <numFmt numFmtId="164" formatCode="yyyy\-mm\-dd"/>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rgb="FFFFFFFF"/>
        <name val="Calibri"/>
        <scheme val="none"/>
      </font>
      <fill>
        <patternFill patternType="solid">
          <fgColor rgb="FF1F4E78"/>
          <bgColor rgb="FF1F4E78"/>
        </patternFill>
      </fill>
      <alignment horizontal="center" vertical="center" textRotation="0" wrapText="0" indent="0" justifyLastLine="0" shrinkToFit="0" readingOrder="0"/>
    </dxf>
    <dxf>
      <font>
        <b/>
        <color theme="1"/>
      </font>
      <border>
        <bottom style="thin">
          <color rgb="FF4F81BD"/>
        </bottom>
        <vertical/>
        <horizontal/>
      </border>
    </dxf>
    <dxf>
      <font>
        <sz val="18"/>
        <color theme="0"/>
      </font>
      <fill>
        <patternFill>
          <bgColor rgb="FF001236"/>
        </patternFill>
      </fill>
      <border>
        <left style="thin">
          <color rgb="FF4F81BD"/>
        </left>
        <right style="thin">
          <color rgb="FF4F81BD"/>
        </right>
        <top style="thin">
          <color rgb="FF4F81BD"/>
        </top>
        <bottom style="thin">
          <color rgb="FF4F81BD"/>
        </bottom>
        <vertical/>
        <horizontal/>
      </border>
    </dxf>
    <dxf>
      <font>
        <sz val="18"/>
        <color theme="0"/>
      </font>
      <border>
        <bottom style="thin">
          <color theme="8"/>
        </bottom>
        <vertical/>
        <horizontal/>
      </border>
    </dxf>
    <dxf>
      <font>
        <color theme="1"/>
      </font>
      <fill>
        <patternFill>
          <bgColor rgb="FF001236"/>
        </patternFill>
      </fill>
      <border>
        <left style="thin">
          <color theme="8"/>
        </left>
        <right style="thin">
          <color theme="8"/>
        </right>
        <top style="thin">
          <color theme="8"/>
        </top>
        <bottom style="thin">
          <color theme="8"/>
        </bottom>
        <vertical/>
        <horizontal/>
      </border>
    </dxf>
    <dxf>
      <fill>
        <patternFill patternType="none">
          <fgColor indexed="64"/>
          <bgColor auto="1"/>
        </patternFill>
      </fill>
    </dxf>
    <dxf>
      <fill>
        <patternFill>
          <fgColor theme="3" tint="-0.499984740745262"/>
          <bgColor rgb="FF001236"/>
        </patternFill>
      </fill>
    </dxf>
  </dxfs>
  <tableStyles count="3" defaultTableStyle="TableStyleMedium9" defaultPivotStyle="PivotStyleLight16">
    <tableStyle name="Slicer Style 1" pivot="0" table="0" count="3" xr9:uid="{491DECD0-B2F0-442A-9C7D-1C26876CFA26}">
      <tableStyleElement type="wholeTable" dxfId="51"/>
      <tableStyleElement type="headerRow" dxfId="50"/>
    </tableStyle>
    <tableStyle name="SlicerStyleDark5 2" pivot="0" table="0" count="10" xr9:uid="{83658642-B183-4D8C-8192-93AC8E63F0A8}">
      <tableStyleElement type="wholeTable" dxfId="49"/>
      <tableStyleElement type="headerRow" dxfId="48"/>
    </tableStyle>
    <tableStyle name="SlicerStyleOther2 2" pivot="0" table="0" count="10" xr9:uid="{FFA8A0F7-615D-4185-AF92-4418B09021A7}">
      <tableStyleElement type="wholeTable" dxfId="47"/>
      <tableStyleElement type="headerRow" dxfId="46"/>
    </tableStyle>
  </tableStyles>
  <colors>
    <mruColors>
      <color rgb="FF001236"/>
      <color rgb="FF000D26"/>
      <color rgb="FF0F0F29"/>
      <color rgb="FF100349"/>
      <color rgb="FFFFCC00"/>
      <color rgb="FF1C1C1C"/>
      <color rgb="FF4C4D80"/>
      <color rgb="FF3333CC"/>
    </mruColors>
  </colors>
  <extLst>
    <ext xmlns:x14="http://schemas.microsoft.com/office/spreadsheetml/2009/9/main" uri="{46F421CA-312F-682f-3DD2-61675219B42D}">
      <x14:dxfs count="17">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ill>
            <patternFill patternType="none">
              <bgColor auto="1"/>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16"/>
          </x14:slicerStyleElements>
        </x14:slicerStyle>
        <x14:slicerStyle name="SlicerStyleDark5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Other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microsoft.com/office/2017/10/relationships/person" Target="persons/perso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[Zainab_project.xlsx]Summary Analysis!PivotTable5</c:name>
    <c:fmtId val="8"/>
  </c:pivotSource>
  <c:chart>
    <c:title>
      <c:tx>
        <c:rich>
          <a:bodyPr rot="0" spcFirstLastPara="1" vertOverflow="ellipsis" vert="horz" wrap="square" anchor="ctr" anchorCtr="1"/>
          <a:lstStyle/>
          <a:p>
            <a:pPr>
              <a:defRPr sz="1100" b="0" i="0" u="none" strike="noStrike" kern="1200" spc="0" baseline="0">
                <a:solidFill>
                  <a:schemeClr val="bg1"/>
                </a:solidFill>
                <a:latin typeface="+mn-lt"/>
                <a:ea typeface="+mn-ea"/>
                <a:cs typeface="+mn-cs"/>
              </a:defRPr>
            </a:pPr>
            <a:r>
              <a:rPr lang="en-US" sz="1100">
                <a:solidFill>
                  <a:schemeClr val="bg1"/>
                </a:solidFill>
              </a:rPr>
              <a:t>MONTHLY SALES TREND</a:t>
            </a:r>
          </a:p>
        </c:rich>
      </c:tx>
      <c:layout>
        <c:manualLayout>
          <c:xMode val="edge"/>
          <c:yMode val="edge"/>
          <c:x val="0.34063075780866037"/>
          <c:y val="6.7001675041876048E-3"/>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rgbClr val="0070C0"/>
            </a:solidFill>
            <a:round/>
          </a:ln>
          <a:effectLst/>
        </c:spPr>
        <c:marker>
          <c:symbol val="circle"/>
          <c:size val="6"/>
          <c:spPr>
            <a:solidFill>
              <a:schemeClr val="bg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'Summary Analysis'!$L$11</c:f>
              <c:strCache>
                <c:ptCount val="1"/>
                <c:pt idx="0">
                  <c:v>Total</c:v>
                </c:pt>
              </c:strCache>
            </c:strRef>
          </c:tx>
          <c:spPr>
            <a:ln w="25400" cap="rnd">
              <a:solidFill>
                <a:srgbClr val="0070C0"/>
              </a:solidFill>
              <a:round/>
            </a:ln>
            <a:effectLst/>
          </c:spPr>
          <c:marker>
            <c:symbol val="circle"/>
            <c:size val="6"/>
            <c:spPr>
              <a:solidFill>
                <a:schemeClr val="bg1"/>
              </a:solidFill>
              <a:ln w="9525">
                <a:solidFill>
                  <a:schemeClr val="accent1"/>
                </a:solidFill>
              </a:ln>
              <a:effectLst/>
            </c:spPr>
          </c:marker>
          <c:cat>
            <c:multiLvlStrRef>
              <c:f>'Summary Analysis'!$K$12:$K$40</c:f>
              <c:multiLvlStrCache>
                <c:ptCount val="25"/>
                <c:lvl>
                  <c:pt idx="0">
                    <c:v>Jun</c:v>
                  </c:pt>
                  <c:pt idx="1">
                    <c:v>Jul</c:v>
                  </c:pt>
                  <c:pt idx="2">
                    <c:v>Aug</c:v>
                  </c:pt>
                  <c:pt idx="3">
                    <c:v>Sep</c:v>
                  </c:pt>
                  <c:pt idx="4">
                    <c:v>Oct</c:v>
                  </c:pt>
                  <c:pt idx="5">
                    <c:v>Nov</c:v>
                  </c:pt>
                  <c:pt idx="6">
                    <c:v>Dec</c:v>
                  </c:pt>
                  <c:pt idx="7">
                    <c:v>Jan</c:v>
                  </c:pt>
                  <c:pt idx="8">
                    <c:v>Feb</c:v>
                  </c:pt>
                  <c:pt idx="9">
                    <c:v>Mar</c:v>
                  </c:pt>
                  <c:pt idx="10">
                    <c:v>Apr</c:v>
                  </c:pt>
                  <c:pt idx="11">
                    <c:v>May</c:v>
                  </c:pt>
                  <c:pt idx="12">
                    <c:v>Jun</c:v>
                  </c:pt>
                  <c:pt idx="13">
                    <c:v>Jul</c:v>
                  </c:pt>
                  <c:pt idx="14">
                    <c:v>Aug</c:v>
                  </c:pt>
                  <c:pt idx="15">
                    <c:v>Sep</c:v>
                  </c:pt>
                  <c:pt idx="16">
                    <c:v>Oct</c:v>
                  </c:pt>
                  <c:pt idx="17">
                    <c:v>Nov</c:v>
                  </c:pt>
                  <c:pt idx="18">
                    <c:v>Dec</c:v>
                  </c:pt>
                  <c:pt idx="19">
                    <c:v>Jan</c:v>
                  </c:pt>
                  <c:pt idx="20">
                    <c:v>Feb</c:v>
                  </c:pt>
                  <c:pt idx="21">
                    <c:v>Mar</c:v>
                  </c:pt>
                  <c:pt idx="22">
                    <c:v>Apr</c:v>
                  </c:pt>
                  <c:pt idx="23">
                    <c:v>May</c:v>
                  </c:pt>
                  <c:pt idx="24">
                    <c:v>Jun</c:v>
                  </c:pt>
                </c:lvl>
                <c:lvl>
                  <c:pt idx="0">
                    <c:v>2004</c:v>
                  </c:pt>
                  <c:pt idx="7">
                    <c:v>2005</c:v>
                  </c:pt>
                  <c:pt idx="19">
                    <c:v>2006</c:v>
                  </c:pt>
                </c:lvl>
              </c:multiLvlStrCache>
            </c:multiLvlStrRef>
          </c:cat>
          <c:val>
            <c:numRef>
              <c:f>'Summary Analysis'!$L$12:$L$40</c:f>
              <c:numCache>
                <c:formatCode>#,##0.00</c:formatCode>
                <c:ptCount val="25"/>
                <c:pt idx="0">
                  <c:v>213704.72000000006</c:v>
                </c:pt>
                <c:pt idx="1">
                  <c:v>402246.39999999997</c:v>
                </c:pt>
                <c:pt idx="2">
                  <c:v>438473.76999999984</c:v>
                </c:pt>
                <c:pt idx="3">
                  <c:v>449849.06000000006</c:v>
                </c:pt>
                <c:pt idx="4">
                  <c:v>435078.36000000016</c:v>
                </c:pt>
                <c:pt idx="5">
                  <c:v>323764.41000000009</c:v>
                </c:pt>
                <c:pt idx="6">
                  <c:v>493536.23</c:v>
                </c:pt>
                <c:pt idx="7">
                  <c:v>493478.79</c:v>
                </c:pt>
                <c:pt idx="8">
                  <c:v>397159.57999999996</c:v>
                </c:pt>
                <c:pt idx="9">
                  <c:v>421915.84</c:v>
                </c:pt>
                <c:pt idx="10">
                  <c:v>352684.06000000011</c:v>
                </c:pt>
                <c:pt idx="11">
                  <c:v>395194.85000000003</c:v>
                </c:pt>
                <c:pt idx="12">
                  <c:v>369263.03</c:v>
                </c:pt>
                <c:pt idx="13">
                  <c:v>501652.39</c:v>
                </c:pt>
                <c:pt idx="14">
                  <c:v>419055.65999999992</c:v>
                </c:pt>
                <c:pt idx="15">
                  <c:v>453661.00999999995</c:v>
                </c:pt>
                <c:pt idx="16">
                  <c:v>423459.30000000016</c:v>
                </c:pt>
                <c:pt idx="17">
                  <c:v>371671.08000000013</c:v>
                </c:pt>
                <c:pt idx="18">
                  <c:v>486200.34</c:v>
                </c:pt>
                <c:pt idx="19">
                  <c:v>393883.32999999996</c:v>
                </c:pt>
                <c:pt idx="20">
                  <c:v>323847.9599999999</c:v>
                </c:pt>
                <c:pt idx="21">
                  <c:v>431754.94</c:v>
                </c:pt>
                <c:pt idx="22">
                  <c:v>381416.99000000005</c:v>
                </c:pt>
                <c:pt idx="23">
                  <c:v>493488.56999999983</c:v>
                </c:pt>
                <c:pt idx="24">
                  <c:v>208920.31</c:v>
                </c:pt>
              </c:numCache>
            </c:numRef>
          </c:val>
          <c:smooth val="1"/>
          <c:extLst>
            <c:ext xmlns:c16="http://schemas.microsoft.com/office/drawing/2014/chart" uri="{C3380CC4-5D6E-409C-BE32-E72D297353CC}">
              <c16:uniqueId val="{00000000-1B36-4E1B-B6A7-A2B4BDC3EC7A}"/>
            </c:ext>
          </c:extLst>
        </c:ser>
        <c:dLbls>
          <c:showLegendKey val="0"/>
          <c:showVal val="0"/>
          <c:showCatName val="0"/>
          <c:showSerName val="0"/>
          <c:showPercent val="0"/>
          <c:showBubbleSize val="0"/>
        </c:dLbls>
        <c:marker val="1"/>
        <c:smooth val="0"/>
        <c:axId val="1731517248"/>
        <c:axId val="1731520608"/>
      </c:lineChart>
      <c:catAx>
        <c:axId val="1731517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31520608"/>
        <c:crosses val="autoZero"/>
        <c:auto val="1"/>
        <c:lblAlgn val="ctr"/>
        <c:lblOffset val="100"/>
        <c:noMultiLvlLbl val="0"/>
      </c:catAx>
      <c:valAx>
        <c:axId val="1731520608"/>
        <c:scaling>
          <c:orientation val="minMax"/>
          <c:min val="100000"/>
        </c:scaling>
        <c:delete val="0"/>
        <c:axPos val="l"/>
        <c:majorGridlines>
          <c:spPr>
            <a:ln w="9525" cap="flat" cmpd="sng" algn="ctr">
              <a:solidFill>
                <a:schemeClr val="tx1">
                  <a:lumMod val="15000"/>
                  <a:lumOff val="85000"/>
                </a:schemeClr>
              </a:solidFill>
              <a:round/>
            </a:ln>
            <a:effectLst/>
          </c:spPr>
        </c:majorGridlines>
        <c:numFmt formatCode="#,##0,\'\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31517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F0F29"/>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[Zainab_project.xlsx]Summary Analysis!PivotTable1</c:name>
    <c:fmtId val="8"/>
  </c:pivotSource>
  <c:chart>
    <c:title>
      <c:tx>
        <c:rich>
          <a:bodyPr rot="0" spcFirstLastPara="1" vertOverflow="ellipsis" vert="horz" wrap="square" anchor="ctr" anchorCtr="1"/>
          <a:lstStyle/>
          <a:p>
            <a:pPr>
              <a:defRPr sz="1100" b="0" i="0" u="none" strike="noStrike" kern="1200" spc="0" baseline="0">
                <a:solidFill>
                  <a:schemeClr val="bg1"/>
                </a:solidFill>
                <a:latin typeface="+mn-lt"/>
                <a:ea typeface="+mn-ea"/>
                <a:cs typeface="+mn-cs"/>
              </a:defRPr>
            </a:pPr>
            <a:r>
              <a:rPr lang="en-GB" sz="1100">
                <a:solidFill>
                  <a:schemeClr val="bg1"/>
                </a:solidFill>
              </a:rPr>
              <a:t>SALES</a:t>
            </a:r>
            <a:r>
              <a:rPr lang="en-GB" sz="1100" baseline="0">
                <a:solidFill>
                  <a:schemeClr val="bg1"/>
                </a:solidFill>
              </a:rPr>
              <a:t> &amp; PROFIT COMPARISON</a:t>
            </a:r>
            <a:endParaRPr lang="en-GB" sz="1100">
              <a:solidFill>
                <a:schemeClr val="bg1"/>
              </a:solidFill>
            </a:endParaRPr>
          </a:p>
        </c:rich>
      </c:tx>
      <c:layout>
        <c:manualLayout>
          <c:xMode val="edge"/>
          <c:yMode val="edge"/>
          <c:x val="0.34807931186819469"/>
          <c:y val="1.2698412698412698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bg1"/>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numFmt formatCode="[&gt;=10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C000"/>
          </a:solidFill>
          <a:ln>
            <a:noFill/>
          </a:ln>
          <a:effectLst/>
        </c:spPr>
        <c:marker>
          <c:symbol val="none"/>
        </c:marker>
        <c:dLbl>
          <c:idx val="0"/>
          <c:numFmt formatCode="[&gt;=10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975284339457568E-2"/>
          <c:y val="0.23084614423197103"/>
          <c:w val="0.96435804899387578"/>
          <c:h val="0.61214398200224973"/>
        </c:manualLayout>
      </c:layout>
      <c:barChart>
        <c:barDir val="col"/>
        <c:grouping val="clustered"/>
        <c:varyColors val="0"/>
        <c:ser>
          <c:idx val="0"/>
          <c:order val="0"/>
          <c:tx>
            <c:strRef>
              <c:f>'Summary Analysis'!$B$3</c:f>
              <c:strCache>
                <c:ptCount val="1"/>
                <c:pt idx="0">
                  <c:v>Sum of Sale</c:v>
                </c:pt>
              </c:strCache>
            </c:strRef>
          </c:tx>
          <c:spPr>
            <a:solidFill>
              <a:schemeClr val="accent1"/>
            </a:solidFill>
            <a:ln>
              <a:noFill/>
            </a:ln>
            <a:effectLst/>
          </c:spPr>
          <c:invertIfNegative val="0"/>
          <c:dLbls>
            <c:numFmt formatCode="[&gt;=10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 Analysis'!$A$4:$A$10</c:f>
              <c:strCache>
                <c:ptCount val="6"/>
                <c:pt idx="0">
                  <c:v>Abha</c:v>
                </c:pt>
                <c:pt idx="1">
                  <c:v>Dammam</c:v>
                </c:pt>
                <c:pt idx="2">
                  <c:v>Hail</c:v>
                </c:pt>
                <c:pt idx="3">
                  <c:v>Jeddah</c:v>
                </c:pt>
                <c:pt idx="4">
                  <c:v>Jubail</c:v>
                </c:pt>
                <c:pt idx="5">
                  <c:v>Riyadh</c:v>
                </c:pt>
              </c:strCache>
            </c:strRef>
          </c:cat>
          <c:val>
            <c:numRef>
              <c:f>'Summary Analysis'!$B$4:$B$10</c:f>
              <c:numCache>
                <c:formatCode>0.00</c:formatCode>
                <c:ptCount val="6"/>
                <c:pt idx="0">
                  <c:v>1644938.7300000004</c:v>
                </c:pt>
                <c:pt idx="1">
                  <c:v>1880961.3200000005</c:v>
                </c:pt>
                <c:pt idx="2">
                  <c:v>1481391.4300000004</c:v>
                </c:pt>
                <c:pt idx="3">
                  <c:v>1708310.19</c:v>
                </c:pt>
                <c:pt idx="4">
                  <c:v>1562105.6300000004</c:v>
                </c:pt>
                <c:pt idx="5">
                  <c:v>1797653.6800000002</c:v>
                </c:pt>
              </c:numCache>
            </c:numRef>
          </c:val>
          <c:extLst>
            <c:ext xmlns:c16="http://schemas.microsoft.com/office/drawing/2014/chart" uri="{C3380CC4-5D6E-409C-BE32-E72D297353CC}">
              <c16:uniqueId val="{00000000-BBBD-4835-9105-330042BEC438}"/>
            </c:ext>
          </c:extLst>
        </c:ser>
        <c:ser>
          <c:idx val="1"/>
          <c:order val="1"/>
          <c:tx>
            <c:strRef>
              <c:f>'Summary Analysis'!$C$3</c:f>
              <c:strCache>
                <c:ptCount val="1"/>
                <c:pt idx="0">
                  <c:v>Sum of Profit</c:v>
                </c:pt>
              </c:strCache>
            </c:strRef>
          </c:tx>
          <c:spPr>
            <a:solidFill>
              <a:srgbClr val="FFC000"/>
            </a:solidFill>
            <a:ln>
              <a:noFill/>
            </a:ln>
            <a:effectLst/>
          </c:spPr>
          <c:invertIfNegative val="0"/>
          <c:dLbls>
            <c:numFmt formatCode="[&gt;=10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 Analysis'!$A$4:$A$10</c:f>
              <c:strCache>
                <c:ptCount val="6"/>
                <c:pt idx="0">
                  <c:v>Abha</c:v>
                </c:pt>
                <c:pt idx="1">
                  <c:v>Dammam</c:v>
                </c:pt>
                <c:pt idx="2">
                  <c:v>Hail</c:v>
                </c:pt>
                <c:pt idx="3">
                  <c:v>Jeddah</c:v>
                </c:pt>
                <c:pt idx="4">
                  <c:v>Jubail</c:v>
                </c:pt>
                <c:pt idx="5">
                  <c:v>Riyadh</c:v>
                </c:pt>
              </c:strCache>
            </c:strRef>
          </c:cat>
          <c:val>
            <c:numRef>
              <c:f>'Summary Analysis'!$C$4:$C$10</c:f>
              <c:numCache>
                <c:formatCode>0.00</c:formatCode>
                <c:ptCount val="6"/>
                <c:pt idx="0">
                  <c:v>589363.57000000007</c:v>
                </c:pt>
                <c:pt idx="1">
                  <c:v>691918.63999999966</c:v>
                </c:pt>
                <c:pt idx="2">
                  <c:v>552446.46000000008</c:v>
                </c:pt>
                <c:pt idx="3">
                  <c:v>620362.91000000015</c:v>
                </c:pt>
                <c:pt idx="4">
                  <c:v>613097.38</c:v>
                </c:pt>
                <c:pt idx="5">
                  <c:v>712433.34999999963</c:v>
                </c:pt>
              </c:numCache>
            </c:numRef>
          </c:val>
          <c:extLst>
            <c:ext xmlns:c16="http://schemas.microsoft.com/office/drawing/2014/chart" uri="{C3380CC4-5D6E-409C-BE32-E72D297353CC}">
              <c16:uniqueId val="{00000001-BBBD-4835-9105-330042BEC438}"/>
            </c:ext>
          </c:extLst>
        </c:ser>
        <c:ser>
          <c:idx val="2"/>
          <c:order val="2"/>
          <c:tx>
            <c:strRef>
              <c:f>'Summary Analysis'!$D$3</c:f>
              <c:strCache>
                <c:ptCount val="1"/>
                <c:pt idx="0">
                  <c:v>Average of Margin %</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 Analysis'!$A$4:$A$10</c:f>
              <c:strCache>
                <c:ptCount val="6"/>
                <c:pt idx="0">
                  <c:v>Abha</c:v>
                </c:pt>
                <c:pt idx="1">
                  <c:v>Dammam</c:v>
                </c:pt>
                <c:pt idx="2">
                  <c:v>Hail</c:v>
                </c:pt>
                <c:pt idx="3">
                  <c:v>Jeddah</c:v>
                </c:pt>
                <c:pt idx="4">
                  <c:v>Jubail</c:v>
                </c:pt>
                <c:pt idx="5">
                  <c:v>Riyadh</c:v>
                </c:pt>
              </c:strCache>
            </c:strRef>
          </c:cat>
          <c:val>
            <c:numRef>
              <c:f>'Summary Analysis'!$D$4:$D$10</c:f>
              <c:numCache>
                <c:formatCode>0.00</c:formatCode>
                <c:ptCount val="6"/>
                <c:pt idx="0">
                  <c:v>0.35001604938271552</c:v>
                </c:pt>
                <c:pt idx="1">
                  <c:v>0.36449324324324234</c:v>
                </c:pt>
                <c:pt idx="2">
                  <c:v>0.37329540983606457</c:v>
                </c:pt>
                <c:pt idx="3">
                  <c:v>0.33566090651558006</c:v>
                </c:pt>
                <c:pt idx="4">
                  <c:v>0.3834374999999991</c:v>
                </c:pt>
                <c:pt idx="5">
                  <c:v>0.39505818713450214</c:v>
                </c:pt>
              </c:numCache>
            </c:numRef>
          </c:val>
          <c:extLst>
            <c:ext xmlns:c16="http://schemas.microsoft.com/office/drawing/2014/chart" uri="{C3380CC4-5D6E-409C-BE32-E72D297353CC}">
              <c16:uniqueId val="{00000002-BBBD-4835-9105-330042BEC438}"/>
            </c:ext>
          </c:extLst>
        </c:ser>
        <c:dLbls>
          <c:dLblPos val="outEnd"/>
          <c:showLegendKey val="0"/>
          <c:showVal val="1"/>
          <c:showCatName val="0"/>
          <c:showSerName val="0"/>
          <c:showPercent val="0"/>
          <c:showBubbleSize val="0"/>
        </c:dLbls>
        <c:gapWidth val="219"/>
        <c:overlap val="-27"/>
        <c:axId val="1515833936"/>
        <c:axId val="1395989248"/>
      </c:barChart>
      <c:catAx>
        <c:axId val="1515833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95989248"/>
        <c:crosses val="autoZero"/>
        <c:auto val="1"/>
        <c:lblAlgn val="ctr"/>
        <c:lblOffset val="100"/>
        <c:noMultiLvlLbl val="0"/>
      </c:catAx>
      <c:valAx>
        <c:axId val="1395989248"/>
        <c:scaling>
          <c:orientation val="minMax"/>
          <c:min val="50000"/>
        </c:scaling>
        <c:delete val="1"/>
        <c:axPos val="l"/>
        <c:numFmt formatCode="[&gt;=1000000]#,##0.0,,\ &quot;M&quot;;[&gt;=1000]#,##0,\ &quot;K&quot;;#,##0" sourceLinked="0"/>
        <c:majorTickMark val="none"/>
        <c:minorTickMark val="none"/>
        <c:tickLblPos val="nextTo"/>
        <c:crossAx val="1515833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F0F29"/>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[Zainab_project.xlsx]Summary Analysis!PivotTable3</c:name>
    <c:fmtId val="14"/>
  </c:pivotSource>
  <c:chart>
    <c:title>
      <c:tx>
        <c:rich>
          <a:bodyPr rot="0" spcFirstLastPara="1" vertOverflow="ellipsis" vert="horz" wrap="square" anchor="ctr" anchorCtr="1"/>
          <a:lstStyle/>
          <a:p>
            <a:pPr>
              <a:defRPr sz="1100" b="0" i="0" u="none" strike="noStrike" kern="1200" spc="0" baseline="0">
                <a:solidFill>
                  <a:schemeClr val="bg1"/>
                </a:solidFill>
                <a:latin typeface="+mn-lt"/>
                <a:ea typeface="+mn-ea"/>
                <a:cs typeface="+mn-cs"/>
              </a:defRPr>
            </a:pPr>
            <a:r>
              <a:rPr lang="en-GB" sz="1100">
                <a:solidFill>
                  <a:schemeClr val="bg1"/>
                </a:solidFill>
              </a:rPr>
              <a:t>SALES</a:t>
            </a:r>
            <a:r>
              <a:rPr lang="en-GB" sz="1100" baseline="0">
                <a:solidFill>
                  <a:schemeClr val="bg1"/>
                </a:solidFill>
              </a:rPr>
              <a:t> BY REPS</a:t>
            </a:r>
            <a:endParaRPr lang="en-GB" sz="1100">
              <a:solidFill>
                <a:schemeClr val="bg1"/>
              </a:solidFill>
            </a:endParaRP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gt;=10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C00"/>
          </a:solidFill>
          <a:ln>
            <a:noFill/>
          </a:ln>
          <a:effectLst/>
        </c:spPr>
        <c:marker>
          <c:symbol val="none"/>
        </c:marker>
        <c:dLbl>
          <c:idx val="0"/>
          <c:numFmt formatCode="[&gt;=1000000]#,##0.0,,\ &quot;M&quot;;[&gt;=1000]#,##0,\ &quot;K&quot;;#,##0" sourceLinked="0"/>
          <c:spPr>
            <a:noFill/>
            <a:ln>
              <a:noFill/>
            </a:ln>
            <a:effectLst/>
          </c:spPr>
          <c:txPr>
            <a:bodyPr rot="0" spcFirstLastPara="1" vertOverflow="ellipsis" vert="horz" wrap="square" lIns="38100" tIns="108000" rIns="38100" bIns="19050" anchor="t"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0.1001956573610117"/>
          <c:y val="0.21595351967519155"/>
          <c:w val="0.79029182616995008"/>
          <c:h val="0.54999532372649484"/>
        </c:manualLayout>
      </c:layout>
      <c:barChart>
        <c:barDir val="bar"/>
        <c:grouping val="clustered"/>
        <c:varyColors val="0"/>
        <c:ser>
          <c:idx val="0"/>
          <c:order val="0"/>
          <c:tx>
            <c:strRef>
              <c:f>'Summary Analysis'!$G$3</c:f>
              <c:strCache>
                <c:ptCount val="1"/>
                <c:pt idx="0">
                  <c:v>Sum of Sale</c:v>
                </c:pt>
              </c:strCache>
            </c:strRef>
          </c:tx>
          <c:spPr>
            <a:solidFill>
              <a:schemeClr val="accent1"/>
            </a:solidFill>
            <a:ln>
              <a:noFill/>
            </a:ln>
            <a:effectLst/>
          </c:spPr>
          <c:invertIfNegative val="0"/>
          <c:dLbls>
            <c:numFmt formatCode="[&gt;=10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 Analysis'!$F$4:$F$9</c:f>
              <c:strCache>
                <c:ptCount val="5"/>
                <c:pt idx="0">
                  <c:v>Abdul</c:v>
                </c:pt>
                <c:pt idx="1">
                  <c:v>Ghalia</c:v>
                </c:pt>
                <c:pt idx="2">
                  <c:v>Maliha</c:v>
                </c:pt>
                <c:pt idx="3">
                  <c:v>Mjeed</c:v>
                </c:pt>
                <c:pt idx="4">
                  <c:v>Yahia</c:v>
                </c:pt>
              </c:strCache>
            </c:strRef>
          </c:cat>
          <c:val>
            <c:numRef>
              <c:f>'Summary Analysis'!$G$4:$G$9</c:f>
              <c:numCache>
                <c:formatCode>#,##0.00</c:formatCode>
                <c:ptCount val="5"/>
                <c:pt idx="0">
                  <c:v>1824241.9399999997</c:v>
                </c:pt>
                <c:pt idx="1">
                  <c:v>2107132.6699999981</c:v>
                </c:pt>
                <c:pt idx="2">
                  <c:v>2088024.5400000007</c:v>
                </c:pt>
                <c:pt idx="3">
                  <c:v>1878038.6300000008</c:v>
                </c:pt>
                <c:pt idx="4">
                  <c:v>2177923.1999999997</c:v>
                </c:pt>
              </c:numCache>
            </c:numRef>
          </c:val>
          <c:extLst>
            <c:ext xmlns:c16="http://schemas.microsoft.com/office/drawing/2014/chart" uri="{C3380CC4-5D6E-409C-BE32-E72D297353CC}">
              <c16:uniqueId val="{00000000-1FC4-4EE4-82BD-91A4C45B2969}"/>
            </c:ext>
          </c:extLst>
        </c:ser>
        <c:ser>
          <c:idx val="1"/>
          <c:order val="1"/>
          <c:tx>
            <c:strRef>
              <c:f>'Summary Analysis'!$H$3</c:f>
              <c:strCache>
                <c:ptCount val="1"/>
                <c:pt idx="0">
                  <c:v>Sum of Profit</c:v>
                </c:pt>
              </c:strCache>
            </c:strRef>
          </c:tx>
          <c:spPr>
            <a:solidFill>
              <a:srgbClr val="FFCC00"/>
            </a:solidFill>
            <a:ln>
              <a:noFill/>
            </a:ln>
            <a:effectLst/>
          </c:spPr>
          <c:invertIfNegative val="0"/>
          <c:dLbls>
            <c:numFmt formatCode="[&gt;=1000000]#,##0.0,,\ &quot;M&quot;;[&gt;=1000]#,##0,\ &quot;K&quot;;#,##0" sourceLinked="0"/>
            <c:spPr>
              <a:noFill/>
              <a:ln>
                <a:noFill/>
              </a:ln>
              <a:effectLst/>
            </c:spPr>
            <c:txPr>
              <a:bodyPr rot="0" spcFirstLastPara="1" vertOverflow="ellipsis" vert="horz" wrap="square" lIns="38100" tIns="108000" rIns="38100" bIns="19050" anchor="t"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'Summary Analysis'!$F$4:$F$9</c:f>
              <c:strCache>
                <c:ptCount val="5"/>
                <c:pt idx="0">
                  <c:v>Abdul</c:v>
                </c:pt>
                <c:pt idx="1">
                  <c:v>Ghalia</c:v>
                </c:pt>
                <c:pt idx="2">
                  <c:v>Maliha</c:v>
                </c:pt>
                <c:pt idx="3">
                  <c:v>Mjeed</c:v>
                </c:pt>
                <c:pt idx="4">
                  <c:v>Yahia</c:v>
                </c:pt>
              </c:strCache>
            </c:strRef>
          </c:cat>
          <c:val>
            <c:numRef>
              <c:f>'Summary Analysis'!$H$4:$H$9</c:f>
              <c:numCache>
                <c:formatCode>#,##0.00</c:formatCode>
                <c:ptCount val="5"/>
                <c:pt idx="0">
                  <c:v>667750.66999999993</c:v>
                </c:pt>
                <c:pt idx="1">
                  <c:v>814239.24</c:v>
                </c:pt>
                <c:pt idx="2">
                  <c:v>763067.46999999927</c:v>
                </c:pt>
                <c:pt idx="3">
                  <c:v>700455.87000000034</c:v>
                </c:pt>
                <c:pt idx="4">
                  <c:v>834109.05999999982</c:v>
                </c:pt>
              </c:numCache>
            </c:numRef>
          </c:val>
          <c:extLst>
            <c:ext xmlns:c16="http://schemas.microsoft.com/office/drawing/2014/chart" uri="{C3380CC4-5D6E-409C-BE32-E72D297353CC}">
              <c16:uniqueId val="{00000001-1FC4-4EE4-82BD-91A4C45B2969}"/>
            </c:ext>
          </c:extLst>
        </c:ser>
        <c:dLbls>
          <c:showLegendKey val="0"/>
          <c:showVal val="0"/>
          <c:showCatName val="0"/>
          <c:showSerName val="0"/>
          <c:showPercent val="0"/>
          <c:showBubbleSize val="0"/>
        </c:dLbls>
        <c:gapWidth val="182"/>
        <c:axId val="1556939840"/>
        <c:axId val="1556941280"/>
      </c:barChart>
      <c:catAx>
        <c:axId val="1556939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56941280"/>
        <c:crosses val="autoZero"/>
        <c:auto val="1"/>
        <c:lblAlgn val="ctr"/>
        <c:lblOffset val="100"/>
        <c:noMultiLvlLbl val="0"/>
      </c:catAx>
      <c:valAx>
        <c:axId val="1556941280"/>
        <c:scaling>
          <c:orientation val="minMax"/>
        </c:scaling>
        <c:delete val="1"/>
        <c:axPos val="b"/>
        <c:numFmt formatCode="[&gt;=1000000]#,##0.0,,\ &quot;M&quot;;[&gt;=1000]#,##0,\ &quot;K&quot;;#,##0" sourceLinked="0"/>
        <c:majorTickMark val="none"/>
        <c:minorTickMark val="none"/>
        <c:tickLblPos val="nextTo"/>
        <c:crossAx val="1556939840"/>
        <c:crosses val="autoZero"/>
        <c:crossBetween val="between"/>
      </c:valAx>
      <c:spPr>
        <a:noFill/>
        <a:ln>
          <a:noFill/>
        </a:ln>
        <a:effectLst/>
      </c:spPr>
    </c:plotArea>
    <c:legend>
      <c:legendPos val="l"/>
      <c:layout>
        <c:manualLayout>
          <c:xMode val="edge"/>
          <c:yMode val="edge"/>
          <c:x val="0.35573122529644269"/>
          <c:y val="0.87944612749538797"/>
          <c:w val="0.32901683732221221"/>
          <c:h val="0.11499415007353669"/>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F0F29"/>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[Zainab_project.xlsx]Summary Analysis!PivotTable4</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100">
                <a:solidFill>
                  <a:schemeClr val="bg1"/>
                </a:solidFill>
              </a:rPr>
              <a:t>SALES</a:t>
            </a:r>
            <a:r>
              <a:rPr lang="en-GB" sz="1100" baseline="0">
                <a:solidFill>
                  <a:schemeClr val="bg1"/>
                </a:solidFill>
              </a:rPr>
              <a:t> BY STORE</a:t>
            </a:r>
            <a:endParaRPr lang="en-GB" sz="1100">
              <a:solidFill>
                <a:schemeClr val="bg1"/>
              </a:solidFill>
            </a:endParaRPr>
          </a:p>
        </c:rich>
      </c:tx>
      <c:layout>
        <c:manualLayout>
          <c:xMode val="edge"/>
          <c:yMode val="edge"/>
          <c:x val="0.39440465775111444"/>
          <c:y val="1.75438596491228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gt;=10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c:spPr>
        <c:marker>
          <c:symbol val="none"/>
        </c:marker>
        <c:dLbl>
          <c:idx val="0"/>
          <c:numFmt formatCode="[&gt;=10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590217889430485E-2"/>
          <c:y val="0.16426900584795323"/>
          <c:w val="0.88430925301004037"/>
          <c:h val="0.7187719298245614"/>
        </c:manualLayout>
      </c:layout>
      <c:barChart>
        <c:barDir val="bar"/>
        <c:grouping val="clustered"/>
        <c:varyColors val="0"/>
        <c:ser>
          <c:idx val="0"/>
          <c:order val="0"/>
          <c:tx>
            <c:strRef>
              <c:f>'Summary Analysis'!$G$12</c:f>
              <c:strCache>
                <c:ptCount val="1"/>
                <c:pt idx="0">
                  <c:v>Sum of Sale</c:v>
                </c:pt>
              </c:strCache>
            </c:strRef>
          </c:tx>
          <c:spPr>
            <a:solidFill>
              <a:schemeClr val="accent1"/>
            </a:solidFill>
            <a:ln>
              <a:noFill/>
            </a:ln>
            <a:effectLst/>
          </c:spPr>
          <c:invertIfNegative val="0"/>
          <c:dLbls>
            <c:numFmt formatCode="[&gt;=10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 Analysis'!$F$13:$F$17</c:f>
              <c:strCache>
                <c:ptCount val="4"/>
                <c:pt idx="0">
                  <c:v>Food</c:v>
                </c:pt>
                <c:pt idx="1">
                  <c:v>Home</c:v>
                </c:pt>
                <c:pt idx="2">
                  <c:v>Office</c:v>
                </c:pt>
                <c:pt idx="3">
                  <c:v>Toys</c:v>
                </c:pt>
              </c:strCache>
            </c:strRef>
          </c:cat>
          <c:val>
            <c:numRef>
              <c:f>'Summary Analysis'!$G$13:$G$17</c:f>
              <c:numCache>
                <c:formatCode>#,##0.00</c:formatCode>
                <c:ptCount val="4"/>
                <c:pt idx="0">
                  <c:v>2692005.6099999989</c:v>
                </c:pt>
                <c:pt idx="1">
                  <c:v>2314318.7299999995</c:v>
                </c:pt>
                <c:pt idx="2">
                  <c:v>2623694.2300000004</c:v>
                </c:pt>
                <c:pt idx="3">
                  <c:v>2445342.4099999997</c:v>
                </c:pt>
              </c:numCache>
            </c:numRef>
          </c:val>
          <c:extLst>
            <c:ext xmlns:c16="http://schemas.microsoft.com/office/drawing/2014/chart" uri="{C3380CC4-5D6E-409C-BE32-E72D297353CC}">
              <c16:uniqueId val="{00000000-20C4-4176-BEAD-25183E610CBE}"/>
            </c:ext>
          </c:extLst>
        </c:ser>
        <c:ser>
          <c:idx val="1"/>
          <c:order val="1"/>
          <c:tx>
            <c:strRef>
              <c:f>'Summary Analysis'!$H$12</c:f>
              <c:strCache>
                <c:ptCount val="1"/>
                <c:pt idx="0">
                  <c:v>Sum of Profit</c:v>
                </c:pt>
              </c:strCache>
            </c:strRef>
          </c:tx>
          <c:spPr>
            <a:solidFill>
              <a:srgbClr val="FFC000"/>
            </a:solidFill>
            <a:ln>
              <a:noFill/>
            </a:ln>
            <a:effectLst/>
          </c:spPr>
          <c:invertIfNegative val="0"/>
          <c:dLbls>
            <c:numFmt formatCode="[&gt;=10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 Analysis'!$F$13:$F$17</c:f>
              <c:strCache>
                <c:ptCount val="4"/>
                <c:pt idx="0">
                  <c:v>Food</c:v>
                </c:pt>
                <c:pt idx="1">
                  <c:v>Home</c:v>
                </c:pt>
                <c:pt idx="2">
                  <c:v>Office</c:v>
                </c:pt>
                <c:pt idx="3">
                  <c:v>Toys</c:v>
                </c:pt>
              </c:strCache>
            </c:strRef>
          </c:cat>
          <c:val>
            <c:numRef>
              <c:f>'Summary Analysis'!$H$13:$H$17</c:f>
              <c:numCache>
                <c:formatCode>#,##0.00</c:formatCode>
                <c:ptCount val="4"/>
                <c:pt idx="0">
                  <c:v>1014215.4099999998</c:v>
                </c:pt>
                <c:pt idx="1">
                  <c:v>861158.83999999927</c:v>
                </c:pt>
                <c:pt idx="2">
                  <c:v>999289.56</c:v>
                </c:pt>
                <c:pt idx="3">
                  <c:v>904958.49999999988</c:v>
                </c:pt>
              </c:numCache>
            </c:numRef>
          </c:val>
          <c:extLst>
            <c:ext xmlns:c16="http://schemas.microsoft.com/office/drawing/2014/chart" uri="{C3380CC4-5D6E-409C-BE32-E72D297353CC}">
              <c16:uniqueId val="{00000001-20C4-4176-BEAD-25183E610CBE}"/>
            </c:ext>
          </c:extLst>
        </c:ser>
        <c:dLbls>
          <c:dLblPos val="outEnd"/>
          <c:showLegendKey val="0"/>
          <c:showVal val="1"/>
          <c:showCatName val="0"/>
          <c:showSerName val="0"/>
          <c:showPercent val="0"/>
          <c:showBubbleSize val="0"/>
        </c:dLbls>
        <c:gapWidth val="182"/>
        <c:axId val="1556952800"/>
        <c:axId val="1556935520"/>
      </c:barChart>
      <c:catAx>
        <c:axId val="1556952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56935520"/>
        <c:crosses val="autoZero"/>
        <c:auto val="1"/>
        <c:lblAlgn val="ctr"/>
        <c:lblOffset val="100"/>
        <c:noMultiLvlLbl val="0"/>
      </c:catAx>
      <c:valAx>
        <c:axId val="1556935520"/>
        <c:scaling>
          <c:orientation val="minMax"/>
        </c:scaling>
        <c:delete val="1"/>
        <c:axPos val="b"/>
        <c:numFmt formatCode="#,##0.00" sourceLinked="1"/>
        <c:majorTickMark val="none"/>
        <c:minorTickMark val="none"/>
        <c:tickLblPos val="nextTo"/>
        <c:crossAx val="1556952800"/>
        <c:crosses val="autoZero"/>
        <c:crossBetween val="between"/>
      </c:valAx>
      <c:spPr>
        <a:noFill/>
        <a:ln>
          <a:noFill/>
        </a:ln>
        <a:effectLst/>
      </c:spPr>
    </c:plotArea>
    <c:legend>
      <c:legendPos val="l"/>
      <c:layout>
        <c:manualLayout>
          <c:xMode val="edge"/>
          <c:yMode val="edge"/>
          <c:x val="0.36243386243386244"/>
          <c:y val="0.87526223695722238"/>
          <c:w val="0.37529600466608337"/>
          <c:h val="0.121346410646037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F0F29"/>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76200</xdr:colOff>
      <xdr:row>3</xdr:row>
      <xdr:rowOff>38100</xdr:rowOff>
    </xdr:from>
    <xdr:to>
      <xdr:col>7</xdr:col>
      <xdr:colOff>28575</xdr:colOff>
      <xdr:row>8</xdr:row>
      <xdr:rowOff>9525</xdr:rowOff>
    </xdr:to>
    <xdr:sp macro="" textlink="">
      <xdr:nvSpPr>
        <xdr:cNvPr id="2" name="Rectangle 1">
          <a:extLst>
            <a:ext uri="{FF2B5EF4-FFF2-40B4-BE49-F238E27FC236}">
              <a16:creationId xmlns:a16="http://schemas.microsoft.com/office/drawing/2014/main" id="{01916F59-E666-031F-F6B5-4500F70ABE72}"/>
            </a:ext>
          </a:extLst>
        </xdr:cNvPr>
        <xdr:cNvSpPr/>
      </xdr:nvSpPr>
      <xdr:spPr>
        <a:xfrm>
          <a:off x="1905000" y="609600"/>
          <a:ext cx="2390775" cy="923925"/>
        </a:xfrm>
        <a:prstGeom prst="rect">
          <a:avLst/>
        </a:prstGeom>
        <a:solidFill>
          <a:srgbClr val="0F0F2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15</xdr:col>
      <xdr:colOff>47625</xdr:colOff>
      <xdr:row>3</xdr:row>
      <xdr:rowOff>28575</xdr:rowOff>
    </xdr:from>
    <xdr:to>
      <xdr:col>18</xdr:col>
      <xdr:colOff>590550</xdr:colOff>
      <xdr:row>8</xdr:row>
      <xdr:rowOff>0</xdr:rowOff>
    </xdr:to>
    <xdr:sp macro="" textlink="">
      <xdr:nvSpPr>
        <xdr:cNvPr id="3" name="Rectangle 2">
          <a:extLst>
            <a:ext uri="{FF2B5EF4-FFF2-40B4-BE49-F238E27FC236}">
              <a16:creationId xmlns:a16="http://schemas.microsoft.com/office/drawing/2014/main" id="{39DC4AA9-070E-4BDA-ADF3-B592128CF00B}"/>
            </a:ext>
          </a:extLst>
        </xdr:cNvPr>
        <xdr:cNvSpPr/>
      </xdr:nvSpPr>
      <xdr:spPr>
        <a:xfrm>
          <a:off x="9191625" y="600075"/>
          <a:ext cx="2371725" cy="923925"/>
        </a:xfrm>
        <a:prstGeom prst="rect">
          <a:avLst/>
        </a:prstGeom>
        <a:solidFill>
          <a:srgbClr val="0F0F2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38100</xdr:colOff>
      <xdr:row>3</xdr:row>
      <xdr:rowOff>38100</xdr:rowOff>
    </xdr:from>
    <xdr:to>
      <xdr:col>14</xdr:col>
      <xdr:colOff>590550</xdr:colOff>
      <xdr:row>8</xdr:row>
      <xdr:rowOff>9525</xdr:rowOff>
    </xdr:to>
    <xdr:sp macro="" textlink="">
      <xdr:nvSpPr>
        <xdr:cNvPr id="4" name="Rectangle 3">
          <a:extLst>
            <a:ext uri="{FF2B5EF4-FFF2-40B4-BE49-F238E27FC236}">
              <a16:creationId xmlns:a16="http://schemas.microsoft.com/office/drawing/2014/main" id="{9F9C492C-EF52-471E-8880-A50507DADA13}"/>
            </a:ext>
          </a:extLst>
        </xdr:cNvPr>
        <xdr:cNvSpPr/>
      </xdr:nvSpPr>
      <xdr:spPr>
        <a:xfrm>
          <a:off x="6743700" y="609600"/>
          <a:ext cx="2381250" cy="923925"/>
        </a:xfrm>
        <a:prstGeom prst="rect">
          <a:avLst/>
        </a:prstGeom>
        <a:solidFill>
          <a:srgbClr val="0F0F2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95250</xdr:colOff>
      <xdr:row>3</xdr:row>
      <xdr:rowOff>38100</xdr:rowOff>
    </xdr:from>
    <xdr:to>
      <xdr:col>10</xdr:col>
      <xdr:colOff>590550</xdr:colOff>
      <xdr:row>8</xdr:row>
      <xdr:rowOff>9525</xdr:rowOff>
    </xdr:to>
    <xdr:sp macro="" textlink="">
      <xdr:nvSpPr>
        <xdr:cNvPr id="5" name="Rectangle 4">
          <a:extLst>
            <a:ext uri="{FF2B5EF4-FFF2-40B4-BE49-F238E27FC236}">
              <a16:creationId xmlns:a16="http://schemas.microsoft.com/office/drawing/2014/main" id="{AA6537AA-D9F6-427E-9C1D-60543639233A}"/>
            </a:ext>
          </a:extLst>
        </xdr:cNvPr>
        <xdr:cNvSpPr/>
      </xdr:nvSpPr>
      <xdr:spPr>
        <a:xfrm>
          <a:off x="4362450" y="609600"/>
          <a:ext cx="2324100" cy="923925"/>
        </a:xfrm>
        <a:prstGeom prst="rect">
          <a:avLst/>
        </a:prstGeom>
        <a:solidFill>
          <a:srgbClr val="0F0F2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28575</xdr:colOff>
      <xdr:row>3</xdr:row>
      <xdr:rowOff>38100</xdr:rowOff>
    </xdr:from>
    <xdr:to>
      <xdr:col>3</xdr:col>
      <xdr:colOff>19050</xdr:colOff>
      <xdr:row>29</xdr:row>
      <xdr:rowOff>133350</xdr:rowOff>
    </xdr:to>
    <xdr:sp macro="" textlink="">
      <xdr:nvSpPr>
        <xdr:cNvPr id="6" name="Rectangle 5">
          <a:extLst>
            <a:ext uri="{FF2B5EF4-FFF2-40B4-BE49-F238E27FC236}">
              <a16:creationId xmlns:a16="http://schemas.microsoft.com/office/drawing/2014/main" id="{81ABFA1F-0580-7615-2C73-CFE8AB25EFB7}"/>
            </a:ext>
          </a:extLst>
        </xdr:cNvPr>
        <xdr:cNvSpPr/>
      </xdr:nvSpPr>
      <xdr:spPr>
        <a:xfrm>
          <a:off x="28575" y="609600"/>
          <a:ext cx="1819275" cy="5048250"/>
        </a:xfrm>
        <a:prstGeom prst="rect">
          <a:avLst/>
        </a:prstGeom>
        <a:solidFill>
          <a:srgbClr val="0F0F2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161924</xdr:colOff>
      <xdr:row>3</xdr:row>
      <xdr:rowOff>142874</xdr:rowOff>
    </xdr:from>
    <xdr:to>
      <xdr:col>4</xdr:col>
      <xdr:colOff>171449</xdr:colOff>
      <xdr:row>7</xdr:row>
      <xdr:rowOff>95249</xdr:rowOff>
    </xdr:to>
    <xdr:sp macro="" textlink="">
      <xdr:nvSpPr>
        <xdr:cNvPr id="6147" name="Text Box 3">
          <a:extLst>
            <a:ext uri="{FF2B5EF4-FFF2-40B4-BE49-F238E27FC236}">
              <a16:creationId xmlns:a16="http://schemas.microsoft.com/office/drawing/2014/main" id="{759675C1-E9CD-8440-8105-5E2DB08D6460}"/>
            </a:ext>
          </a:extLst>
        </xdr:cNvPr>
        <xdr:cNvSpPr txBox="1">
          <a:spLocks noChangeArrowheads="1"/>
        </xdr:cNvSpPr>
      </xdr:nvSpPr>
      <xdr:spPr bwMode="auto">
        <a:xfrm>
          <a:off x="1990724" y="714374"/>
          <a:ext cx="619125" cy="714375"/>
        </a:xfrm>
        <a:prstGeom prst="rect">
          <a:avLst/>
        </a:prstGeom>
        <a:noFill/>
        <a:ln w="9525">
          <a:noFill/>
          <a:miter lim="800000"/>
          <a:headEnd/>
          <a:tailEnd/>
        </a:ln>
      </xdr:spPr>
      <xdr:txBody>
        <a:bodyPr vertOverflow="clip" wrap="square" lIns="27432" tIns="27432" rIns="0" bIns="0" anchor="t" upright="1"/>
        <a:lstStyle/>
        <a:p>
          <a:pPr algn="l" rtl="0">
            <a:defRPr sz="1000"/>
          </a:pPr>
          <a:r>
            <a:rPr lang="en-GB" sz="3600" b="0" i="0" u="none" strike="noStrike" baseline="0">
              <a:solidFill>
                <a:srgbClr val="000000"/>
              </a:solidFill>
              <a:latin typeface="Calibri"/>
              <a:cs typeface="Calibri"/>
            </a:rPr>
            <a:t>💰</a:t>
          </a:r>
        </a:p>
      </xdr:txBody>
    </xdr:sp>
    <xdr:clientData/>
  </xdr:twoCellAnchor>
  <xdr:twoCellAnchor>
    <xdr:from>
      <xdr:col>4</xdr:col>
      <xdr:colOff>38099</xdr:colOff>
      <xdr:row>3</xdr:row>
      <xdr:rowOff>28575</xdr:rowOff>
    </xdr:from>
    <xdr:to>
      <xdr:col>5</xdr:col>
      <xdr:colOff>314324</xdr:colOff>
      <xdr:row>4</xdr:row>
      <xdr:rowOff>85725</xdr:rowOff>
    </xdr:to>
    <xdr:sp macro="" textlink="">
      <xdr:nvSpPr>
        <xdr:cNvPr id="6148" name="Text Box 4">
          <a:extLst>
            <a:ext uri="{FF2B5EF4-FFF2-40B4-BE49-F238E27FC236}">
              <a16:creationId xmlns:a16="http://schemas.microsoft.com/office/drawing/2014/main" id="{7E442EC7-DC9A-12D9-73A9-1E4132B8C1C3}"/>
            </a:ext>
          </a:extLst>
        </xdr:cNvPr>
        <xdr:cNvSpPr txBox="1">
          <a:spLocks noChangeArrowheads="1"/>
        </xdr:cNvSpPr>
      </xdr:nvSpPr>
      <xdr:spPr bwMode="auto">
        <a:xfrm>
          <a:off x="2476499" y="600075"/>
          <a:ext cx="885825" cy="247650"/>
        </a:xfrm>
        <a:prstGeom prst="rect">
          <a:avLst/>
        </a:prstGeom>
        <a:noFill/>
        <a:ln w="9525">
          <a:noFill/>
          <a:miter lim="800000"/>
          <a:headEnd/>
          <a:tailEnd/>
        </a:ln>
      </xdr:spPr>
      <xdr:txBody>
        <a:bodyPr vertOverflow="clip" wrap="square" lIns="27432" tIns="27432" rIns="0" bIns="0" anchor="t" upright="1"/>
        <a:lstStyle/>
        <a:p>
          <a:pPr algn="l" rtl="0">
            <a:defRPr sz="1000"/>
          </a:pPr>
          <a:r>
            <a:rPr lang="en-GB" sz="1100" b="0" i="0" u="none" strike="noStrike" baseline="0">
              <a:solidFill>
                <a:schemeClr val="bg1"/>
              </a:solidFill>
              <a:latin typeface="Calibri"/>
              <a:cs typeface="Calibri"/>
            </a:rPr>
            <a:t>TOTAL</a:t>
          </a:r>
          <a:r>
            <a:rPr lang="en-GB" sz="1200" b="0" i="0" u="none" strike="noStrike" baseline="0">
              <a:solidFill>
                <a:schemeClr val="bg1"/>
              </a:solidFill>
              <a:latin typeface="Calibri"/>
              <a:cs typeface="Calibri"/>
            </a:rPr>
            <a:t> </a:t>
          </a:r>
          <a:r>
            <a:rPr lang="en-GB" sz="1100" b="0" i="0" u="none" strike="noStrike" baseline="0">
              <a:solidFill>
                <a:schemeClr val="bg1"/>
              </a:solidFill>
              <a:latin typeface="Calibri"/>
              <a:cs typeface="Calibri"/>
            </a:rPr>
            <a:t>SALES</a:t>
          </a:r>
        </a:p>
      </xdr:txBody>
    </xdr:sp>
    <xdr:clientData/>
  </xdr:twoCellAnchor>
  <xdr:twoCellAnchor>
    <xdr:from>
      <xdr:col>4</xdr:col>
      <xdr:colOff>171451</xdr:colOff>
      <xdr:row>4</xdr:row>
      <xdr:rowOff>66675</xdr:rowOff>
    </xdr:from>
    <xdr:to>
      <xdr:col>6</xdr:col>
      <xdr:colOff>400051</xdr:colOff>
      <xdr:row>6</xdr:row>
      <xdr:rowOff>133350</xdr:rowOff>
    </xdr:to>
    <xdr:sp macro="" textlink="'Summary Analysis'!B10">
      <xdr:nvSpPr>
        <xdr:cNvPr id="10" name="TextBox 9">
          <a:extLst>
            <a:ext uri="{FF2B5EF4-FFF2-40B4-BE49-F238E27FC236}">
              <a16:creationId xmlns:a16="http://schemas.microsoft.com/office/drawing/2014/main" id="{039D5523-7072-75C5-83ED-A00B193F252A}"/>
            </a:ext>
          </a:extLst>
        </xdr:cNvPr>
        <xdr:cNvSpPr txBox="1"/>
      </xdr:nvSpPr>
      <xdr:spPr>
        <a:xfrm>
          <a:off x="2609851" y="828675"/>
          <a:ext cx="1447800"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B72FCEC-417F-4633-A8D9-9868CDE90927}" type="TxLink">
            <a:rPr lang="en-US" sz="2400" b="1" i="0" u="none" strike="noStrike">
              <a:solidFill>
                <a:schemeClr val="bg1"/>
              </a:solidFill>
              <a:latin typeface="Calibri"/>
              <a:cs typeface="Calibri"/>
            </a:rPr>
            <a:pPr/>
            <a:t>10,075M</a:t>
          </a:fld>
          <a:endParaRPr lang="en-GB" sz="2400" b="1">
            <a:solidFill>
              <a:schemeClr val="bg1"/>
            </a:solidFill>
          </a:endParaRPr>
        </a:p>
      </xdr:txBody>
    </xdr:sp>
    <xdr:clientData/>
  </xdr:twoCellAnchor>
  <xdr:twoCellAnchor>
    <xdr:from>
      <xdr:col>7</xdr:col>
      <xdr:colOff>123825</xdr:colOff>
      <xdr:row>3</xdr:row>
      <xdr:rowOff>142875</xdr:rowOff>
    </xdr:from>
    <xdr:to>
      <xdr:col>8</xdr:col>
      <xdr:colOff>133350</xdr:colOff>
      <xdr:row>7</xdr:row>
      <xdr:rowOff>85725</xdr:rowOff>
    </xdr:to>
    <xdr:sp macro="" textlink="">
      <xdr:nvSpPr>
        <xdr:cNvPr id="6150" name="Text Box 6">
          <a:extLst>
            <a:ext uri="{FF2B5EF4-FFF2-40B4-BE49-F238E27FC236}">
              <a16:creationId xmlns:a16="http://schemas.microsoft.com/office/drawing/2014/main" id="{9DA1C07F-A9DC-C7CF-2AA5-BAB227FD5F6A}"/>
            </a:ext>
          </a:extLst>
        </xdr:cNvPr>
        <xdr:cNvSpPr txBox="1">
          <a:spLocks noChangeArrowheads="1"/>
        </xdr:cNvSpPr>
      </xdr:nvSpPr>
      <xdr:spPr bwMode="auto">
        <a:xfrm>
          <a:off x="4391025" y="714375"/>
          <a:ext cx="619125" cy="704850"/>
        </a:xfrm>
        <a:prstGeom prst="rect">
          <a:avLst/>
        </a:prstGeom>
        <a:noFill/>
        <a:ln w="9525">
          <a:noFill/>
          <a:miter lim="800000"/>
          <a:headEnd/>
          <a:tailEnd/>
        </a:ln>
      </xdr:spPr>
      <xdr:txBody>
        <a:bodyPr vertOverflow="clip" wrap="square" lIns="27432" tIns="27432" rIns="0" bIns="0" anchor="t" upright="1"/>
        <a:lstStyle/>
        <a:p>
          <a:pPr algn="l" rtl="0">
            <a:defRPr sz="1000"/>
          </a:pPr>
          <a:r>
            <a:rPr lang="en-GB" sz="3600" b="0" i="0" u="none" strike="noStrike" baseline="0">
              <a:solidFill>
                <a:srgbClr val="000000"/>
              </a:solidFill>
              <a:latin typeface="Calibri"/>
              <a:cs typeface="Calibri"/>
            </a:rPr>
            <a:t>💸</a:t>
          </a:r>
        </a:p>
      </xdr:txBody>
    </xdr:sp>
    <xdr:clientData/>
  </xdr:twoCellAnchor>
  <xdr:twoCellAnchor>
    <xdr:from>
      <xdr:col>7</xdr:col>
      <xdr:colOff>600075</xdr:colOff>
      <xdr:row>3</xdr:row>
      <xdr:rowOff>38100</xdr:rowOff>
    </xdr:from>
    <xdr:to>
      <xdr:col>9</xdr:col>
      <xdr:colOff>466725</xdr:colOff>
      <xdr:row>4</xdr:row>
      <xdr:rowOff>104775</xdr:rowOff>
    </xdr:to>
    <xdr:sp macro="" textlink="">
      <xdr:nvSpPr>
        <xdr:cNvPr id="6151" name="Text Box 7">
          <a:extLst>
            <a:ext uri="{FF2B5EF4-FFF2-40B4-BE49-F238E27FC236}">
              <a16:creationId xmlns:a16="http://schemas.microsoft.com/office/drawing/2014/main" id="{830BA723-74B0-9CBC-91BB-876E3F47E75E}"/>
            </a:ext>
          </a:extLst>
        </xdr:cNvPr>
        <xdr:cNvSpPr txBox="1">
          <a:spLocks noChangeArrowheads="1"/>
        </xdr:cNvSpPr>
      </xdr:nvSpPr>
      <xdr:spPr bwMode="auto">
        <a:xfrm>
          <a:off x="4867275" y="609600"/>
          <a:ext cx="1085850" cy="257175"/>
        </a:xfrm>
        <a:prstGeom prst="rect">
          <a:avLst/>
        </a:prstGeom>
        <a:noFill/>
        <a:ln w="9525">
          <a:solidFill>
            <a:srgbClr val="000000"/>
          </a:solidFill>
          <a:miter lim="800000"/>
          <a:headEnd/>
          <a:tailEnd/>
        </a:ln>
      </xdr:spPr>
      <xdr:txBody>
        <a:bodyPr vertOverflow="clip" wrap="square" lIns="27432" tIns="27432" rIns="0" bIns="0" anchor="t" upright="1"/>
        <a:lstStyle/>
        <a:p>
          <a:pPr algn="l" rtl="0">
            <a:defRPr sz="1000"/>
          </a:pPr>
          <a:r>
            <a:rPr lang="en-GB" sz="1100" b="0" i="0" u="none" strike="noStrike" baseline="0">
              <a:solidFill>
                <a:schemeClr val="bg1"/>
              </a:solidFill>
              <a:latin typeface="Calibri"/>
              <a:cs typeface="Calibri"/>
            </a:rPr>
            <a:t>TOTAL PROFIT</a:t>
          </a:r>
        </a:p>
      </xdr:txBody>
    </xdr:sp>
    <xdr:clientData/>
  </xdr:twoCellAnchor>
  <xdr:twoCellAnchor>
    <xdr:from>
      <xdr:col>8</xdr:col>
      <xdr:colOff>219075</xdr:colOff>
      <xdr:row>4</xdr:row>
      <xdr:rowOff>76199</xdr:rowOff>
    </xdr:from>
    <xdr:to>
      <xdr:col>10</xdr:col>
      <xdr:colOff>180975</xdr:colOff>
      <xdr:row>6</xdr:row>
      <xdr:rowOff>123824</xdr:rowOff>
    </xdr:to>
    <xdr:sp macro="" textlink="'Summary Analysis'!C10">
      <xdr:nvSpPr>
        <xdr:cNvPr id="11" name="TextBox 10">
          <a:extLst>
            <a:ext uri="{FF2B5EF4-FFF2-40B4-BE49-F238E27FC236}">
              <a16:creationId xmlns:a16="http://schemas.microsoft.com/office/drawing/2014/main" id="{BB4E5522-4503-8580-8992-DBA4EF4C51B9}"/>
            </a:ext>
          </a:extLst>
        </xdr:cNvPr>
        <xdr:cNvSpPr txBox="1"/>
      </xdr:nvSpPr>
      <xdr:spPr>
        <a:xfrm>
          <a:off x="5095875" y="838199"/>
          <a:ext cx="1181100"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F7C277B-F93D-4095-BE63-3009A4E20D3E}" type="TxLink">
            <a:rPr lang="en-US" sz="2400" b="1" i="0" u="none" strike="noStrike">
              <a:solidFill>
                <a:schemeClr val="bg1"/>
              </a:solidFill>
              <a:latin typeface="Calibri"/>
              <a:cs typeface="Calibri"/>
            </a:rPr>
            <a:pPr/>
            <a:t>3,780M</a:t>
          </a:fld>
          <a:endParaRPr lang="en-GB" sz="2400" b="1">
            <a:solidFill>
              <a:schemeClr val="bg1"/>
            </a:solidFill>
          </a:endParaRPr>
        </a:p>
      </xdr:txBody>
    </xdr:sp>
    <xdr:clientData/>
  </xdr:twoCellAnchor>
  <xdr:twoCellAnchor>
    <xdr:from>
      <xdr:col>12</xdr:col>
      <xdr:colOff>428625</xdr:colOff>
      <xdr:row>4</xdr:row>
      <xdr:rowOff>85725</xdr:rowOff>
    </xdr:from>
    <xdr:to>
      <xdr:col>13</xdr:col>
      <xdr:colOff>571500</xdr:colOff>
      <xdr:row>6</xdr:row>
      <xdr:rowOff>161925</xdr:rowOff>
    </xdr:to>
    <xdr:sp macro="" textlink="'Summary Analysis'!D10">
      <xdr:nvSpPr>
        <xdr:cNvPr id="12" name="TextBox 11">
          <a:extLst>
            <a:ext uri="{FF2B5EF4-FFF2-40B4-BE49-F238E27FC236}">
              <a16:creationId xmlns:a16="http://schemas.microsoft.com/office/drawing/2014/main" id="{48E45D1B-E0E3-BC07-742D-DABDFADAE1FE}"/>
            </a:ext>
          </a:extLst>
        </xdr:cNvPr>
        <xdr:cNvSpPr txBox="1"/>
      </xdr:nvSpPr>
      <xdr:spPr>
        <a:xfrm>
          <a:off x="7743825" y="847725"/>
          <a:ext cx="75247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42F791A-EB22-4504-AA08-7EDF2422DD0B}" type="TxLink">
            <a:rPr lang="en-US" sz="2400" b="1" i="0" u="none" strike="noStrike">
              <a:solidFill>
                <a:schemeClr val="bg1"/>
              </a:solidFill>
              <a:latin typeface="Calibri"/>
              <a:cs typeface="Calibri"/>
            </a:rPr>
            <a:pPr/>
            <a:t>37%</a:t>
          </a:fld>
          <a:endParaRPr lang="en-GB" sz="2400" b="1">
            <a:solidFill>
              <a:schemeClr val="bg1"/>
            </a:solidFill>
          </a:endParaRPr>
        </a:p>
      </xdr:txBody>
    </xdr:sp>
    <xdr:clientData/>
  </xdr:twoCellAnchor>
  <xdr:twoCellAnchor>
    <xdr:from>
      <xdr:col>11</xdr:col>
      <xdr:colOff>123825</xdr:colOff>
      <xdr:row>3</xdr:row>
      <xdr:rowOff>171449</xdr:rowOff>
    </xdr:from>
    <xdr:to>
      <xdr:col>12</xdr:col>
      <xdr:colOff>180975</xdr:colOff>
      <xdr:row>7</xdr:row>
      <xdr:rowOff>66674</xdr:rowOff>
    </xdr:to>
    <xdr:sp macro="" textlink="">
      <xdr:nvSpPr>
        <xdr:cNvPr id="6153" name="Text Box 9">
          <a:extLst>
            <a:ext uri="{FF2B5EF4-FFF2-40B4-BE49-F238E27FC236}">
              <a16:creationId xmlns:a16="http://schemas.microsoft.com/office/drawing/2014/main" id="{14C69926-17BA-D6E0-7B08-9FB76536A944}"/>
            </a:ext>
          </a:extLst>
        </xdr:cNvPr>
        <xdr:cNvSpPr txBox="1">
          <a:spLocks noChangeArrowheads="1"/>
        </xdr:cNvSpPr>
      </xdr:nvSpPr>
      <xdr:spPr bwMode="auto">
        <a:xfrm>
          <a:off x="6829425" y="742949"/>
          <a:ext cx="666750" cy="657225"/>
        </a:xfrm>
        <a:prstGeom prst="rect">
          <a:avLst/>
        </a:prstGeom>
        <a:noFill/>
        <a:ln w="9525">
          <a:noFill/>
          <a:miter lim="800000"/>
          <a:headEnd/>
          <a:tailEnd/>
        </a:ln>
      </xdr:spPr>
      <xdr:txBody>
        <a:bodyPr vertOverflow="clip" wrap="square" lIns="27432" tIns="27432" rIns="0" bIns="0" anchor="t" upright="1"/>
        <a:lstStyle/>
        <a:p>
          <a:pPr algn="l" rtl="0">
            <a:defRPr sz="1000"/>
          </a:pPr>
          <a:r>
            <a:rPr lang="en-GB" sz="3600" b="0" i="0" u="none" strike="noStrike" baseline="0">
              <a:solidFill>
                <a:srgbClr val="000000"/>
              </a:solidFill>
              <a:latin typeface="Calibri"/>
              <a:cs typeface="Calibri"/>
            </a:rPr>
            <a:t>📊 </a:t>
          </a:r>
        </a:p>
      </xdr:txBody>
    </xdr:sp>
    <xdr:clientData/>
  </xdr:twoCellAnchor>
  <xdr:twoCellAnchor>
    <xdr:from>
      <xdr:col>11</xdr:col>
      <xdr:colOff>590550</xdr:colOff>
      <xdr:row>3</xdr:row>
      <xdr:rowOff>28575</xdr:rowOff>
    </xdr:from>
    <xdr:to>
      <xdr:col>13</xdr:col>
      <xdr:colOff>504824</xdr:colOff>
      <xdr:row>4</xdr:row>
      <xdr:rowOff>57150</xdr:rowOff>
    </xdr:to>
    <xdr:sp macro="" textlink="">
      <xdr:nvSpPr>
        <xdr:cNvPr id="6154" name="Text Box 10">
          <a:extLst>
            <a:ext uri="{FF2B5EF4-FFF2-40B4-BE49-F238E27FC236}">
              <a16:creationId xmlns:a16="http://schemas.microsoft.com/office/drawing/2014/main" id="{839DC1A7-041F-3991-E482-14209198FB71}"/>
            </a:ext>
          </a:extLst>
        </xdr:cNvPr>
        <xdr:cNvSpPr txBox="1">
          <a:spLocks noChangeArrowheads="1"/>
        </xdr:cNvSpPr>
      </xdr:nvSpPr>
      <xdr:spPr bwMode="auto">
        <a:xfrm>
          <a:off x="7296150" y="600075"/>
          <a:ext cx="1133474" cy="219075"/>
        </a:xfrm>
        <a:prstGeom prst="rect">
          <a:avLst/>
        </a:prstGeom>
        <a:noFill/>
        <a:ln w="9525">
          <a:noFill/>
          <a:miter lim="800000"/>
          <a:headEnd/>
          <a:tailEnd/>
        </a:ln>
      </xdr:spPr>
      <xdr:txBody>
        <a:bodyPr vertOverflow="clip" wrap="square" lIns="27432" tIns="27432" rIns="0" bIns="0" anchor="t" upright="1"/>
        <a:lstStyle/>
        <a:p>
          <a:pPr algn="l" rtl="0">
            <a:defRPr sz="1000"/>
          </a:pPr>
          <a:r>
            <a:rPr lang="en-GB" sz="1100" b="0" i="0" u="none" strike="noStrike" baseline="0">
              <a:solidFill>
                <a:schemeClr val="bg1"/>
              </a:solidFill>
              <a:latin typeface="Calibri"/>
              <a:cs typeface="Calibri"/>
            </a:rPr>
            <a:t>  AVG MARGIN</a:t>
          </a:r>
        </a:p>
      </xdr:txBody>
    </xdr:sp>
    <xdr:clientData/>
  </xdr:twoCellAnchor>
  <xdr:twoCellAnchor>
    <xdr:from>
      <xdr:col>15</xdr:col>
      <xdr:colOff>142875</xdr:colOff>
      <xdr:row>3</xdr:row>
      <xdr:rowOff>104775</xdr:rowOff>
    </xdr:from>
    <xdr:to>
      <xdr:col>16</xdr:col>
      <xdr:colOff>200025</xdr:colOff>
      <xdr:row>6</xdr:row>
      <xdr:rowOff>104775</xdr:rowOff>
    </xdr:to>
    <xdr:sp macro="" textlink="">
      <xdr:nvSpPr>
        <xdr:cNvPr id="6155" name="Text Box 11">
          <a:extLst>
            <a:ext uri="{FF2B5EF4-FFF2-40B4-BE49-F238E27FC236}">
              <a16:creationId xmlns:a16="http://schemas.microsoft.com/office/drawing/2014/main" id="{635FA705-CDF3-43A1-22D3-A8D5DA12138A}"/>
            </a:ext>
          </a:extLst>
        </xdr:cNvPr>
        <xdr:cNvSpPr txBox="1">
          <a:spLocks noChangeArrowheads="1"/>
        </xdr:cNvSpPr>
      </xdr:nvSpPr>
      <xdr:spPr bwMode="auto">
        <a:xfrm>
          <a:off x="9286875" y="676275"/>
          <a:ext cx="666750" cy="571500"/>
        </a:xfrm>
        <a:prstGeom prst="rect">
          <a:avLst/>
        </a:prstGeom>
        <a:noFill/>
        <a:ln w="9525">
          <a:noFill/>
          <a:miter lim="800000"/>
          <a:headEnd/>
          <a:tailEnd/>
        </a:ln>
      </xdr:spPr>
      <xdr:txBody>
        <a:bodyPr vertOverflow="clip" wrap="square" lIns="27432" tIns="27432" rIns="0" bIns="0" anchor="t" upright="1"/>
        <a:lstStyle/>
        <a:p>
          <a:pPr algn="l" rtl="0">
            <a:defRPr sz="1000"/>
          </a:pPr>
          <a:r>
            <a:rPr lang="en-GB" sz="3600" b="0" i="0" u="none" strike="noStrike" baseline="0">
              <a:solidFill>
                <a:srgbClr val="000000"/>
              </a:solidFill>
              <a:latin typeface="Calibri"/>
              <a:cs typeface="Calibri"/>
            </a:rPr>
            <a:t>🛒</a:t>
          </a:r>
        </a:p>
      </xdr:txBody>
    </xdr:sp>
    <xdr:clientData/>
  </xdr:twoCellAnchor>
  <xdr:twoCellAnchor>
    <xdr:from>
      <xdr:col>16</xdr:col>
      <xdr:colOff>0</xdr:colOff>
      <xdr:row>3</xdr:row>
      <xdr:rowOff>38100</xdr:rowOff>
    </xdr:from>
    <xdr:to>
      <xdr:col>18</xdr:col>
      <xdr:colOff>38100</xdr:colOff>
      <xdr:row>4</xdr:row>
      <xdr:rowOff>104775</xdr:rowOff>
    </xdr:to>
    <xdr:sp macro="" textlink="">
      <xdr:nvSpPr>
        <xdr:cNvPr id="6156" name="Text Box 12">
          <a:extLst>
            <a:ext uri="{FF2B5EF4-FFF2-40B4-BE49-F238E27FC236}">
              <a16:creationId xmlns:a16="http://schemas.microsoft.com/office/drawing/2014/main" id="{E1571C7D-B28C-6973-676D-D5A6FD74FC4B}"/>
            </a:ext>
          </a:extLst>
        </xdr:cNvPr>
        <xdr:cNvSpPr txBox="1">
          <a:spLocks noChangeArrowheads="1"/>
        </xdr:cNvSpPr>
      </xdr:nvSpPr>
      <xdr:spPr bwMode="auto">
        <a:xfrm>
          <a:off x="9753600" y="609600"/>
          <a:ext cx="1257300" cy="257175"/>
        </a:xfrm>
        <a:prstGeom prst="rect">
          <a:avLst/>
        </a:prstGeom>
        <a:noFill/>
        <a:ln w="9525">
          <a:noFill/>
          <a:miter lim="800000"/>
          <a:headEnd/>
          <a:tailEnd/>
        </a:ln>
      </xdr:spPr>
      <xdr:txBody>
        <a:bodyPr vertOverflow="clip" wrap="square" lIns="27432" tIns="27432" rIns="0" bIns="0" anchor="t" upright="1"/>
        <a:lstStyle/>
        <a:p>
          <a:pPr algn="l" rtl="0">
            <a:defRPr sz="1000"/>
          </a:pPr>
          <a:r>
            <a:rPr lang="en-GB" sz="1100" b="0" i="0" u="none" strike="noStrike" baseline="0">
              <a:solidFill>
                <a:schemeClr val="bg1"/>
              </a:solidFill>
              <a:latin typeface="Calibri"/>
              <a:cs typeface="Calibri"/>
            </a:rPr>
            <a:t> ORDERS COUNT</a:t>
          </a:r>
        </a:p>
      </xdr:txBody>
    </xdr:sp>
    <xdr:clientData/>
  </xdr:twoCellAnchor>
  <xdr:twoCellAnchor>
    <xdr:from>
      <xdr:col>16</xdr:col>
      <xdr:colOff>247650</xdr:colOff>
      <xdr:row>4</xdr:row>
      <xdr:rowOff>57150</xdr:rowOff>
    </xdr:from>
    <xdr:to>
      <xdr:col>18</xdr:col>
      <xdr:colOff>28575</xdr:colOff>
      <xdr:row>6</xdr:row>
      <xdr:rowOff>47625</xdr:rowOff>
    </xdr:to>
    <xdr:sp macro="" textlink="">
      <xdr:nvSpPr>
        <xdr:cNvPr id="14" name="TextBox 13">
          <a:extLst>
            <a:ext uri="{FF2B5EF4-FFF2-40B4-BE49-F238E27FC236}">
              <a16:creationId xmlns:a16="http://schemas.microsoft.com/office/drawing/2014/main" id="{ECD62306-EAE0-B62D-09DC-F2691B72D2E3}"/>
            </a:ext>
          </a:extLst>
        </xdr:cNvPr>
        <xdr:cNvSpPr txBox="1"/>
      </xdr:nvSpPr>
      <xdr:spPr>
        <a:xfrm>
          <a:off x="10001250" y="819150"/>
          <a:ext cx="10001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b="1">
              <a:solidFill>
                <a:schemeClr val="bg1"/>
              </a:solidFill>
            </a:rPr>
            <a:t>1,998</a:t>
          </a:r>
        </a:p>
      </xdr:txBody>
    </xdr:sp>
    <xdr:clientData/>
  </xdr:twoCellAnchor>
  <xdr:twoCellAnchor>
    <xdr:from>
      <xdr:col>3</xdr:col>
      <xdr:colOff>47626</xdr:colOff>
      <xdr:row>8</xdr:row>
      <xdr:rowOff>38100</xdr:rowOff>
    </xdr:from>
    <xdr:to>
      <xdr:col>11</xdr:col>
      <xdr:colOff>9526</xdr:colOff>
      <xdr:row>18</xdr:row>
      <xdr:rowOff>47625</xdr:rowOff>
    </xdr:to>
    <xdr:graphicFrame macro="">
      <xdr:nvGraphicFramePr>
        <xdr:cNvPr id="15" name="Chart 14">
          <a:extLst>
            <a:ext uri="{FF2B5EF4-FFF2-40B4-BE49-F238E27FC236}">
              <a16:creationId xmlns:a16="http://schemas.microsoft.com/office/drawing/2014/main" id="{1A2441E1-F2FF-43F7-8122-CE2C92D05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38099</xdr:colOff>
      <xdr:row>8</xdr:row>
      <xdr:rowOff>38100</xdr:rowOff>
    </xdr:from>
    <xdr:to>
      <xdr:col>19</xdr:col>
      <xdr:colOff>0</xdr:colOff>
      <xdr:row>18</xdr:row>
      <xdr:rowOff>38100</xdr:rowOff>
    </xdr:to>
    <xdr:graphicFrame macro="">
      <xdr:nvGraphicFramePr>
        <xdr:cNvPr id="16" name="Chart 15">
          <a:extLst>
            <a:ext uri="{FF2B5EF4-FFF2-40B4-BE49-F238E27FC236}">
              <a16:creationId xmlns:a16="http://schemas.microsoft.com/office/drawing/2014/main" id="{4CA98D22-4BDE-42A4-8C0D-6BEEDAEB07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85724</xdr:colOff>
      <xdr:row>3</xdr:row>
      <xdr:rowOff>57149</xdr:rowOff>
    </xdr:from>
    <xdr:to>
      <xdr:col>2</xdr:col>
      <xdr:colOff>579524</xdr:colOff>
      <xdr:row>17</xdr:row>
      <xdr:rowOff>54149</xdr:rowOff>
    </xdr:to>
    <mc:AlternateContent xmlns:mc="http://schemas.openxmlformats.org/markup-compatibility/2006" xmlns:a14="http://schemas.microsoft.com/office/drawing/2010/main">
      <mc:Choice Requires="a14">
        <xdr:graphicFrame macro="">
          <xdr:nvGraphicFramePr>
            <xdr:cNvPr id="17" name="City">
              <a:extLst>
                <a:ext uri="{FF2B5EF4-FFF2-40B4-BE49-F238E27FC236}">
                  <a16:creationId xmlns:a16="http://schemas.microsoft.com/office/drawing/2014/main" id="{35324ACF-4D14-43C7-9F10-BE66B5A605C5}"/>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85724" y="628649"/>
              <a:ext cx="1713000" cy="2664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17</xdr:row>
      <xdr:rowOff>47625</xdr:rowOff>
    </xdr:from>
    <xdr:to>
      <xdr:col>2</xdr:col>
      <xdr:colOff>581025</xdr:colOff>
      <xdr:row>26</xdr:row>
      <xdr:rowOff>61125</xdr:rowOff>
    </xdr:to>
    <mc:AlternateContent xmlns:mc="http://schemas.openxmlformats.org/markup-compatibility/2006" xmlns:a14="http://schemas.microsoft.com/office/drawing/2010/main">
      <mc:Choice Requires="a14">
        <xdr:graphicFrame macro="">
          <xdr:nvGraphicFramePr>
            <xdr:cNvPr id="18" name="Year">
              <a:extLst>
                <a:ext uri="{FF2B5EF4-FFF2-40B4-BE49-F238E27FC236}">
                  <a16:creationId xmlns:a16="http://schemas.microsoft.com/office/drawing/2014/main" id="{053064B3-2D5C-53F0-4129-DCE732A8B1E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6200" y="3286125"/>
              <a:ext cx="1724025" cy="1728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57150</xdr:colOff>
      <xdr:row>18</xdr:row>
      <xdr:rowOff>66676</xdr:rowOff>
    </xdr:from>
    <xdr:to>
      <xdr:col>11</xdr:col>
      <xdr:colOff>0</xdr:colOff>
      <xdr:row>29</xdr:row>
      <xdr:rowOff>152400</xdr:rowOff>
    </xdr:to>
    <xdr:graphicFrame macro="">
      <xdr:nvGraphicFramePr>
        <xdr:cNvPr id="20" name="Chart 19">
          <a:extLst>
            <a:ext uri="{FF2B5EF4-FFF2-40B4-BE49-F238E27FC236}">
              <a16:creationId xmlns:a16="http://schemas.microsoft.com/office/drawing/2014/main" id="{93856AC8-583E-4D29-9D9C-6FD00D2B9B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38100</xdr:colOff>
      <xdr:row>18</xdr:row>
      <xdr:rowOff>66675</xdr:rowOff>
    </xdr:from>
    <xdr:to>
      <xdr:col>19</xdr:col>
      <xdr:colOff>0</xdr:colOff>
      <xdr:row>29</xdr:row>
      <xdr:rowOff>142875</xdr:rowOff>
    </xdr:to>
    <xdr:graphicFrame macro="">
      <xdr:nvGraphicFramePr>
        <xdr:cNvPr id="21" name="Chart 20">
          <a:extLst>
            <a:ext uri="{FF2B5EF4-FFF2-40B4-BE49-F238E27FC236}">
              <a16:creationId xmlns:a16="http://schemas.microsoft.com/office/drawing/2014/main" id="{59BD538C-F9A5-426F-814F-B1A5B8CFA1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81.378496527781" createdVersion="8" refreshedVersion="8" minRefreshableVersion="3" recordCount="1998" xr:uid="{72F05F07-17B0-4EC9-9F0E-E8D5EAD6E041}">
  <cacheSource type="worksheet">
    <worksheetSource name="Table1"/>
  </cacheSource>
  <cacheFields count="12">
    <cacheField name="Date" numFmtId="164">
      <sharedItems containsSemiMixedTypes="0" containsNonDate="0" containsDate="1" containsString="0" minDate="2004-06-17T00:00:00" maxDate="2006-06-17T00:00:00"/>
    </cacheField>
    <cacheField name="City" numFmtId="0">
      <sharedItems count="6">
        <s v="Jubail"/>
        <s v="Abha"/>
        <s v="Riyadh"/>
        <s v="Jeddah"/>
        <s v="Dammam"/>
        <s v="Hail"/>
      </sharedItems>
    </cacheField>
    <cacheField name="Rep" numFmtId="0">
      <sharedItems count="5">
        <s v="Yahia"/>
        <s v="Mjeed"/>
        <s v="Abdul"/>
        <s v="Maliha"/>
        <s v="Ghalia"/>
      </sharedItems>
    </cacheField>
    <cacheField name="Store" numFmtId="0">
      <sharedItems count="4">
        <s v="Othaim"/>
        <s v="Panda"/>
        <s v="Lulu"/>
        <s v="Carrefour"/>
      </sharedItems>
    </cacheField>
    <cacheField name="Prod" numFmtId="0">
      <sharedItems count="4">
        <s v="Toys"/>
        <s v="Home"/>
        <s v="Food"/>
        <s v="Office"/>
      </sharedItems>
    </cacheField>
    <cacheField name="Cost" numFmtId="4">
      <sharedItems containsSemiMixedTypes="0" containsString="0" containsNumber="1" minValue="7.41" maxValue="9318.9599999999991"/>
    </cacheField>
    <cacheField name="Sale" numFmtId="4">
      <sharedItems containsSemiMixedTypes="0" containsString="0" containsNumber="1" minValue="12.56" maxValue="9994.24" count="1996">
        <n v="498.22"/>
        <n v="4600.01"/>
        <n v="4958.62"/>
        <n v="4731.2700000000004"/>
        <n v="272.62"/>
        <n v="7346.45"/>
        <n v="7880.54"/>
        <n v="9511.66"/>
        <n v="8120.63"/>
        <n v="3000.14"/>
        <n v="2203.81"/>
        <n v="3531.95"/>
        <n v="3760.75"/>
        <n v="2972.02"/>
        <n v="5769.44"/>
        <n v="3206.03"/>
        <n v="9163.17"/>
        <n v="720.23"/>
        <n v="451.36"/>
        <n v="4544.78"/>
        <n v="5584.43"/>
        <n v="8206.48"/>
        <n v="4308.3999999999996"/>
        <n v="3704.55"/>
        <n v="3475.47"/>
        <n v="6755.43"/>
        <n v="6736.05"/>
        <n v="327.71"/>
        <n v="923.44"/>
        <n v="5318.64"/>
        <n v="4227.46"/>
        <n v="7447.23"/>
        <n v="9945.4699999999993"/>
        <n v="2516.7199999999998"/>
        <n v="8527.57"/>
        <n v="1167.51"/>
        <n v="121.58"/>
        <n v="6158.69"/>
        <n v="2375.37"/>
        <n v="8110.53"/>
        <n v="1726.33"/>
        <n v="5992.95"/>
        <n v="4767.62"/>
        <n v="5955.12"/>
        <n v="7262.12"/>
        <n v="2166.75"/>
        <n v="6654.46"/>
        <n v="6933.01"/>
        <n v="6511.09"/>
        <n v="6140.73"/>
        <n v="2739.98"/>
        <n v="8347.0300000000007"/>
        <n v="9838.69"/>
        <n v="5724.17"/>
        <n v="882.38"/>
        <n v="870.88"/>
        <n v="3090.3"/>
        <n v="3862.84"/>
        <n v="7886.83"/>
        <n v="8027"/>
        <n v="5552.45"/>
        <n v="3287.19"/>
        <n v="9295.33"/>
        <n v="9490.8799999999992"/>
        <n v="7742.27"/>
        <n v="3364.25"/>
        <n v="8807.2000000000007"/>
        <n v="2556.8000000000002"/>
        <n v="1056.94"/>
        <n v="4527.45"/>
        <n v="1191.25"/>
        <n v="4222.07"/>
        <n v="4590.99"/>
        <n v="3790.41"/>
        <n v="4234.4399999999996"/>
        <n v="8427.77"/>
        <n v="8586.32"/>
        <n v="2453.86"/>
        <n v="4888.8500000000004"/>
        <n v="9884.5499999999993"/>
        <n v="5963.54"/>
        <n v="6759.28"/>
        <n v="739.47"/>
        <n v="6278.68"/>
        <n v="5671.78"/>
        <n v="7070.22"/>
        <n v="1690.67"/>
        <n v="1818.55"/>
        <n v="609.20000000000005"/>
        <n v="9089.65"/>
        <n v="8840.0300000000007"/>
        <n v="7544.27"/>
        <n v="3128.32"/>
        <n v="3121.54"/>
        <n v="5870.88"/>
        <n v="8390.69"/>
        <n v="8351.49"/>
        <n v="6530.92"/>
        <n v="264.98"/>
        <n v="3780.49"/>
        <n v="8349.0499999999993"/>
        <n v="2958.19"/>
        <n v="3780.32"/>
        <n v="6628.07"/>
        <n v="8474.3799999999992"/>
        <n v="1408.78"/>
        <n v="9492.8700000000008"/>
        <n v="409.93"/>
        <n v="322.18"/>
        <n v="9746.92"/>
        <n v="9448.2800000000007"/>
        <n v="8093.82"/>
        <n v="4466.6899999999996"/>
        <n v="3326.25"/>
        <n v="8783.6"/>
        <n v="2582.6"/>
        <n v="3989.49"/>
        <n v="302.8"/>
        <n v="6087.24"/>
        <n v="8654.25"/>
        <n v="8253.6200000000008"/>
        <n v="2837.49"/>
        <n v="2828.94"/>
        <n v="5480.89"/>
        <n v="7390.39"/>
        <n v="3353.19"/>
        <n v="6842.44"/>
        <n v="6024.13"/>
        <n v="2869.83"/>
        <n v="6588.35"/>
        <n v="5290.34"/>
        <n v="4226.8599999999997"/>
        <n v="7984.28"/>
        <n v="9189.5499999999993"/>
        <n v="8091.12"/>
        <n v="5193.37"/>
        <n v="7229.61"/>
        <n v="2888.1"/>
        <n v="4764.3999999999996"/>
        <n v="1731.93"/>
        <n v="5218.59"/>
        <n v="6633.88"/>
        <n v="8409.39"/>
        <n v="6608.07"/>
        <n v="1240.3800000000001"/>
        <n v="1373.27"/>
        <n v="2057.98"/>
        <n v="6570.35"/>
        <n v="9974.92"/>
        <n v="4098.2299999999996"/>
        <n v="6643.82"/>
        <n v="1009.4"/>
        <n v="8276.43"/>
        <n v="254.34"/>
        <n v="4064.06"/>
        <n v="253.39"/>
        <n v="4616.8"/>
        <n v="8783.4"/>
        <n v="4863.04"/>
        <n v="4956.88"/>
        <n v="3792.11"/>
        <n v="2526.02"/>
        <n v="7061.45"/>
        <n v="3335.11"/>
        <n v="5634.09"/>
        <n v="7404.6"/>
        <n v="158.81"/>
        <n v="1937.32"/>
        <n v="1298.25"/>
        <n v="9205.25"/>
        <n v="4287.32"/>
        <n v="6950.57"/>
        <n v="7372.18"/>
        <n v="5002.38"/>
        <n v="7578.32"/>
        <n v="1856.4"/>
        <n v="7126.02"/>
        <n v="6045.01"/>
        <n v="8085.6"/>
        <n v="8953.2000000000007"/>
        <n v="6437.43"/>
        <n v="4998.5200000000004"/>
        <n v="1591.29"/>
        <n v="8449.61"/>
        <n v="8533.0499999999993"/>
        <n v="9428.7900000000009"/>
        <n v="9569.7099999999991"/>
        <n v="4589.1400000000003"/>
        <n v="3711.93"/>
        <n v="479.11"/>
        <n v="6122.51"/>
        <n v="8091.67"/>
        <n v="1826.57"/>
        <n v="5985.68"/>
        <n v="1393.96"/>
        <n v="7416.09"/>
        <n v="4003.61"/>
        <n v="7758.86"/>
        <n v="3285.29"/>
        <n v="7399.78"/>
        <n v="4218.37"/>
        <n v="3921.21"/>
        <n v="4337.9799999999996"/>
        <n v="7400.03"/>
        <n v="5081.1899999999996"/>
        <n v="4980.62"/>
        <n v="1783.01"/>
        <n v="3273.75"/>
        <n v="891.66"/>
        <n v="7201.51"/>
        <n v="171.94"/>
        <n v="7353.22"/>
        <n v="2004.95"/>
        <n v="3736.77"/>
        <n v="8715.59"/>
        <n v="6858.94"/>
        <n v="9991.44"/>
        <n v="1049.9000000000001"/>
        <n v="3177.18"/>
        <n v="5564.13"/>
        <n v="131.36000000000001"/>
        <n v="9445.16"/>
        <n v="9803.51"/>
        <n v="1360.28"/>
        <n v="3745.65"/>
        <n v="5104.26"/>
        <n v="629.27"/>
        <n v="5809.9"/>
        <n v="2115.67"/>
        <n v="1470.4"/>
        <n v="8408.41"/>
        <n v="1894.07"/>
        <n v="3889.72"/>
        <n v="6130.01"/>
        <n v="2552.46"/>
        <n v="1109.19"/>
        <n v="3389.97"/>
        <n v="9733.9500000000007"/>
        <n v="2327.5700000000002"/>
        <n v="5702.49"/>
        <n v="3989.02"/>
        <n v="8596.7999999999993"/>
        <n v="46.69"/>
        <n v="6452.97"/>
        <n v="2935.86"/>
        <n v="3438.11"/>
        <n v="8851.64"/>
        <n v="6200.59"/>
        <n v="151.47"/>
        <n v="5883.42"/>
        <n v="9233.24"/>
        <n v="1594.28"/>
        <n v="8663.1"/>
        <n v="2943.58"/>
        <n v="4635.38"/>
        <n v="3599.03"/>
        <n v="9510.2000000000007"/>
        <n v="8638.2000000000007"/>
        <n v="1551.5"/>
        <n v="4392.1400000000003"/>
        <n v="2779.7"/>
        <n v="2032.22"/>
        <n v="1243.58"/>
        <n v="5713.49"/>
        <n v="4071.38"/>
        <n v="5559.84"/>
        <n v="494.84"/>
        <n v="9604.89"/>
        <n v="8972.2000000000007"/>
        <n v="1978.89"/>
        <n v="2477.3200000000002"/>
        <n v="7260.66"/>
        <n v="9946.32"/>
        <n v="1487.13"/>
        <n v="313.52"/>
        <n v="2043.57"/>
        <n v="2930.13"/>
        <n v="6002.34"/>
        <n v="6720.15"/>
        <n v="8162.64"/>
        <n v="1381.71"/>
        <n v="266.01"/>
        <n v="7436.22"/>
        <n v="1412.42"/>
        <n v="5023.18"/>
        <n v="5000.12"/>
        <n v="2473.9299999999998"/>
        <n v="5974.42"/>
        <n v="1938.7"/>
        <n v="1320.96"/>
        <n v="2721.26"/>
        <n v="3194.72"/>
        <n v="391.48"/>
        <n v="9966.7999999999993"/>
        <n v="4406.8100000000004"/>
        <n v="5183.51"/>
        <n v="7563.48"/>
        <n v="2227.87"/>
        <n v="8864.91"/>
        <n v="2815.39"/>
        <n v="1201.8499999999999"/>
        <n v="8886.2999999999993"/>
        <n v="4267.4799999999996"/>
        <n v="1601.77"/>
        <n v="9272.06"/>
        <n v="1130.6300000000001"/>
        <n v="3538.26"/>
        <n v="9303.35"/>
        <n v="6273.66"/>
        <n v="4858.51"/>
        <n v="2698.24"/>
        <n v="9399.42"/>
        <n v="3463.71"/>
        <n v="1560.99"/>
        <n v="9386.34"/>
        <n v="5317.37"/>
        <n v="1237.18"/>
        <n v="5710.77"/>
        <n v="8905.1200000000008"/>
        <n v="6974.83"/>
        <n v="6736.75"/>
        <n v="5727.08"/>
        <n v="8730.9699999999993"/>
        <n v="1162.6600000000001"/>
        <n v="3894.81"/>
        <n v="2071.8000000000002"/>
        <n v="8700"/>
        <n v="939.16"/>
        <n v="5528.41"/>
        <n v="4038.74"/>
        <n v="4104.4399999999996"/>
        <n v="7573.93"/>
        <n v="9598.25"/>
        <n v="3857.91"/>
        <n v="8023.92"/>
        <n v="7526.83"/>
        <n v="4745.68"/>
        <n v="3382.93"/>
        <n v="7546.58"/>
        <n v="2553.1"/>
        <n v="854.43"/>
        <n v="3505.29"/>
        <n v="8018.63"/>
        <n v="2502.0700000000002"/>
        <n v="2976.06"/>
        <n v="6991.91"/>
        <n v="7144.29"/>
        <n v="4757.04"/>
        <n v="9112.31"/>
        <n v="2421.63"/>
        <n v="390.61"/>
        <n v="6323.13"/>
        <n v="5953.8"/>
        <n v="892.6"/>
        <n v="1192.3900000000001"/>
        <n v="7028.34"/>
        <n v="9987.66"/>
        <n v="2636.08"/>
        <n v="515.21"/>
        <n v="9495.77"/>
        <n v="9531.7999999999993"/>
        <n v="1049.73"/>
        <n v="5610.38"/>
        <n v="3462.65"/>
        <n v="2205.34"/>
        <n v="9341.2099999999991"/>
        <n v="7930.74"/>
        <n v="1085.8699999999999"/>
        <n v="8395.16"/>
        <n v="8307.98"/>
        <n v="9353.18"/>
        <n v="4502.2700000000004"/>
        <n v="1677.55"/>
        <n v="4445.1400000000003"/>
        <n v="257.92"/>
        <n v="6708.78"/>
        <n v="8860.1200000000008"/>
        <n v="3387.39"/>
        <n v="8912.74"/>
        <n v="2982.89"/>
        <n v="7234.79"/>
        <n v="7641.08"/>
        <n v="3331.98"/>
        <n v="7706"/>
        <n v="6638.17"/>
        <n v="7987.04"/>
        <n v="5378.82"/>
        <n v="4518.8599999999997"/>
        <n v="1180.71"/>
        <n v="144.15"/>
        <n v="3411.07"/>
        <n v="8805.7999999999993"/>
        <n v="3463.45"/>
        <n v="4813.41"/>
        <n v="6260.94"/>
        <n v="4801.1400000000003"/>
        <n v="3719.62"/>
        <n v="8292.86"/>
        <n v="883.18"/>
        <n v="5615.46"/>
        <n v="2528.2600000000002"/>
        <n v="7436.64"/>
        <n v="1476.26"/>
        <n v="9578.7800000000007"/>
        <n v="273.33999999999997"/>
        <n v="7023.24"/>
        <n v="7086.76"/>
        <n v="9419.67"/>
        <n v="4319.3900000000003"/>
        <n v="4112.83"/>
        <n v="4481.6499999999996"/>
        <n v="9849.06"/>
        <n v="558.77"/>
        <n v="1569.45"/>
        <n v="7427.24"/>
        <n v="30.88"/>
        <n v="5002.26"/>
        <n v="9437.74"/>
        <n v="2589.5700000000002"/>
        <n v="3706.7"/>
        <n v="9812.99"/>
        <n v="4732.82"/>
        <n v="3721.83"/>
        <n v="1813.88"/>
        <n v="1098.6500000000001"/>
        <n v="7920.86"/>
        <n v="8701.7800000000007"/>
        <n v="9337.15"/>
        <n v="5177.16"/>
        <n v="5769.35"/>
        <n v="9431.67"/>
        <n v="5911.1"/>
        <n v="401.78"/>
        <n v="12.56"/>
        <n v="8539.0300000000007"/>
        <n v="4436.18"/>
        <n v="3005.08"/>
        <n v="1406.53"/>
        <n v="8921.14"/>
        <n v="4714.83"/>
        <n v="4093.54"/>
        <n v="3634.92"/>
        <n v="378.23"/>
        <n v="6975.47"/>
        <n v="2022.09"/>
        <n v="8208.26"/>
        <n v="991.81"/>
        <n v="4052.52"/>
        <n v="2530.62"/>
        <n v="9311.16"/>
        <n v="8251.67"/>
        <n v="8667.42"/>
        <n v="3074.11"/>
        <n v="9438.4500000000007"/>
        <n v="4993.1400000000003"/>
        <n v="5959.42"/>
        <n v="6491.17"/>
        <n v="5938.66"/>
        <n v="8081.79"/>
        <n v="6476.72"/>
        <n v="9633.2099999999991"/>
        <n v="4978.83"/>
        <n v="2613.0300000000002"/>
        <n v="8010.65"/>
        <n v="8681.31"/>
        <n v="5336.9"/>
        <n v="9653.16"/>
        <n v="2080.04"/>
        <n v="5596.1"/>
        <n v="6064.43"/>
        <n v="3149.34"/>
        <n v="4189.12"/>
        <n v="7990.9"/>
        <n v="1698.6"/>
        <n v="9816.25"/>
        <n v="1719.62"/>
        <n v="7958.57"/>
        <n v="6325.56"/>
        <n v="836.07"/>
        <n v="5778.78"/>
        <n v="5027.71"/>
        <n v="232.61"/>
        <n v="238.33"/>
        <n v="1310.7"/>
        <n v="8701.89"/>
        <n v="6530.53"/>
        <n v="2582.35"/>
        <n v="5378.32"/>
        <n v="5055.33"/>
        <n v="7421.14"/>
        <n v="9965.99"/>
        <n v="4936.84"/>
        <n v="906.06"/>
        <n v="1886.81"/>
        <n v="7846.55"/>
        <n v="1310.86"/>
        <n v="3165.34"/>
        <n v="509.88"/>
        <n v="4321.7299999999996"/>
        <n v="599.72"/>
        <n v="572.29"/>
        <n v="7505.02"/>
        <n v="2962.9"/>
        <n v="4615.71"/>
        <n v="4997.54"/>
        <n v="3049.92"/>
        <n v="9404.99"/>
        <n v="9340.6"/>
        <n v="496.33"/>
        <n v="1779.61"/>
        <n v="8384.8700000000008"/>
        <n v="7419.89"/>
        <n v="2020.12"/>
        <n v="271.58"/>
        <n v="5700.78"/>
        <n v="9260.81"/>
        <n v="9968.5499999999993"/>
        <n v="7357.93"/>
        <n v="4551.9799999999996"/>
        <n v="5500.45"/>
        <n v="134.13"/>
        <n v="6700.57"/>
        <n v="2886.59"/>
        <n v="2548.37"/>
        <n v="7795.22"/>
        <n v="77.33"/>
        <n v="7034.66"/>
        <n v="3773.8"/>
        <n v="4787.22"/>
        <n v="4120.76"/>
        <n v="7137.18"/>
        <n v="2077.48"/>
        <n v="7182.73"/>
        <n v="6838.84"/>
        <n v="8310.26"/>
        <n v="3636.64"/>
        <n v="3902.86"/>
        <n v="8073.67"/>
        <n v="2544.73"/>
        <n v="9196.3700000000008"/>
        <n v="3727.72"/>
        <n v="2438.19"/>
        <n v="9777.9"/>
        <n v="6983.79"/>
        <n v="208.48"/>
        <n v="6638.73"/>
        <n v="7326.77"/>
        <n v="9476.76"/>
        <n v="9266.11"/>
        <n v="2006.65"/>
        <n v="2867.6"/>
        <n v="4092.78"/>
        <n v="1378.37"/>
        <n v="4268.96"/>
        <n v="3295.3"/>
        <n v="4402.18"/>
        <n v="884.03"/>
        <n v="7765.76"/>
        <n v="2186.4699999999998"/>
        <n v="2498.04"/>
        <n v="7053.4"/>
        <n v="2024.27"/>
        <n v="9389.23"/>
        <n v="1889.85"/>
        <n v="898.38"/>
        <n v="2382.1999999999998"/>
        <n v="2920.91"/>
        <n v="8314.49"/>
        <n v="5794.08"/>
        <n v="2323.9"/>
        <n v="8711.61"/>
        <n v="3046.38"/>
        <n v="4841.71"/>
        <n v="572.52"/>
        <n v="2231.3000000000002"/>
        <n v="7012.39"/>
        <n v="7123.64"/>
        <n v="5382.81"/>
        <n v="6486.16"/>
        <n v="9769.44"/>
        <n v="4893.57"/>
        <n v="3648.73"/>
        <n v="6901.41"/>
        <n v="4797.5"/>
        <n v="7570.96"/>
        <n v="5582.6"/>
        <n v="1932.43"/>
        <n v="2628.73"/>
        <n v="7453.98"/>
        <n v="4201.2"/>
        <n v="1551.03"/>
        <n v="7302.67"/>
        <n v="2820.77"/>
        <n v="6397.07"/>
        <n v="2004.62"/>
        <n v="6216.84"/>
        <n v="8051.84"/>
        <n v="5433.48"/>
        <n v="4976.42"/>
        <n v="3560.96"/>
        <n v="8122.65"/>
        <n v="4682.43"/>
        <n v="305.10000000000002"/>
        <n v="7700.97"/>
        <n v="6093.24"/>
        <n v="6835.37"/>
        <n v="3830.15"/>
        <n v="9155.34"/>
        <n v="1135.3699999999999"/>
        <n v="8514.27"/>
        <n v="7064.5"/>
        <n v="8519.51"/>
        <n v="3177.26"/>
        <n v="5225.03"/>
        <n v="9452.66"/>
        <n v="8361.86"/>
        <n v="1772.17"/>
        <n v="1480.11"/>
        <n v="4211.87"/>
        <n v="511.55"/>
        <n v="6237.27"/>
        <n v="5923.09"/>
        <n v="126.25"/>
        <n v="3463.14"/>
        <n v="5414.79"/>
        <n v="9846.5300000000007"/>
        <n v="6334.82"/>
        <n v="22.15"/>
        <n v="8344.14"/>
        <n v="8744.0499999999993"/>
        <n v="4424.1499999999996"/>
        <n v="1740.56"/>
        <n v="8005.05"/>
        <n v="3096.45"/>
        <n v="9762.69"/>
        <n v="9632.64"/>
        <n v="7886.99"/>
        <n v="6609.23"/>
        <n v="9975.75"/>
        <n v="7115.29"/>
        <n v="7415.96"/>
        <n v="3257.5"/>
        <n v="7407.61"/>
        <n v="4056.69"/>
        <n v="1322.24"/>
        <n v="4840.24"/>
        <n v="9556.1200000000008"/>
        <n v="7277.59"/>
        <n v="9884.56"/>
        <n v="5903.53"/>
        <n v="5713.57"/>
        <n v="2964.7"/>
        <n v="6215.52"/>
        <n v="3447.26"/>
        <n v="9226.02"/>
        <n v="9321.51"/>
        <n v="3393.96"/>
        <n v="3739.3"/>
        <n v="6979.25"/>
        <n v="1050.23"/>
        <n v="7544.01"/>
        <n v="9556.9"/>
        <n v="4316.2299999999996"/>
        <n v="7599.45"/>
        <n v="8700.3799999999992"/>
        <n v="8722.58"/>
        <n v="8823.2999999999993"/>
        <n v="2531.84"/>
        <n v="2904.57"/>
        <n v="9902.84"/>
        <n v="2236.23"/>
        <n v="9743.15"/>
        <n v="4095.25"/>
        <n v="3007.06"/>
        <n v="2029.94"/>
        <n v="9336.9699999999993"/>
        <n v="322.07"/>
        <n v="3971.04"/>
        <n v="9923.93"/>
        <n v="6922.09"/>
        <n v="5094.25"/>
        <n v="6586.05"/>
        <n v="3255.35"/>
        <n v="83.1"/>
        <n v="1238.2"/>
        <n v="5789.67"/>
        <n v="1902.13"/>
        <n v="6269.11"/>
        <n v="2615.2800000000002"/>
        <n v="5851.5"/>
        <n v="1372.74"/>
        <n v="6821.94"/>
        <n v="9325.91"/>
        <n v="941.39"/>
        <n v="306.69"/>
        <n v="5168.0600000000004"/>
        <n v="4391.63"/>
        <n v="6091.14"/>
        <n v="9828.59"/>
        <n v="9950"/>
        <n v="2267.52"/>
        <n v="4150.49"/>
        <n v="2654.19"/>
        <n v="1945.54"/>
        <n v="8215.49"/>
        <n v="9060.58"/>
        <n v="1190.23"/>
        <n v="2745.26"/>
        <n v="2660.19"/>
        <n v="5107.96"/>
        <n v="8008.74"/>
        <n v="5271.62"/>
        <n v="8016.79"/>
        <n v="5493.83"/>
        <n v="9988.56"/>
        <n v="5868.26"/>
        <n v="3868.41"/>
        <n v="4452.75"/>
        <n v="6610.03"/>
        <n v="749.63"/>
        <n v="3119.48"/>
        <n v="5947.57"/>
        <n v="5439.63"/>
        <n v="8618.86"/>
        <n v="7379.96"/>
        <n v="8201.0499999999993"/>
        <n v="4661.26"/>
        <n v="6784.93"/>
        <n v="4357.05"/>
        <n v="6140.83"/>
        <n v="7245.04"/>
        <n v="7189.41"/>
        <n v="5091.21"/>
        <n v="7731.08"/>
        <n v="1013.18"/>
        <n v="8281.32"/>
        <n v="3649"/>
        <n v="4797.26"/>
        <n v="4152.7700000000004"/>
        <n v="4487.79"/>
        <n v="8592.34"/>
        <n v="5480.91"/>
        <n v="1908.37"/>
        <n v="2907.56"/>
        <n v="6919.18"/>
        <n v="9955.32"/>
        <n v="2795.22"/>
        <n v="2488.5300000000002"/>
        <n v="2845.59"/>
        <n v="3079.77"/>
        <n v="4573.99"/>
        <n v="4696.46"/>
        <n v="763.51"/>
        <n v="1467.85"/>
        <n v="2962.18"/>
        <n v="3420.52"/>
        <n v="2535.2600000000002"/>
        <n v="4823.72"/>
        <n v="7675.65"/>
        <n v="7827.02"/>
        <n v="7405.73"/>
        <n v="2239.44"/>
        <n v="62.47"/>
        <n v="5002.25"/>
        <n v="7879.37"/>
        <n v="5193.8999999999996"/>
        <n v="415.43"/>
        <n v="4356.66"/>
        <n v="1670.57"/>
        <n v="3465.37"/>
        <n v="8215.7000000000007"/>
        <n v="8573.14"/>
        <n v="9273.73"/>
        <n v="3985.06"/>
        <n v="6982.69"/>
        <n v="579.91999999999996"/>
        <n v="9034.25"/>
        <n v="2813.69"/>
        <n v="4441.92"/>
        <n v="6002.2"/>
        <n v="2533.94"/>
        <n v="4667.8500000000004"/>
        <n v="271.06"/>
        <n v="523.52"/>
        <n v="7844.77"/>
        <n v="9889.02"/>
        <n v="6974.7"/>
        <n v="368.92"/>
        <n v="1312.72"/>
        <n v="8984.56"/>
        <n v="7025.49"/>
        <n v="8897.66"/>
        <n v="3691.67"/>
        <n v="3130.12"/>
        <n v="7887.87"/>
        <n v="1094.83"/>
        <n v="8700.4"/>
        <n v="8678.15"/>
        <n v="980.69"/>
        <n v="7617.85"/>
        <n v="8039.98"/>
        <n v="8521.74"/>
        <n v="4759.93"/>
        <n v="6558.62"/>
        <n v="336.12"/>
        <n v="6233.97"/>
        <n v="9742.19"/>
        <n v="5368.97"/>
        <n v="1865.47"/>
        <n v="9347.0300000000007"/>
        <n v="4875.24"/>
        <n v="7952"/>
        <n v="4449.55"/>
        <n v="3514.43"/>
        <n v="7226.23"/>
        <n v="9929.82"/>
        <n v="1092.32"/>
        <n v="6754.04"/>
        <n v="6829.66"/>
        <n v="4623.8599999999997"/>
        <n v="4142.4799999999996"/>
        <n v="3757.25"/>
        <n v="2508.6799999999998"/>
        <n v="3251.18"/>
        <n v="906.14"/>
        <n v="3895.65"/>
        <n v="7901.22"/>
        <n v="9945.18"/>
        <n v="1407.19"/>
        <n v="4972.2700000000004"/>
        <n v="8450.52"/>
        <n v="2165.0300000000002"/>
        <n v="9309.6200000000008"/>
        <n v="6556.7"/>
        <n v="3954.5"/>
        <n v="8561.17"/>
        <n v="7484.87"/>
        <n v="9828.64"/>
        <n v="6895.44"/>
        <n v="6601.4"/>
        <n v="5312.05"/>
        <n v="3465.23"/>
        <n v="8071.46"/>
        <n v="3058.46"/>
        <n v="284.87"/>
        <n v="9883.93"/>
        <n v="1249.47"/>
        <n v="5883.8"/>
        <n v="5300.36"/>
        <n v="4582.5200000000004"/>
        <n v="4752.46"/>
        <n v="539.07000000000005"/>
        <n v="9376.4500000000007"/>
        <n v="9860.69"/>
        <n v="9528.73"/>
        <n v="456.88"/>
        <n v="433.82"/>
        <n v="8411.81"/>
        <n v="1977.89"/>
        <n v="8492.35"/>
        <n v="6780.41"/>
        <n v="1574.66"/>
        <n v="5918.08"/>
        <n v="8058.32"/>
        <n v="4554.53"/>
        <n v="1204.76"/>
        <n v="3771.92"/>
        <n v="7688.14"/>
        <n v="4174.17"/>
        <n v="5865.01"/>
        <n v="4944.72"/>
        <n v="6162.12"/>
        <n v="7138.73"/>
        <n v="6599.83"/>
        <n v="1222.1199999999999"/>
        <n v="6155.11"/>
        <n v="3732.18"/>
        <n v="3243.54"/>
        <n v="4811.47"/>
        <n v="3560.65"/>
        <n v="3181.07"/>
        <n v="6157.8"/>
        <n v="3301.69"/>
        <n v="1851.54"/>
        <n v="7472.14"/>
        <n v="9221.5499999999993"/>
        <n v="3113.97"/>
        <n v="2079.15"/>
        <n v="4313.04"/>
        <n v="8684.92"/>
        <n v="9568.39"/>
        <n v="9809.32"/>
        <n v="7898.07"/>
        <n v="1206.3800000000001"/>
        <n v="9567.65"/>
        <n v="1047.67"/>
        <n v="1423.15"/>
        <n v="1815.17"/>
        <n v="2660.78"/>
        <n v="6592.35"/>
        <n v="2053.87"/>
        <n v="4738.07"/>
        <n v="2381.46"/>
        <n v="8682.19"/>
        <n v="5228.09"/>
        <n v="4880.3500000000004"/>
        <n v="5483.83"/>
        <n v="6531.44"/>
        <n v="6727.63"/>
        <n v="4548.07"/>
        <n v="9722.6"/>
        <n v="2553.42"/>
        <n v="1524.64"/>
        <n v="1209.05"/>
        <n v="1024.6600000000001"/>
        <n v="6905.51"/>
        <n v="8549.8799999999992"/>
        <n v="3468.28"/>
        <n v="4335.1499999999996"/>
        <n v="8780.8799999999992"/>
        <n v="7583.35"/>
        <n v="7019.2"/>
        <n v="8836.83"/>
        <n v="5977.48"/>
        <n v="2525.29"/>
        <n v="874.6"/>
        <n v="3011.28"/>
        <n v="8474.6200000000008"/>
        <n v="7306.43"/>
        <n v="9327.66"/>
        <n v="8525.25"/>
        <n v="7205.78"/>
        <n v="6806.23"/>
        <n v="9581.7199999999993"/>
        <n v="1691.82"/>
        <n v="4898.6000000000004"/>
        <n v="8416.65"/>
        <n v="8966.11"/>
        <n v="6134.47"/>
        <n v="5346.96"/>
        <n v="5521.76"/>
        <n v="1294.96"/>
        <n v="4092.13"/>
        <n v="7431.1"/>
        <n v="4120.92"/>
        <n v="6994.77"/>
        <n v="5398.23"/>
        <n v="4847.3900000000003"/>
        <n v="6713.84"/>
        <n v="2972.58"/>
        <n v="9530.4599999999991"/>
        <n v="5928.62"/>
        <n v="6269.38"/>
        <n v="4670.0200000000004"/>
        <n v="1487.26"/>
        <n v="8280.5400000000009"/>
        <n v="673.5"/>
        <n v="6163.58"/>
        <n v="5522.16"/>
        <n v="4921.8599999999997"/>
        <n v="9874.69"/>
        <n v="8061.8"/>
        <n v="9526.5300000000007"/>
        <n v="4824.2"/>
        <n v="2742.16"/>
        <n v="1864.86"/>
        <n v="3983.64"/>
        <n v="4540.25"/>
        <n v="1750.77"/>
        <n v="5290.36"/>
        <n v="4792.3999999999996"/>
        <n v="8275.06"/>
        <n v="6642.97"/>
        <n v="5896.23"/>
        <n v="6740.86"/>
        <n v="942.42"/>
        <n v="7850.58"/>
        <n v="6842.23"/>
        <n v="3422.99"/>
        <n v="3980.45"/>
        <n v="8312.5499999999993"/>
        <n v="1700.07"/>
        <n v="2555.75"/>
        <n v="5048.38"/>
        <n v="6663.18"/>
        <n v="2719.53"/>
        <n v="9556.11"/>
        <n v="7117.92"/>
        <n v="2048.7199999999998"/>
        <n v="1895.29"/>
        <n v="9235.66"/>
        <n v="3082.21"/>
        <n v="8432.3700000000008"/>
        <n v="8482.9699999999993"/>
        <n v="8747.93"/>
        <n v="3504.17"/>
        <n v="9782.8799999999992"/>
        <n v="8062.83"/>
        <n v="8490"/>
        <n v="2193.1799999999998"/>
        <n v="4634.43"/>
        <n v="1101.77"/>
        <n v="4044.42"/>
        <n v="1015.81"/>
        <n v="8679.2000000000007"/>
        <n v="539.27"/>
        <n v="9611.2800000000007"/>
        <n v="2507.09"/>
        <n v="6234.51"/>
        <n v="5759.06"/>
        <n v="5793.57"/>
        <n v="1447.32"/>
        <n v="95.25"/>
        <n v="3195.61"/>
        <n v="1634.63"/>
        <n v="5669.16"/>
        <n v="8909.33"/>
        <n v="3246.44"/>
        <n v="662.97"/>
        <n v="3148.3"/>
        <n v="9427.35"/>
        <n v="2928.08"/>
        <n v="7552.33"/>
        <n v="6822.9"/>
        <n v="5096.4799999999996"/>
        <n v="6108.12"/>
        <n v="6789.4"/>
        <n v="533.27"/>
        <n v="9403.69"/>
        <n v="1085.23"/>
        <n v="6306.08"/>
        <n v="7681.86"/>
        <n v="326.88"/>
        <n v="5053.54"/>
        <n v="5146.1000000000004"/>
        <n v="1613.79"/>
        <n v="5099.74"/>
        <n v="8917.98"/>
        <n v="561.46"/>
        <n v="7974.17"/>
        <n v="2368.8000000000002"/>
        <n v="31.16"/>
        <n v="7798.55"/>
        <n v="805.23"/>
        <n v="2645.45"/>
        <n v="128.18"/>
        <n v="209.73"/>
        <n v="7089.82"/>
        <n v="6467.74"/>
        <n v="6111.62"/>
        <n v="471.45"/>
        <n v="7526.85"/>
        <n v="226.29"/>
        <n v="7785.56"/>
        <n v="9888.43"/>
        <n v="1355.08"/>
        <n v="2293.5500000000002"/>
        <n v="7825.39"/>
        <n v="9138.0400000000009"/>
        <n v="2057.69"/>
        <n v="1810.04"/>
        <n v="6554.62"/>
        <n v="455.02"/>
        <n v="3989.97"/>
        <n v="2416.19"/>
        <n v="7295.22"/>
        <n v="3239.79"/>
        <n v="5375.59"/>
        <n v="9808.64"/>
        <n v="5066.96"/>
        <n v="6473.64"/>
        <n v="7382.7"/>
        <n v="8807.36"/>
        <n v="7395.22"/>
        <n v="1748.83"/>
        <n v="1808.75"/>
        <n v="7503.22"/>
        <n v="3453.6"/>
        <n v="3152.25"/>
        <n v="6227.12"/>
        <n v="4489.03"/>
        <n v="8123.38"/>
        <n v="8874.89"/>
        <n v="7294.05"/>
        <n v="2688.4"/>
        <n v="9523.35"/>
        <n v="5252.67"/>
        <n v="9808.18"/>
        <n v="8944.0400000000009"/>
        <n v="4637.55"/>
        <n v="1701.54"/>
        <n v="1356.9"/>
        <n v="6631.12"/>
        <n v="7354.31"/>
        <n v="4984.3100000000004"/>
        <n v="2537.5300000000002"/>
        <n v="9124.3700000000008"/>
        <n v="4303.28"/>
        <n v="8450.74"/>
        <n v="8945.82"/>
        <n v="2110.04"/>
        <n v="7067.48"/>
        <n v="340.27"/>
        <n v="2216.73"/>
        <n v="7959.98"/>
        <n v="5101.8900000000003"/>
        <n v="895.01"/>
        <n v="6599.38"/>
        <n v="9565.4500000000007"/>
        <n v="6433.23"/>
        <n v="6485.84"/>
        <n v="7821.1"/>
        <n v="1630.16"/>
        <n v="7846.99"/>
        <n v="2244.96"/>
        <n v="8701.64"/>
        <n v="1147.3"/>
        <n v="1072.69"/>
        <n v="8340.66"/>
        <n v="1589.6"/>
        <n v="326"/>
        <n v="1381.37"/>
        <n v="2521.3200000000002"/>
        <n v="9556.48"/>
        <n v="990.02"/>
        <n v="9521.65"/>
        <n v="6688.86"/>
        <n v="1819.28"/>
        <n v="7988.18"/>
        <n v="7377.74"/>
        <n v="568.42999999999995"/>
        <n v="4564.54"/>
        <n v="8296.1299999999992"/>
        <n v="5328.27"/>
        <n v="4989.74"/>
        <n v="9071.92"/>
        <n v="3519.92"/>
        <n v="8506.1200000000008"/>
        <n v="8770.34"/>
        <n v="6503.61"/>
        <n v="1214.26"/>
        <n v="3894.74"/>
        <n v="2864.86"/>
        <n v="5698.14"/>
        <n v="9184.3700000000008"/>
        <n v="8288.67"/>
        <n v="2399.7199999999998"/>
        <n v="5330.75"/>
        <n v="1971.29"/>
        <n v="3830.29"/>
        <n v="6541.82"/>
        <n v="3125.2"/>
        <n v="6445.05"/>
        <n v="5478.09"/>
        <n v="7149.65"/>
        <n v="6238.45"/>
        <n v="9916.51"/>
        <n v="1353.75"/>
        <n v="297.95999999999998"/>
        <n v="3145.38"/>
        <n v="3252.54"/>
        <n v="6586.53"/>
        <n v="5964.33"/>
        <n v="9281.35"/>
        <n v="399.7"/>
        <n v="7060.13"/>
        <n v="3305.15"/>
        <n v="2552.2800000000002"/>
        <n v="3986.59"/>
        <n v="5678.32"/>
        <n v="3577.68"/>
        <n v="5018.8900000000003"/>
        <n v="7768.15"/>
        <n v="394.45"/>
        <n v="9392.4500000000007"/>
        <n v="6314.75"/>
        <n v="1393.67"/>
        <n v="1082.51"/>
        <n v="8721.11"/>
        <n v="3506.11"/>
        <n v="762.71"/>
        <n v="5927.74"/>
        <n v="1337.08"/>
        <n v="3265.32"/>
        <n v="7741.13"/>
        <n v="2876.02"/>
        <n v="3018.69"/>
        <n v="3106.18"/>
        <n v="4414.72"/>
        <n v="3407.8"/>
        <n v="6779.28"/>
        <n v="3346.34"/>
        <n v="2195.1799999999998"/>
        <n v="1721.95"/>
        <n v="6129.08"/>
        <n v="2259.2600000000002"/>
        <n v="5326.05"/>
        <n v="6330.31"/>
        <n v="2781.78"/>
        <n v="5281.29"/>
        <n v="5507"/>
        <n v="2972.47"/>
        <n v="8558.84"/>
        <n v="6899.39"/>
        <n v="3580.31"/>
        <n v="2618.96"/>
        <n v="7772.1"/>
        <n v="1559.56"/>
        <n v="9040.4"/>
        <n v="8014.94"/>
        <n v="3994.85"/>
        <n v="656.9"/>
        <n v="9565.67"/>
        <n v="6237.8"/>
        <n v="307.55"/>
        <n v="405.44"/>
        <n v="6154.43"/>
        <n v="5655.78"/>
        <n v="7683.8"/>
        <n v="9170.17"/>
        <n v="7436.38"/>
        <n v="4621.93"/>
        <n v="3921.64"/>
        <n v="3372.28"/>
        <n v="1417.86"/>
        <n v="1508.83"/>
        <n v="1722.83"/>
        <n v="7639.86"/>
        <n v="932.43"/>
        <n v="3405.05"/>
        <n v="3519.29"/>
        <n v="4120.13"/>
        <n v="1899.96"/>
        <n v="8642.5"/>
        <n v="8369.66"/>
        <n v="896.67"/>
        <n v="5404.93"/>
        <n v="6349.36"/>
        <n v="6663.08"/>
        <n v="6647.63"/>
        <n v="8308.82"/>
        <n v="8910.9599999999991"/>
        <n v="4523.34"/>
        <n v="9170.64"/>
        <n v="774.96"/>
        <n v="1503.14"/>
        <n v="738.63"/>
        <n v="8808.4599999999991"/>
        <n v="6167.39"/>
        <n v="6865.11"/>
        <n v="3755.04"/>
        <n v="4820.3900000000003"/>
        <n v="6480.38"/>
        <n v="3577.87"/>
        <n v="6429.93"/>
        <n v="1905.26"/>
        <n v="2615.31"/>
        <n v="5168.1099999999997"/>
        <n v="1268.05"/>
        <n v="1049.42"/>
        <n v="6299.34"/>
        <n v="3105.17"/>
        <n v="2980.28"/>
        <n v="7282.82"/>
        <n v="8240.76"/>
        <n v="7285.31"/>
        <n v="4815.0600000000004"/>
        <n v="4369.26"/>
        <n v="9958.09"/>
        <n v="5389.96"/>
        <n v="8083.09"/>
        <n v="2909.9"/>
        <n v="950.86"/>
        <n v="2159.4899999999998"/>
        <n v="6173.63"/>
        <n v="6230.42"/>
        <n v="6111.65"/>
        <n v="1958.99"/>
        <n v="5850.92"/>
        <n v="6058.53"/>
        <n v="1149.56"/>
        <n v="2863.01"/>
        <n v="1394.5"/>
        <n v="1674.6"/>
        <n v="9613.58"/>
        <n v="7167.84"/>
        <n v="5339.9"/>
        <n v="7230.22"/>
        <n v="6805.07"/>
        <n v="2242.5700000000002"/>
        <n v="354.22"/>
        <n v="3073.4"/>
        <n v="7491.54"/>
        <n v="3146.92"/>
        <n v="8863.9699999999993"/>
        <n v="1929.43"/>
        <n v="1292.25"/>
        <n v="6962.5"/>
        <n v="9261.43"/>
        <n v="7439.26"/>
        <n v="6793.88"/>
        <n v="5544.26"/>
        <n v="555.82000000000005"/>
        <n v="203.03"/>
        <n v="7328.6"/>
        <n v="9965.74"/>
        <n v="8534.85"/>
        <n v="1520.32"/>
        <n v="2301.6799999999998"/>
        <n v="4681.97"/>
        <n v="3281.29"/>
        <n v="5418.71"/>
        <n v="5222.5200000000004"/>
        <n v="2969.45"/>
        <n v="9150.64"/>
        <n v="8788.0300000000007"/>
        <n v="7234.71"/>
        <n v="8626.1299999999992"/>
        <n v="9423.11"/>
        <n v="2491.91"/>
        <n v="8967.77"/>
        <n v="9057.41"/>
        <n v="6880.89"/>
        <n v="2248.8200000000002"/>
        <n v="1857.98"/>
        <n v="4342.0600000000004"/>
        <n v="2168.5100000000002"/>
        <n v="5433.9"/>
        <n v="3791.96"/>
        <n v="5480.71"/>
        <n v="8499.76"/>
        <n v="7863.35"/>
        <n v="8295.57"/>
        <n v="525.61"/>
        <n v="4191.46"/>
        <n v="1293.29"/>
        <n v="4761.51"/>
        <n v="1151.27"/>
        <n v="7317.84"/>
        <n v="8308.68"/>
        <n v="4265.6400000000003"/>
        <n v="4241.7"/>
        <n v="8756.9599999999991"/>
        <n v="7555.18"/>
        <n v="8680.0499999999993"/>
        <n v="4190.46"/>
        <n v="9990.0400000000009"/>
        <n v="5262.3"/>
        <n v="2301.89"/>
        <n v="2185.96"/>
        <n v="4957.6099999999997"/>
        <n v="2158.33"/>
        <n v="8786.7000000000007"/>
        <n v="4578.7"/>
        <n v="7884.24"/>
        <n v="9664.5499999999993"/>
        <n v="6739.99"/>
        <n v="1429"/>
        <n v="2648.62"/>
        <n v="7369.37"/>
        <n v="4823.5600000000004"/>
        <n v="8767.48"/>
        <n v="604.74"/>
        <n v="1745.87"/>
        <n v="3729.02"/>
        <n v="9754.86"/>
        <n v="6537.87"/>
        <n v="6124.18"/>
        <n v="9631.18"/>
        <n v="6024.74"/>
        <n v="8776.92"/>
        <n v="3949.28"/>
        <n v="2867.75"/>
        <n v="2144.02"/>
        <n v="3354.96"/>
        <n v="681.27"/>
        <n v="690.12"/>
        <n v="7783.32"/>
        <n v="8941.64"/>
        <n v="737.84"/>
        <n v="8632.6299999999992"/>
        <n v="7086.77"/>
        <n v="9576.36"/>
        <n v="8106.96"/>
        <n v="5987.93"/>
        <n v="8687.1200000000008"/>
        <n v="9032.2999999999993"/>
        <n v="7189.82"/>
        <n v="638.41999999999996"/>
        <n v="2446.4899999999998"/>
        <n v="493.88"/>
        <n v="9955.3700000000008"/>
        <n v="4392.71"/>
        <n v="1727.85"/>
        <n v="4448.5600000000004"/>
        <n v="3547.87"/>
        <n v="7709.04"/>
        <n v="2674.87"/>
        <n v="508.01"/>
        <n v="3754.82"/>
        <n v="9769.73"/>
        <n v="4363.7700000000004"/>
        <n v="4797.75"/>
        <n v="7005.21"/>
        <n v="2759.63"/>
        <n v="3089.41"/>
        <n v="5127.72"/>
        <n v="1681.98"/>
        <n v="7504.05"/>
        <n v="5985.76"/>
        <n v="1600.08"/>
        <n v="8150.36"/>
        <n v="2395.12"/>
        <n v="7377.97"/>
        <n v="1469.13"/>
        <n v="8468.34"/>
        <n v="1643.02"/>
        <n v="3286.56"/>
        <n v="7564.74"/>
        <n v="2540.0300000000002"/>
        <n v="3245.61"/>
        <n v="2558.44"/>
        <n v="836.65"/>
        <n v="1418.05"/>
        <n v="4939.54"/>
        <n v="6311.88"/>
        <n v="1296.23"/>
        <n v="6082.92"/>
        <n v="4852.0200000000004"/>
        <n v="3586.82"/>
        <n v="3972.53"/>
        <n v="7987.33"/>
        <n v="7476.42"/>
        <n v="4148.9399999999996"/>
        <n v="5185.76"/>
        <n v="1695.67"/>
        <n v="3103.34"/>
        <n v="2658.5"/>
        <n v="8900.09"/>
        <n v="8291.32"/>
        <n v="8930.6200000000008"/>
        <n v="6931.54"/>
        <n v="300.69"/>
        <n v="1112.22"/>
        <n v="2143.9"/>
        <n v="6431.9"/>
        <n v="9420.93"/>
        <n v="1739.09"/>
        <n v="7981.68"/>
        <n v="5511.41"/>
        <n v="9735.25"/>
        <n v="6273.43"/>
        <n v="8421.2800000000007"/>
        <n v="1011.87"/>
        <n v="4766.2"/>
        <n v="4284.88"/>
        <n v="3466.97"/>
        <n v="8934.7999999999993"/>
        <n v="15.15"/>
        <n v="5666.41"/>
        <n v="7702.84"/>
        <n v="7529.39"/>
        <n v="9960.33"/>
        <n v="4522.92"/>
        <n v="3100.52"/>
        <n v="366.74"/>
        <n v="8224.01"/>
        <n v="8136.93"/>
        <n v="8408.6299999999992"/>
        <n v="7327.87"/>
        <n v="1966.03"/>
        <n v="9179.0499999999993"/>
        <n v="9754.1299999999992"/>
        <n v="6600.73"/>
        <n v="8807.33"/>
        <n v="274.07"/>
        <n v="5382.42"/>
        <n v="8976.0400000000009"/>
        <n v="135.69999999999999"/>
        <n v="4852.8999999999996"/>
        <n v="6154.56"/>
        <n v="5834.62"/>
        <n v="1691.57"/>
        <n v="4317.3900000000003"/>
        <n v="5544.23"/>
        <n v="1773.42"/>
        <n v="8165.67"/>
        <n v="4162.28"/>
        <n v="4990"/>
        <n v="2281.21"/>
        <n v="4682.72"/>
        <n v="1924.43"/>
        <n v="3683.42"/>
        <n v="2253.5700000000002"/>
        <n v="5118.76"/>
        <n v="1088.69"/>
        <n v="860.1"/>
        <n v="9539.2800000000007"/>
        <n v="1229.75"/>
        <n v="781.12"/>
        <n v="663.52"/>
        <n v="9363.9500000000007"/>
        <n v="5763.45"/>
        <n v="3434.94"/>
        <n v="4919.93"/>
        <n v="2695.66"/>
        <n v="3884.74"/>
        <n v="1266.8900000000001"/>
        <n v="9343.18"/>
        <n v="7962.38"/>
        <n v="303.77"/>
        <n v="1757.26"/>
        <n v="8504.5300000000007"/>
        <n v="2266.0100000000002"/>
        <n v="781.75"/>
        <n v="9550.81"/>
        <n v="9797.83"/>
        <n v="3980.67"/>
        <n v="9340.83"/>
        <n v="4974.55"/>
        <n v="2273"/>
        <n v="8228.6200000000008"/>
        <n v="4332.8599999999997"/>
        <n v="9516.74"/>
        <n v="3401.21"/>
        <n v="9437.86"/>
        <n v="5993.16"/>
        <n v="2452.94"/>
        <n v="5877.92"/>
        <n v="6229.28"/>
        <n v="4129.8500000000004"/>
        <n v="4769.8900000000003"/>
        <n v="7946.18"/>
        <n v="5386.2"/>
        <n v="4979.5200000000004"/>
        <n v="7261.08"/>
        <n v="9985.94"/>
        <n v="1774.07"/>
        <n v="6958.42"/>
        <n v="7466.65"/>
        <n v="6033.77"/>
        <n v="4402.6499999999996"/>
        <n v="2672.3"/>
        <n v="2252.8200000000002"/>
        <n v="4478.05"/>
        <n v="8803.48"/>
        <n v="7453.7"/>
        <n v="1280.8900000000001"/>
        <n v="923.29"/>
        <n v="8189.66"/>
        <n v="663.74"/>
        <n v="592.80999999999995"/>
        <n v="4147.3"/>
        <n v="611.04"/>
        <n v="3232.59"/>
        <n v="2825.85"/>
        <n v="882.06"/>
        <n v="3535.25"/>
        <n v="3007.69"/>
        <n v="1882.57"/>
        <n v="941.93"/>
        <n v="9250.57"/>
        <n v="2469.2399999999998"/>
        <n v="4235.6400000000003"/>
        <n v="1012.56"/>
        <n v="9023.93"/>
        <n v="6868.87"/>
        <n v="4919.29"/>
        <n v="2442.61"/>
        <n v="8228.66"/>
        <n v="3236.11"/>
        <n v="4329.54"/>
        <n v="7765.47"/>
        <n v="2651.35"/>
        <n v="3335.92"/>
        <n v="7254.79"/>
        <n v="3985.57"/>
        <n v="3281.8"/>
        <n v="6606.36"/>
        <n v="7776.55"/>
        <n v="2048.56"/>
        <n v="6393.82"/>
        <n v="2581.85"/>
        <n v="74.599999999999994"/>
        <n v="3202.25"/>
        <n v="1180.9100000000001"/>
        <n v="7394.32"/>
        <n v="9139.17"/>
        <n v="7278.27"/>
        <n v="733.28"/>
        <n v="6166.57"/>
        <n v="6130.41"/>
        <n v="4728.26"/>
        <n v="9176.4"/>
        <n v="7479.66"/>
        <n v="658.66"/>
        <n v="5430.3"/>
        <n v="6123.43"/>
        <n v="9785.0300000000007"/>
        <n v="4859.32"/>
        <n v="3604.06"/>
        <n v="3636.4"/>
        <n v="8462.16"/>
        <n v="5634.31"/>
        <n v="6670.04"/>
        <n v="7332.65"/>
        <n v="6319.77"/>
        <n v="6917.6"/>
        <n v="275.58999999999997"/>
        <n v="8063.74"/>
        <n v="6857.21"/>
        <n v="5148.67"/>
        <n v="4514.12"/>
        <n v="2640.28"/>
        <n v="9200.48"/>
        <n v="4801.51"/>
        <n v="2812.78"/>
        <n v="7364"/>
        <n v="5370.33"/>
        <n v="8820.52"/>
        <n v="2721.25"/>
        <n v="2634.81"/>
        <n v="3857.47"/>
        <n v="4533.2299999999996"/>
        <n v="9550.7000000000007"/>
        <n v="7916.19"/>
        <n v="6542.46"/>
        <n v="1870.66"/>
        <n v="2469.21"/>
        <n v="1526.92"/>
        <n v="7942.57"/>
        <n v="2985.09"/>
        <n v="1837.71"/>
        <n v="4334.01"/>
        <n v="2023.84"/>
        <n v="9788.5"/>
        <n v="452.16"/>
        <n v="1761.76"/>
        <n v="1443.21"/>
        <n v="9994.24"/>
        <n v="7215.44"/>
        <n v="4452.68"/>
        <n v="5505.1"/>
        <n v="6451.72"/>
        <n v="4841.03"/>
        <n v="8283.99"/>
        <n v="4541.79"/>
        <n v="7500.29"/>
        <n v="3622.53"/>
        <n v="3712.93"/>
        <n v="976.59"/>
        <n v="4010.61"/>
        <n v="3685.18"/>
        <n v="5353.67"/>
        <n v="1406.44"/>
        <n v="8109.06"/>
        <n v="7866.83"/>
        <n v="9247.4599999999991"/>
        <n v="4274.96"/>
        <n v="2579.81"/>
        <n v="4755.3"/>
        <n v="8822.16"/>
        <n v="738.14"/>
        <n v="7248.24"/>
        <n v="9308.65"/>
        <n v="6347.97"/>
        <n v="4384.57"/>
        <n v="3891.86"/>
        <n v="3990.33"/>
        <n v="5507.11"/>
        <n v="8452.35"/>
        <n v="5654.5"/>
        <n v="8986.2999999999993"/>
        <n v="2640.18"/>
        <n v="5837.66"/>
        <n v="1355.86"/>
        <n v="6249.68"/>
        <n v="8417.7900000000009"/>
        <n v="8589.7199999999993"/>
        <n v="6237.56"/>
        <n v="7243.65"/>
        <n v="3641.69"/>
        <n v="7473.64"/>
        <n v="6005.37"/>
        <n v="1856.27"/>
        <n v="4038.42"/>
        <n v="4872.07"/>
        <n v="5716.65"/>
        <n v="6000.4"/>
        <n v="8434.3700000000008"/>
        <n v="8553.5300000000007"/>
        <n v="3352.44"/>
        <n v="2618.62"/>
        <n v="200.37"/>
        <n v="4664.5600000000004"/>
        <n v="585.62"/>
        <n v="3466.76"/>
        <n v="8542.09"/>
        <n v="9849.76"/>
        <n v="5809.29"/>
        <n v="2525.94"/>
        <n v="8082.59"/>
        <n v="6800.55"/>
        <n v="7493.55"/>
        <n v="4774.25"/>
        <n v="7709.09"/>
        <n v="6319.87"/>
        <n v="1899.47"/>
        <n v="3071.76"/>
        <n v="4368.67"/>
        <n v="8612.7800000000007"/>
        <n v="4603.54"/>
        <n v="9868.64"/>
        <n v="8695.77"/>
        <n v="2844.46"/>
        <n v="2127.7399999999998"/>
        <n v="2752.03"/>
        <n v="291.02999999999997"/>
        <n v="7784.2"/>
        <n v="3406.2"/>
        <n v="2375.38"/>
        <n v="2308.4499999999998"/>
        <n v="5587.37"/>
        <n v="807.4"/>
        <n v="7793.32"/>
        <n v="597.20000000000005"/>
        <n v="3490.33"/>
        <n v="2449.85"/>
        <n v="973.95"/>
        <n v="2789.98"/>
        <n v="5227.5"/>
        <n v="7690.35"/>
        <n v="5014.6499999999996"/>
        <n v="5865.79"/>
        <n v="6862.93"/>
        <n v="5161.46"/>
        <n v="3195.21"/>
        <n v="4949.16"/>
        <n v="2430.21"/>
        <n v="7475.76"/>
        <n v="1437.85"/>
        <n v="8641.18"/>
        <n v="1167.78"/>
        <n v="8605.83"/>
        <n v="6603.66"/>
        <n v="2325.4899999999998"/>
        <n v="6528.67"/>
        <n v="5422.79"/>
        <n v="3991.72"/>
        <n v="1873.2"/>
        <n v="5391.88"/>
        <n v="2089.16"/>
        <n v="8804.56"/>
        <n v="9445"/>
        <n v="9094.08"/>
        <n v="3840.65"/>
        <n v="6686.17"/>
        <n v="5183.18"/>
        <n v="2593.56"/>
        <n v="5108.3100000000004"/>
        <n v="9790.48"/>
        <n v="4652.87"/>
        <n v="8610.02"/>
        <n v="4768.3100000000004"/>
        <n v="4942.16"/>
        <n v="6856.33"/>
        <n v="7599.08"/>
        <n v="8217.2199999999993"/>
        <n v="3676.8"/>
        <n v="2400.37"/>
        <n v="1588.07"/>
        <n v="7049.96"/>
        <n v="3027.28"/>
        <n v="360.87"/>
        <n v="607.36"/>
        <n v="1185.8900000000001"/>
        <n v="7502.2"/>
        <n v="916.64"/>
        <n v="9193.84"/>
        <n v="9919.81"/>
        <n v="2811.09"/>
        <n v="5704.65"/>
        <n v="4732.21"/>
        <n v="9044.5300000000007"/>
        <n v="5308.21"/>
        <n v="3812.02"/>
        <n v="2324.9299999999998"/>
        <n v="8402.93"/>
        <n v="81.83"/>
        <n v="8277.75"/>
        <n v="3205.22"/>
        <n v="3703.52"/>
        <n v="7825.46"/>
        <n v="5205.54"/>
        <n v="1557.77"/>
        <n v="7693.57"/>
        <n v="4614.5"/>
        <n v="6759"/>
        <n v="1990.19"/>
        <n v="8695.52"/>
        <n v="2775.69"/>
        <n v="4453.2"/>
        <n v="5203.3599999999997"/>
        <n v="3853.86"/>
        <n v="7375.94"/>
        <n v="2611.06"/>
        <n v="2459.65"/>
        <n v="6553.92"/>
        <n v="6574.96"/>
        <n v="7639.51"/>
        <n v="443.46"/>
        <n v="3356.15"/>
        <n v="5912.65"/>
        <n v="8639.07"/>
        <n v="8741.77"/>
        <n v="6700.99"/>
        <n v="619.41999999999996"/>
        <n v="1026.04"/>
        <n v="5183.91"/>
        <n v="881.01"/>
        <n v="2755.9"/>
        <n v="4847.2"/>
        <n v="48.37"/>
        <n v="6543.14"/>
        <n v="7710.23"/>
        <n v="3050.31"/>
        <n v="183.51"/>
        <n v="7815.29"/>
        <n v="4507.9399999999996"/>
        <n v="9911.7900000000009"/>
        <n v="7905.09"/>
        <n v="5694.65"/>
        <n v="7345.26"/>
        <n v="8361.59"/>
        <n v="9941.7900000000009"/>
        <n v="3121.78"/>
        <n v="1528.69"/>
        <n v="4048.89"/>
        <n v="2121.5"/>
        <n v="4854.34"/>
        <n v="8237.94"/>
        <n v="3377.53"/>
        <n v="6652.88"/>
        <n v="7272.17"/>
        <n v="7595.54"/>
        <n v="1763.23"/>
        <n v="8741.2999999999993"/>
        <n v="872.89"/>
        <n v="8358.1"/>
        <n v="1939.68"/>
        <n v="584.38"/>
        <n v="2883.97"/>
        <n v="9867.57"/>
        <n v="7665.23"/>
        <n v="2658.1"/>
        <n v="6935.64"/>
        <n v="3228.26"/>
        <n v="9928.99"/>
        <n v="1762.24"/>
        <n v="9195.14"/>
        <n v="3177.73"/>
        <n v="1787.81"/>
        <n v="9788.51"/>
        <n v="6195.41"/>
        <n v="9042.5499999999993"/>
        <n v="1188.1300000000001"/>
        <n v="9834.8700000000008"/>
        <n v="9416.31"/>
        <n v="4800.24"/>
        <n v="536.80999999999995"/>
        <n v="5953.25"/>
        <n v="9099.02"/>
        <n v="1333.97"/>
        <n v="5932"/>
        <n v="9227.8700000000008"/>
        <n v="2226.9699999999998"/>
        <n v="9078.8700000000008"/>
        <n v="3626.74"/>
        <n v="2737.33"/>
        <n v="679.56"/>
        <n v="2652.81"/>
        <n v="4898.8100000000004"/>
        <n v="3648.18"/>
        <n v="3964.26"/>
        <n v="4809.09"/>
        <n v="8290.4500000000007"/>
        <n v="1377.05"/>
        <n v="7048.09"/>
        <n v="1115.73"/>
        <n v="8389.0400000000009"/>
        <n v="8143.73"/>
        <n v="7985.24"/>
        <n v="6828.92"/>
        <n v="3584.8"/>
        <n v="6389.03"/>
        <n v="8135.32"/>
        <n v="4987.04"/>
        <n v="358.63"/>
        <n v="7541.04"/>
        <n v="8209.33"/>
        <n v="5059.71"/>
        <n v="5672.87"/>
        <n v="2198.33"/>
        <n v="2534.7399999999998"/>
        <n v="1282.93"/>
        <n v="3907.13"/>
        <n v="2027.79"/>
        <n v="9078.5300000000007"/>
        <n v="7343.57"/>
        <n v="5809.66"/>
        <n v="4690.24"/>
        <n v="252.61"/>
        <n v="322.20999999999998"/>
        <n v="8354.92"/>
        <n v="5540.8"/>
        <n v="9526.51"/>
        <n v="4696.1099999999997"/>
        <n v="1817.57"/>
        <n v="6252.96"/>
        <n v="4293.88"/>
        <n v="2304.36"/>
        <n v="7026.41"/>
        <n v="4651.82"/>
        <n v="5483.24"/>
        <n v="6786.04"/>
        <n v="4301.08"/>
        <n v="459.47"/>
        <n v="8116.47"/>
        <n v="768.59"/>
        <n v="4577.8"/>
        <n v="3214.02"/>
        <n v="75.430000000000007"/>
        <n v="7750.03"/>
        <n v="4591.87"/>
        <n v="5588.55"/>
        <n v="2013.09"/>
        <n v="3488.44"/>
        <n v="8500.61"/>
        <n v="7298.86"/>
        <n v="2857.24"/>
        <n v="9560.02"/>
        <n v="798.9"/>
        <n v="4370.9399999999996"/>
        <n v="903.34"/>
        <n v="4091.86"/>
        <n v="8926.2999999999993"/>
        <n v="3185.13"/>
        <n v="2775.05"/>
        <n v="7047.75"/>
        <n v="7888.7"/>
        <n v="5884.09"/>
        <n v="3792.31"/>
        <n v="6951.27"/>
        <n v="234.18"/>
        <n v="1662.94"/>
        <n v="151.30000000000001"/>
        <n v="2705.12"/>
        <n v="6513.67"/>
        <n v="1086.8399999999999"/>
        <n v="5592.4"/>
        <n v="7604.29"/>
        <n v="193.88"/>
        <n v="2839.96"/>
        <n v="7181.08"/>
        <n v="5859.41"/>
        <n v="7390.4"/>
        <n v="1700.86"/>
        <n v="326.22000000000003"/>
        <n v="9300.25"/>
        <n v="8896.92"/>
        <n v="6509.94"/>
        <n v="2944.27"/>
        <n v="3711.76"/>
        <n v="5725.61"/>
        <n v="9875.32"/>
        <n v="3567.91"/>
        <n v="8442.19"/>
        <n v="7882.77"/>
        <n v="3503.96"/>
        <n v="8087.91"/>
        <n v="142.63"/>
        <n v="6291.89"/>
        <n v="6121.49"/>
        <n v="4374.3599999999997"/>
        <n v="772.15"/>
        <n v="9691.3799999999992"/>
        <n v="2333.9"/>
        <n v="7545.64"/>
        <n v="3121.84"/>
        <n v="6335.95"/>
        <n v="1595.43"/>
        <n v="7439.15"/>
        <n v="6204.91"/>
        <n v="8026.35"/>
        <n v="4457"/>
        <n v="3296.22"/>
      </sharedItems>
    </cacheField>
    <cacheField name="Profit" numFmtId="4">
      <sharedItems containsSemiMixedTypes="0" containsString="0" containsNumber="1" minValue="-2657.14" maxValue="6292.79"/>
    </cacheField>
    <cacheField name="Margin %" numFmtId="10">
      <sharedItems containsSemiMixedTypes="0" containsString="0" containsNumber="1" minValue="-9.7467000000000006" maxValue="0.63"/>
    </cacheField>
    <cacheField name="Year" numFmtId="0">
      <sharedItems containsSemiMixedTypes="0" containsString="0" containsNumber="1" containsInteger="1" minValue="2004" maxValue="2006" count="3">
        <n v="2005"/>
        <n v="2006"/>
        <n v="2004"/>
      </sharedItems>
    </cacheField>
    <cacheField name="Month" numFmtId="0">
      <sharedItems containsSemiMixedTypes="0" containsString="0" containsNumber="1" containsInteger="1" minValue="1" maxValue="12"/>
    </cacheField>
    <cacheField name="Month Name" numFmtId="0">
      <sharedItems count="12">
        <s v="Oct"/>
        <s v="Feb"/>
        <s v="Jan"/>
        <s v="Mar"/>
        <s v="Dec"/>
        <s v="Jun"/>
        <s v="Sep"/>
        <s v="May"/>
        <s v="Apr"/>
        <s v="Jul"/>
        <s v="Aug"/>
        <s v="Nov"/>
      </sharedItems>
    </cacheField>
  </cacheFields>
  <extLst>
    <ext xmlns:x14="http://schemas.microsoft.com/office/spreadsheetml/2009/9/main" uri="{725AE2AE-9491-48be-B2B4-4EB974FC3084}">
      <x14:pivotCacheDefinition pivotCacheId="5754166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98">
  <r>
    <d v="2005-10-09T00:00:00"/>
    <x v="0"/>
    <x v="0"/>
    <x v="0"/>
    <x v="0"/>
    <n v="373.66"/>
    <x v="0"/>
    <n v="124.56"/>
    <n v="0.25"/>
    <x v="0"/>
    <n v="10"/>
    <x v="0"/>
  </r>
  <r>
    <d v="2005-10-28T00:00:00"/>
    <x v="1"/>
    <x v="0"/>
    <x v="1"/>
    <x v="0"/>
    <n v="2714.01"/>
    <x v="1"/>
    <n v="1886"/>
    <n v="0.41"/>
    <x v="0"/>
    <n v="10"/>
    <x v="0"/>
  </r>
  <r>
    <d v="2006-02-18T00:00:00"/>
    <x v="2"/>
    <x v="1"/>
    <x v="2"/>
    <x v="1"/>
    <n v="3718.96"/>
    <x v="2"/>
    <n v="1239.6600000000001"/>
    <n v="0.25"/>
    <x v="1"/>
    <n v="2"/>
    <x v="1"/>
  </r>
  <r>
    <d v="2006-01-01T00:00:00"/>
    <x v="0"/>
    <x v="0"/>
    <x v="1"/>
    <x v="1"/>
    <n v="2791.45"/>
    <x v="3"/>
    <n v="1939.82"/>
    <n v="0.41"/>
    <x v="1"/>
    <n v="1"/>
    <x v="2"/>
  </r>
  <r>
    <d v="2005-01-29T00:00:00"/>
    <x v="3"/>
    <x v="1"/>
    <x v="1"/>
    <x v="1"/>
    <n v="2929.76"/>
    <x v="4"/>
    <n v="-2657.14"/>
    <n v="-9.7467000000000006"/>
    <x v="0"/>
    <n v="1"/>
    <x v="2"/>
  </r>
  <r>
    <d v="2005-01-12T00:00:00"/>
    <x v="4"/>
    <x v="2"/>
    <x v="0"/>
    <x v="2"/>
    <n v="3276.93"/>
    <x v="5"/>
    <n v="4069.52"/>
    <n v="0.55389999999999995"/>
    <x v="0"/>
    <n v="1"/>
    <x v="2"/>
  </r>
  <r>
    <d v="2006-01-19T00:00:00"/>
    <x v="4"/>
    <x v="0"/>
    <x v="2"/>
    <x v="3"/>
    <n v="4896.58"/>
    <x v="6"/>
    <n v="2983.96"/>
    <n v="0.37859999999999999"/>
    <x v="1"/>
    <n v="1"/>
    <x v="2"/>
  </r>
  <r>
    <d v="2004-10-12T00:00:00"/>
    <x v="5"/>
    <x v="0"/>
    <x v="0"/>
    <x v="0"/>
    <n v="7133.74"/>
    <x v="7"/>
    <n v="2377.92"/>
    <n v="0.25"/>
    <x v="2"/>
    <n v="10"/>
    <x v="0"/>
  </r>
  <r>
    <d v="2005-03-15T00:00:00"/>
    <x v="4"/>
    <x v="3"/>
    <x v="3"/>
    <x v="2"/>
    <n v="3491.87"/>
    <x v="8"/>
    <n v="4628.76"/>
    <n v="0.56999999999999995"/>
    <x v="0"/>
    <n v="3"/>
    <x v="3"/>
  </r>
  <r>
    <d v="2006-02-17T00:00:00"/>
    <x v="3"/>
    <x v="0"/>
    <x v="2"/>
    <x v="3"/>
    <n v="1350.06"/>
    <x v="9"/>
    <n v="1650.08"/>
    <n v="0.55000000000000004"/>
    <x v="1"/>
    <n v="2"/>
    <x v="1"/>
  </r>
  <r>
    <d v="2005-12-14T00:00:00"/>
    <x v="0"/>
    <x v="0"/>
    <x v="3"/>
    <x v="2"/>
    <n v="947.64"/>
    <x v="10"/>
    <n v="1256.17"/>
    <n v="0.56999999999999995"/>
    <x v="0"/>
    <n v="12"/>
    <x v="4"/>
  </r>
  <r>
    <d v="2004-10-15T00:00:00"/>
    <x v="3"/>
    <x v="4"/>
    <x v="1"/>
    <x v="1"/>
    <n v="2648.96"/>
    <x v="11"/>
    <n v="882.99"/>
    <n v="0.25"/>
    <x v="2"/>
    <n v="10"/>
    <x v="0"/>
  </r>
  <r>
    <d v="2005-12-26T00:00:00"/>
    <x v="3"/>
    <x v="3"/>
    <x v="3"/>
    <x v="1"/>
    <n v="3309.46"/>
    <x v="12"/>
    <n v="451.29"/>
    <n v="0.12"/>
    <x v="0"/>
    <n v="12"/>
    <x v="4"/>
  </r>
  <r>
    <d v="2006-03-01T00:00:00"/>
    <x v="3"/>
    <x v="3"/>
    <x v="3"/>
    <x v="0"/>
    <n v="1277.97"/>
    <x v="13"/>
    <n v="1694.05"/>
    <n v="0.56999999999999995"/>
    <x v="1"/>
    <n v="3"/>
    <x v="3"/>
  </r>
  <r>
    <d v="2005-12-09T00:00:00"/>
    <x v="4"/>
    <x v="0"/>
    <x v="2"/>
    <x v="3"/>
    <n v="3923.22"/>
    <x v="14"/>
    <n v="1846.22"/>
    <n v="0.32"/>
    <x v="0"/>
    <n v="12"/>
    <x v="4"/>
  </r>
  <r>
    <d v="2004-12-15T00:00:00"/>
    <x v="2"/>
    <x v="3"/>
    <x v="2"/>
    <x v="3"/>
    <n v="1378.59"/>
    <x v="15"/>
    <n v="1827.44"/>
    <n v="0.56999999999999995"/>
    <x v="2"/>
    <n v="12"/>
    <x v="4"/>
  </r>
  <r>
    <d v="2006-06-15T00:00:00"/>
    <x v="5"/>
    <x v="2"/>
    <x v="3"/>
    <x v="3"/>
    <n v="5406.27"/>
    <x v="16"/>
    <n v="3756.9"/>
    <n v="0.41"/>
    <x v="1"/>
    <n v="6"/>
    <x v="5"/>
  </r>
  <r>
    <d v="2005-10-11T00:00:00"/>
    <x v="2"/>
    <x v="3"/>
    <x v="1"/>
    <x v="2"/>
    <n v="396.13"/>
    <x v="17"/>
    <n v="324.10000000000002"/>
    <n v="0.45"/>
    <x v="0"/>
    <n v="10"/>
    <x v="0"/>
  </r>
  <r>
    <d v="2005-09-16T00:00:00"/>
    <x v="2"/>
    <x v="4"/>
    <x v="2"/>
    <x v="2"/>
    <n v="266.3"/>
    <x v="18"/>
    <n v="185.06"/>
    <n v="0.41"/>
    <x v="0"/>
    <n v="9"/>
    <x v="6"/>
  </r>
  <r>
    <d v="2005-09-03T00:00:00"/>
    <x v="0"/>
    <x v="4"/>
    <x v="3"/>
    <x v="3"/>
    <n v="2499.63"/>
    <x v="19"/>
    <n v="2045.15"/>
    <n v="0.45"/>
    <x v="0"/>
    <n v="9"/>
    <x v="6"/>
  </r>
  <r>
    <d v="2004-12-26T00:00:00"/>
    <x v="0"/>
    <x v="2"/>
    <x v="3"/>
    <x v="1"/>
    <n v="4914.3"/>
    <x v="20"/>
    <n v="670.13"/>
    <n v="0.12"/>
    <x v="2"/>
    <n v="12"/>
    <x v="4"/>
  </r>
  <r>
    <d v="2005-12-28T00:00:00"/>
    <x v="4"/>
    <x v="3"/>
    <x v="3"/>
    <x v="0"/>
    <n v="7221.7"/>
    <x v="21"/>
    <n v="984.78"/>
    <n v="0.12"/>
    <x v="0"/>
    <n v="12"/>
    <x v="4"/>
  </r>
  <r>
    <d v="2005-05-20T00:00:00"/>
    <x v="5"/>
    <x v="2"/>
    <x v="2"/>
    <x v="2"/>
    <n v="2929.71"/>
    <x v="22"/>
    <n v="1378.69"/>
    <n v="0.32"/>
    <x v="0"/>
    <n v="5"/>
    <x v="7"/>
  </r>
  <r>
    <d v="2006-03-15T00:00:00"/>
    <x v="3"/>
    <x v="4"/>
    <x v="2"/>
    <x v="2"/>
    <n v="3260"/>
    <x v="23"/>
    <n v="444.55"/>
    <n v="0.12"/>
    <x v="1"/>
    <n v="3"/>
    <x v="3"/>
  </r>
  <r>
    <d v="2006-01-11T00:00:00"/>
    <x v="3"/>
    <x v="3"/>
    <x v="1"/>
    <x v="1"/>
    <n v="3249.56"/>
    <x v="24"/>
    <n v="225.91"/>
    <n v="6.5000000000000002E-2"/>
    <x v="1"/>
    <n v="1"/>
    <x v="2"/>
  </r>
  <r>
    <d v="2005-04-05T00:00:00"/>
    <x v="1"/>
    <x v="0"/>
    <x v="1"/>
    <x v="0"/>
    <n v="4593.6899999999996"/>
    <x v="25"/>
    <n v="2161.7399999999998"/>
    <n v="0.32"/>
    <x v="0"/>
    <n v="4"/>
    <x v="8"/>
  </r>
  <r>
    <d v="2004-06-26T00:00:00"/>
    <x v="1"/>
    <x v="1"/>
    <x v="0"/>
    <x v="3"/>
    <n v="5927.72"/>
    <x v="26"/>
    <n v="808.33"/>
    <n v="0.12"/>
    <x v="2"/>
    <n v="6"/>
    <x v="5"/>
  </r>
  <r>
    <d v="2005-07-17T00:00:00"/>
    <x v="1"/>
    <x v="4"/>
    <x v="2"/>
    <x v="0"/>
    <n v="245.78"/>
    <x v="27"/>
    <n v="81.93"/>
    <n v="0.25"/>
    <x v="0"/>
    <n v="7"/>
    <x v="9"/>
  </r>
  <r>
    <d v="2005-09-30T00:00:00"/>
    <x v="5"/>
    <x v="4"/>
    <x v="3"/>
    <x v="1"/>
    <n v="627.94000000000005"/>
    <x v="28"/>
    <n v="295.5"/>
    <n v="0.32"/>
    <x v="0"/>
    <n v="9"/>
    <x v="6"/>
  </r>
  <r>
    <d v="2005-09-24T00:00:00"/>
    <x v="3"/>
    <x v="4"/>
    <x v="3"/>
    <x v="0"/>
    <n v="2393.39"/>
    <x v="29"/>
    <n v="2925.25"/>
    <n v="0.55000000000000004"/>
    <x v="0"/>
    <n v="9"/>
    <x v="6"/>
  </r>
  <r>
    <d v="2005-08-18T00:00:00"/>
    <x v="0"/>
    <x v="3"/>
    <x v="2"/>
    <x v="3"/>
    <n v="3170.6"/>
    <x v="30"/>
    <n v="1056.8599999999999"/>
    <n v="0.25"/>
    <x v="0"/>
    <n v="8"/>
    <x v="10"/>
  </r>
  <r>
    <d v="2005-07-19T00:00:00"/>
    <x v="0"/>
    <x v="2"/>
    <x v="2"/>
    <x v="3"/>
    <n v="5064.12"/>
    <x v="31"/>
    <n v="2383.11"/>
    <n v="0.32"/>
    <x v="0"/>
    <n v="7"/>
    <x v="9"/>
  </r>
  <r>
    <d v="2004-11-01T00:00:00"/>
    <x v="1"/>
    <x v="1"/>
    <x v="2"/>
    <x v="3"/>
    <n v="3679.82"/>
    <x v="32"/>
    <n v="6265.65"/>
    <n v="0.63"/>
    <x v="2"/>
    <n v="11"/>
    <x v="11"/>
  </r>
  <r>
    <d v="2005-08-16T00:00:00"/>
    <x v="2"/>
    <x v="4"/>
    <x v="2"/>
    <x v="3"/>
    <n v="1384.2"/>
    <x v="33"/>
    <n v="1132.52"/>
    <n v="0.45"/>
    <x v="0"/>
    <n v="8"/>
    <x v="10"/>
  </r>
  <r>
    <d v="2004-11-12T00:00:00"/>
    <x v="1"/>
    <x v="3"/>
    <x v="0"/>
    <x v="1"/>
    <n v="6395.68"/>
    <x v="34"/>
    <n v="2131.89"/>
    <n v="0.25"/>
    <x v="2"/>
    <n v="11"/>
    <x v="11"/>
  </r>
  <r>
    <d v="2006-02-22T00:00:00"/>
    <x v="2"/>
    <x v="2"/>
    <x v="3"/>
    <x v="1"/>
    <n v="793.91"/>
    <x v="35"/>
    <n v="373.6"/>
    <n v="0.32"/>
    <x v="1"/>
    <n v="2"/>
    <x v="1"/>
  </r>
  <r>
    <d v="2005-10-22T00:00:00"/>
    <x v="3"/>
    <x v="2"/>
    <x v="1"/>
    <x v="1"/>
    <n v="113.68"/>
    <x v="36"/>
    <n v="7.9"/>
    <n v="6.5000000000000002E-2"/>
    <x v="0"/>
    <n v="10"/>
    <x v="0"/>
  </r>
  <r>
    <d v="2005-09-10T00:00:00"/>
    <x v="4"/>
    <x v="3"/>
    <x v="1"/>
    <x v="2"/>
    <n v="5758.38"/>
    <x v="37"/>
    <n v="400.31"/>
    <n v="6.5000000000000002E-2"/>
    <x v="0"/>
    <n v="9"/>
    <x v="6"/>
  </r>
  <r>
    <d v="2005-02-14T00:00:00"/>
    <x v="1"/>
    <x v="4"/>
    <x v="0"/>
    <x v="0"/>
    <n v="1401.47"/>
    <x v="38"/>
    <n v="973.9"/>
    <n v="0.41"/>
    <x v="0"/>
    <n v="2"/>
    <x v="1"/>
  </r>
  <r>
    <d v="2005-02-24T00:00:00"/>
    <x v="1"/>
    <x v="4"/>
    <x v="2"/>
    <x v="0"/>
    <n v="4460.79"/>
    <x v="39"/>
    <n v="3649.74"/>
    <n v="0.45"/>
    <x v="0"/>
    <n v="2"/>
    <x v="1"/>
  </r>
  <r>
    <d v="2006-05-22T00:00:00"/>
    <x v="0"/>
    <x v="4"/>
    <x v="2"/>
    <x v="3"/>
    <n v="776.85"/>
    <x v="40"/>
    <n v="949.48"/>
    <n v="0.55000000000000004"/>
    <x v="1"/>
    <n v="5"/>
    <x v="7"/>
  </r>
  <r>
    <d v="2005-11-22T00:00:00"/>
    <x v="2"/>
    <x v="3"/>
    <x v="3"/>
    <x v="2"/>
    <n v="5273.8"/>
    <x v="41"/>
    <n v="719.15"/>
    <n v="0.12"/>
    <x v="0"/>
    <n v="11"/>
    <x v="11"/>
  </r>
  <r>
    <d v="2005-02-04T00:00:00"/>
    <x v="3"/>
    <x v="0"/>
    <x v="3"/>
    <x v="2"/>
    <n v="4457.72"/>
    <x v="42"/>
    <n v="309.89999999999998"/>
    <n v="6.5000000000000002E-2"/>
    <x v="0"/>
    <n v="2"/>
    <x v="1"/>
  </r>
  <r>
    <d v="2005-04-12T00:00:00"/>
    <x v="3"/>
    <x v="0"/>
    <x v="1"/>
    <x v="0"/>
    <n v="3453.97"/>
    <x v="43"/>
    <n v="2501.15"/>
    <n v="0.42"/>
    <x v="0"/>
    <n v="4"/>
    <x v="8"/>
  </r>
  <r>
    <d v="2004-08-17T00:00:00"/>
    <x v="4"/>
    <x v="2"/>
    <x v="0"/>
    <x v="1"/>
    <n v="6390.67"/>
    <x v="44"/>
    <n v="871.45"/>
    <n v="0.12"/>
    <x v="2"/>
    <n v="8"/>
    <x v="10"/>
  </r>
  <r>
    <d v="2005-07-21T00:00:00"/>
    <x v="1"/>
    <x v="4"/>
    <x v="1"/>
    <x v="1"/>
    <n v="1625.06"/>
    <x v="45"/>
    <n v="541.69000000000005"/>
    <n v="0.25"/>
    <x v="0"/>
    <n v="7"/>
    <x v="9"/>
  </r>
  <r>
    <d v="2006-04-14T00:00:00"/>
    <x v="2"/>
    <x v="2"/>
    <x v="2"/>
    <x v="1"/>
    <n v="6221.92"/>
    <x v="46"/>
    <n v="432.54"/>
    <n v="6.5000000000000002E-2"/>
    <x v="1"/>
    <n v="4"/>
    <x v="8"/>
  </r>
  <r>
    <d v="2005-04-16T00:00:00"/>
    <x v="0"/>
    <x v="2"/>
    <x v="2"/>
    <x v="1"/>
    <n v="5199.76"/>
    <x v="47"/>
    <n v="1733.25"/>
    <n v="0.25"/>
    <x v="0"/>
    <n v="4"/>
    <x v="8"/>
  </r>
  <r>
    <d v="2005-10-18T00:00:00"/>
    <x v="4"/>
    <x v="0"/>
    <x v="1"/>
    <x v="3"/>
    <n v="3776.43"/>
    <x v="48"/>
    <n v="2734.66"/>
    <n v="0.42"/>
    <x v="0"/>
    <n v="10"/>
    <x v="0"/>
  </r>
  <r>
    <d v="2005-06-07T00:00:00"/>
    <x v="4"/>
    <x v="4"/>
    <x v="0"/>
    <x v="0"/>
    <n v="2763.33"/>
    <x v="49"/>
    <n v="3377.4"/>
    <n v="0.55000000000000004"/>
    <x v="0"/>
    <n v="6"/>
    <x v="5"/>
  </r>
  <r>
    <d v="2005-04-01T00:00:00"/>
    <x v="4"/>
    <x v="4"/>
    <x v="2"/>
    <x v="2"/>
    <n v="1506.99"/>
    <x v="50"/>
    <n v="1232.99"/>
    <n v="0.45"/>
    <x v="0"/>
    <n v="4"/>
    <x v="8"/>
  </r>
  <r>
    <d v="2004-12-20T00:00:00"/>
    <x v="2"/>
    <x v="3"/>
    <x v="2"/>
    <x v="1"/>
    <n v="3589.22"/>
    <x v="51"/>
    <n v="4757.8100000000004"/>
    <n v="0.56999999999999995"/>
    <x v="2"/>
    <n v="12"/>
    <x v="4"/>
  </r>
  <r>
    <d v="2005-10-04T00:00:00"/>
    <x v="2"/>
    <x v="3"/>
    <x v="3"/>
    <x v="3"/>
    <n v="3640.32"/>
    <x v="52"/>
    <n v="6198.37"/>
    <n v="0.63"/>
    <x v="0"/>
    <n v="10"/>
    <x v="0"/>
  </r>
  <r>
    <d v="2006-03-27T00:00:00"/>
    <x v="1"/>
    <x v="4"/>
    <x v="3"/>
    <x v="1"/>
    <n v="3377.26"/>
    <x v="53"/>
    <n v="2346.91"/>
    <n v="0.41"/>
    <x v="1"/>
    <n v="3"/>
    <x v="3"/>
  </r>
  <r>
    <d v="2006-01-21T00:00:00"/>
    <x v="5"/>
    <x v="4"/>
    <x v="3"/>
    <x v="1"/>
    <n v="600.02"/>
    <x v="54"/>
    <n v="282.36"/>
    <n v="0.32"/>
    <x v="1"/>
    <n v="1"/>
    <x v="2"/>
  </r>
  <r>
    <d v="2006-06-07T00:00:00"/>
    <x v="2"/>
    <x v="2"/>
    <x v="3"/>
    <x v="3"/>
    <n v="391.9"/>
    <x v="55"/>
    <n v="478.98"/>
    <n v="0.55000000000000004"/>
    <x v="1"/>
    <n v="6"/>
    <x v="5"/>
  </r>
  <r>
    <d v="2004-09-06T00:00:00"/>
    <x v="3"/>
    <x v="4"/>
    <x v="0"/>
    <x v="0"/>
    <n v="1823.28"/>
    <x v="56"/>
    <n v="1267.02"/>
    <n v="0.41"/>
    <x v="2"/>
    <n v="9"/>
    <x v="6"/>
  </r>
  <r>
    <d v="2004-09-29T00:00:00"/>
    <x v="0"/>
    <x v="1"/>
    <x v="1"/>
    <x v="3"/>
    <n v="2626.73"/>
    <x v="57"/>
    <n v="1236.1099999999999"/>
    <n v="0.32"/>
    <x v="2"/>
    <n v="9"/>
    <x v="6"/>
  </r>
  <r>
    <d v="2006-05-02T00:00:00"/>
    <x v="5"/>
    <x v="2"/>
    <x v="1"/>
    <x v="1"/>
    <n v="5363.04"/>
    <x v="58"/>
    <n v="2523.79"/>
    <n v="0.32"/>
    <x v="1"/>
    <n v="5"/>
    <x v="7"/>
  </r>
  <r>
    <d v="2005-10-29T00:00:00"/>
    <x v="4"/>
    <x v="4"/>
    <x v="2"/>
    <x v="1"/>
    <n v="2969.99"/>
    <x v="59"/>
    <n v="5057.01"/>
    <n v="0.63"/>
    <x v="0"/>
    <n v="10"/>
    <x v="0"/>
  </r>
  <r>
    <d v="2005-07-17T00:00:00"/>
    <x v="3"/>
    <x v="1"/>
    <x v="0"/>
    <x v="1"/>
    <n v="4164.34"/>
    <x v="60"/>
    <n v="1388.11"/>
    <n v="0.25"/>
    <x v="0"/>
    <n v="7"/>
    <x v="9"/>
  </r>
  <r>
    <d v="2005-12-09T00:00:00"/>
    <x v="5"/>
    <x v="1"/>
    <x v="3"/>
    <x v="2"/>
    <n v="1479.24"/>
    <x v="61"/>
    <n v="1807.95"/>
    <n v="0.55000000000000004"/>
    <x v="0"/>
    <n v="12"/>
    <x v="4"/>
  </r>
  <r>
    <d v="2006-06-15T00:00:00"/>
    <x v="3"/>
    <x v="4"/>
    <x v="1"/>
    <x v="0"/>
    <n v="6971.5"/>
    <x v="62"/>
    <n v="2323.83"/>
    <n v="0.25"/>
    <x v="1"/>
    <n v="6"/>
    <x v="5"/>
  </r>
  <r>
    <d v="2005-10-12T00:00:00"/>
    <x v="5"/>
    <x v="2"/>
    <x v="2"/>
    <x v="0"/>
    <n v="5599.62"/>
    <x v="63"/>
    <n v="3891.26"/>
    <n v="0.41"/>
    <x v="0"/>
    <n v="10"/>
    <x v="0"/>
  </r>
  <r>
    <d v="2005-05-08T00:00:00"/>
    <x v="4"/>
    <x v="1"/>
    <x v="1"/>
    <x v="0"/>
    <n v="2864.64"/>
    <x v="64"/>
    <n v="4877.63"/>
    <n v="0.63"/>
    <x v="0"/>
    <n v="5"/>
    <x v="7"/>
  </r>
  <r>
    <d v="2005-07-15T00:00:00"/>
    <x v="3"/>
    <x v="0"/>
    <x v="0"/>
    <x v="2"/>
    <n v="3145.57"/>
    <x v="65"/>
    <n v="218.68"/>
    <n v="6.5000000000000002E-2"/>
    <x v="0"/>
    <n v="7"/>
    <x v="9"/>
  </r>
  <r>
    <d v="2005-12-14T00:00:00"/>
    <x v="4"/>
    <x v="3"/>
    <x v="0"/>
    <x v="2"/>
    <n v="3963.24"/>
    <x v="66"/>
    <n v="4843.96"/>
    <n v="0.55000000000000004"/>
    <x v="0"/>
    <n v="12"/>
    <x v="4"/>
  </r>
  <r>
    <d v="2005-08-17T00:00:00"/>
    <x v="5"/>
    <x v="2"/>
    <x v="2"/>
    <x v="0"/>
    <n v="1738.62"/>
    <x v="67"/>
    <n v="818.18"/>
    <n v="0.32"/>
    <x v="0"/>
    <n v="8"/>
    <x v="10"/>
  </r>
  <r>
    <d v="2005-01-10T00:00:00"/>
    <x v="1"/>
    <x v="1"/>
    <x v="0"/>
    <x v="1"/>
    <n v="988.24"/>
    <x v="68"/>
    <n v="68.7"/>
    <n v="6.5000000000000002E-2"/>
    <x v="0"/>
    <n v="1"/>
    <x v="2"/>
  </r>
  <r>
    <d v="2005-11-06T00:00:00"/>
    <x v="3"/>
    <x v="3"/>
    <x v="2"/>
    <x v="0"/>
    <n v="3078.67"/>
    <x v="69"/>
    <n v="1448.78"/>
    <n v="0.32"/>
    <x v="0"/>
    <n v="11"/>
    <x v="11"/>
  </r>
  <r>
    <d v="2005-02-24T00:00:00"/>
    <x v="1"/>
    <x v="4"/>
    <x v="0"/>
    <x v="3"/>
    <n v="655.19000000000005"/>
    <x v="70"/>
    <n v="536.05999999999995"/>
    <n v="0.45"/>
    <x v="0"/>
    <n v="2"/>
    <x v="1"/>
  </r>
  <r>
    <d v="2006-04-18T00:00:00"/>
    <x v="0"/>
    <x v="1"/>
    <x v="2"/>
    <x v="3"/>
    <n v="2322.14"/>
    <x v="71"/>
    <n v="1899.93"/>
    <n v="0.45"/>
    <x v="1"/>
    <n v="4"/>
    <x v="8"/>
  </r>
  <r>
    <d v="2005-02-14T00:00:00"/>
    <x v="4"/>
    <x v="3"/>
    <x v="3"/>
    <x v="3"/>
    <n v="1698.67"/>
    <x v="72"/>
    <n v="2892.32"/>
    <n v="0.63"/>
    <x v="0"/>
    <n v="2"/>
    <x v="1"/>
  </r>
  <r>
    <d v="2006-05-10T00:00:00"/>
    <x v="0"/>
    <x v="4"/>
    <x v="2"/>
    <x v="1"/>
    <n v="2236.34"/>
    <x v="73"/>
    <n v="1554.07"/>
    <n v="0.41"/>
    <x v="1"/>
    <n v="5"/>
    <x v="7"/>
  </r>
  <r>
    <d v="2005-02-08T00:00:00"/>
    <x v="1"/>
    <x v="0"/>
    <x v="1"/>
    <x v="0"/>
    <n v="3726.31"/>
    <x v="74"/>
    <n v="508.13"/>
    <n v="0.12"/>
    <x v="0"/>
    <n v="2"/>
    <x v="1"/>
  </r>
  <r>
    <d v="2004-06-19T00:00:00"/>
    <x v="0"/>
    <x v="4"/>
    <x v="0"/>
    <x v="0"/>
    <n v="3623.94"/>
    <x v="75"/>
    <n v="4803.83"/>
    <n v="0.56999999999999995"/>
    <x v="2"/>
    <n v="6"/>
    <x v="5"/>
  </r>
  <r>
    <d v="2005-01-04T00:00:00"/>
    <x v="4"/>
    <x v="4"/>
    <x v="2"/>
    <x v="1"/>
    <n v="3692.12"/>
    <x v="76"/>
    <n v="4894.2"/>
    <n v="0.56999999999999995"/>
    <x v="0"/>
    <n v="1"/>
    <x v="2"/>
  </r>
  <r>
    <d v="2005-03-28T00:00:00"/>
    <x v="4"/>
    <x v="3"/>
    <x v="2"/>
    <x v="3"/>
    <n v="2294.36"/>
    <x v="77"/>
    <n v="159.5"/>
    <n v="6.5000000000000002E-2"/>
    <x v="0"/>
    <n v="3"/>
    <x v="3"/>
  </r>
  <r>
    <d v="2005-11-23T00:00:00"/>
    <x v="3"/>
    <x v="2"/>
    <x v="2"/>
    <x v="3"/>
    <n v="3666.64"/>
    <x v="78"/>
    <n v="1222.21"/>
    <n v="0.25"/>
    <x v="0"/>
    <n v="11"/>
    <x v="11"/>
  </r>
  <r>
    <d v="2005-01-18T00:00:00"/>
    <x v="5"/>
    <x v="4"/>
    <x v="0"/>
    <x v="1"/>
    <n v="3657.28"/>
    <x v="79"/>
    <n v="6227.27"/>
    <n v="0.63"/>
    <x v="0"/>
    <n v="1"/>
    <x v="2"/>
  </r>
  <r>
    <d v="2005-01-14T00:00:00"/>
    <x v="3"/>
    <x v="2"/>
    <x v="3"/>
    <x v="3"/>
    <n v="2206.5100000000002"/>
    <x v="80"/>
    <n v="3757.03"/>
    <n v="0.63"/>
    <x v="0"/>
    <n v="1"/>
    <x v="2"/>
  </r>
  <r>
    <d v="2006-03-15T00:00:00"/>
    <x v="3"/>
    <x v="2"/>
    <x v="0"/>
    <x v="3"/>
    <n v="5948.17"/>
    <x v="81"/>
    <n v="811.11"/>
    <n v="0.12"/>
    <x v="1"/>
    <n v="3"/>
    <x v="3"/>
  </r>
  <r>
    <d v="2005-04-23T00:00:00"/>
    <x v="3"/>
    <x v="1"/>
    <x v="3"/>
    <x v="1"/>
    <n v="406.71"/>
    <x v="82"/>
    <n v="332.76"/>
    <n v="0.45"/>
    <x v="0"/>
    <n v="4"/>
    <x v="8"/>
  </r>
  <r>
    <d v="2005-10-07T00:00:00"/>
    <x v="4"/>
    <x v="0"/>
    <x v="2"/>
    <x v="2"/>
    <n v="3641.63"/>
    <x v="83"/>
    <n v="2637.05"/>
    <n v="0.42"/>
    <x v="0"/>
    <n v="10"/>
    <x v="0"/>
  </r>
  <r>
    <d v="2006-04-09T00:00:00"/>
    <x v="0"/>
    <x v="0"/>
    <x v="2"/>
    <x v="0"/>
    <n v="3119.48"/>
    <x v="84"/>
    <n v="2552.3000000000002"/>
    <n v="0.45"/>
    <x v="1"/>
    <n v="4"/>
    <x v="8"/>
  </r>
  <r>
    <d v="2004-07-10T00:00:00"/>
    <x v="2"/>
    <x v="2"/>
    <x v="2"/>
    <x v="0"/>
    <n v="3181.6"/>
    <x v="85"/>
    <n v="3888.62"/>
    <n v="0.55000000000000004"/>
    <x v="2"/>
    <n v="7"/>
    <x v="9"/>
  </r>
  <r>
    <d v="2005-01-13T00:00:00"/>
    <x v="0"/>
    <x v="4"/>
    <x v="1"/>
    <x v="2"/>
    <n v="1268"/>
    <x v="86"/>
    <n v="422.67"/>
    <n v="0.25"/>
    <x v="0"/>
    <n v="1"/>
    <x v="2"/>
  </r>
  <r>
    <d v="2004-08-06T00:00:00"/>
    <x v="3"/>
    <x v="0"/>
    <x v="3"/>
    <x v="1"/>
    <n v="1600.32"/>
    <x v="87"/>
    <n v="218.23"/>
    <n v="0.12"/>
    <x v="2"/>
    <n v="8"/>
    <x v="10"/>
  </r>
  <r>
    <d v="2005-03-16T00:00:00"/>
    <x v="4"/>
    <x v="4"/>
    <x v="2"/>
    <x v="0"/>
    <n v="335.06"/>
    <x v="88"/>
    <n v="274.14"/>
    <n v="0.45"/>
    <x v="0"/>
    <n v="3"/>
    <x v="3"/>
  </r>
  <r>
    <d v="2006-01-06T00:00:00"/>
    <x v="2"/>
    <x v="3"/>
    <x v="2"/>
    <x v="2"/>
    <n v="8498.82"/>
    <x v="89"/>
    <n v="590.83000000000004"/>
    <n v="6.5000000000000002E-2"/>
    <x v="1"/>
    <n v="1"/>
    <x v="2"/>
  </r>
  <r>
    <d v="2005-05-22T00:00:00"/>
    <x v="4"/>
    <x v="4"/>
    <x v="2"/>
    <x v="1"/>
    <n v="6011.22"/>
    <x v="90"/>
    <n v="2828.81"/>
    <n v="0.32"/>
    <x v="0"/>
    <n v="5"/>
    <x v="7"/>
  </r>
  <r>
    <d v="2005-05-21T00:00:00"/>
    <x v="1"/>
    <x v="4"/>
    <x v="3"/>
    <x v="2"/>
    <n v="4149.3500000000004"/>
    <x v="91"/>
    <n v="3394.92"/>
    <n v="0.45"/>
    <x v="0"/>
    <n v="5"/>
    <x v="7"/>
  </r>
  <r>
    <d v="2006-05-10T00:00:00"/>
    <x v="4"/>
    <x v="3"/>
    <x v="3"/>
    <x v="1"/>
    <n v="2127.2600000000002"/>
    <x v="92"/>
    <n v="1001.06"/>
    <n v="0.32"/>
    <x v="1"/>
    <n v="5"/>
    <x v="7"/>
  </r>
  <r>
    <d v="2005-07-17T00:00:00"/>
    <x v="0"/>
    <x v="3"/>
    <x v="3"/>
    <x v="3"/>
    <n v="2341.16"/>
    <x v="93"/>
    <n v="780.38"/>
    <n v="0.25"/>
    <x v="0"/>
    <n v="7"/>
    <x v="9"/>
  </r>
  <r>
    <d v="2004-09-25T00:00:00"/>
    <x v="0"/>
    <x v="4"/>
    <x v="0"/>
    <x v="2"/>
    <n v="2641.9"/>
    <x v="94"/>
    <n v="3228.98"/>
    <n v="0.55000000000000004"/>
    <x v="2"/>
    <n v="9"/>
    <x v="6"/>
  </r>
  <r>
    <d v="2006-04-12T00:00:00"/>
    <x v="0"/>
    <x v="3"/>
    <x v="0"/>
    <x v="1"/>
    <n v="4866.6000000000004"/>
    <x v="95"/>
    <n v="3524.09"/>
    <n v="0.42"/>
    <x v="1"/>
    <n v="4"/>
    <x v="8"/>
  </r>
  <r>
    <d v="2005-07-16T00:00:00"/>
    <x v="4"/>
    <x v="1"/>
    <x v="2"/>
    <x v="1"/>
    <n v="6263.62"/>
    <x v="96"/>
    <n v="2087.87"/>
    <n v="0.25"/>
    <x v="0"/>
    <n v="7"/>
    <x v="9"/>
  </r>
  <r>
    <d v="2004-10-31T00:00:00"/>
    <x v="0"/>
    <x v="2"/>
    <x v="1"/>
    <x v="1"/>
    <n v="3592.01"/>
    <x v="97"/>
    <n v="2938.91"/>
    <n v="0.45"/>
    <x v="2"/>
    <n v="10"/>
    <x v="0"/>
  </r>
  <r>
    <d v="2006-04-28T00:00:00"/>
    <x v="4"/>
    <x v="3"/>
    <x v="2"/>
    <x v="2"/>
    <n v="98.04"/>
    <x v="98"/>
    <n v="166.94"/>
    <n v="0.63"/>
    <x v="1"/>
    <n v="4"/>
    <x v="8"/>
  </r>
  <r>
    <d v="2006-02-11T00:00:00"/>
    <x v="5"/>
    <x v="2"/>
    <x v="1"/>
    <x v="2"/>
    <n v="2570.73"/>
    <x v="99"/>
    <n v="1209.76"/>
    <n v="0.32"/>
    <x v="1"/>
    <n v="2"/>
    <x v="1"/>
  </r>
  <r>
    <d v="2004-12-26T00:00:00"/>
    <x v="2"/>
    <x v="3"/>
    <x v="3"/>
    <x v="3"/>
    <n v="6261.79"/>
    <x v="100"/>
    <n v="2087.2600000000002"/>
    <n v="0.25"/>
    <x v="2"/>
    <n v="12"/>
    <x v="4"/>
  </r>
  <r>
    <d v="2005-04-06T00:00:00"/>
    <x v="0"/>
    <x v="3"/>
    <x v="3"/>
    <x v="1"/>
    <n v="2218.64"/>
    <x v="101"/>
    <n v="739.55"/>
    <n v="0.25"/>
    <x v="0"/>
    <n v="4"/>
    <x v="8"/>
  </r>
  <r>
    <d v="2006-03-08T00:00:00"/>
    <x v="2"/>
    <x v="4"/>
    <x v="1"/>
    <x v="0"/>
    <n v="1701.14"/>
    <x v="102"/>
    <n v="2079.1799999999998"/>
    <n v="0.55000000000000004"/>
    <x v="1"/>
    <n v="3"/>
    <x v="3"/>
  </r>
  <r>
    <d v="2005-01-09T00:00:00"/>
    <x v="4"/>
    <x v="4"/>
    <x v="2"/>
    <x v="2"/>
    <n v="5832.7"/>
    <x v="103"/>
    <n v="795.37"/>
    <n v="0.12"/>
    <x v="0"/>
    <n v="1"/>
    <x v="2"/>
  </r>
  <r>
    <d v="2004-12-20T00:00:00"/>
    <x v="0"/>
    <x v="4"/>
    <x v="3"/>
    <x v="1"/>
    <n v="4999.88"/>
    <x v="104"/>
    <n v="3474.5"/>
    <n v="0.41"/>
    <x v="2"/>
    <n v="12"/>
    <x v="4"/>
  </r>
  <r>
    <d v="2005-01-22T00:00:00"/>
    <x v="4"/>
    <x v="1"/>
    <x v="0"/>
    <x v="0"/>
    <n v="521.25"/>
    <x v="105"/>
    <n v="887.53"/>
    <n v="0.63"/>
    <x v="0"/>
    <n v="1"/>
    <x v="2"/>
  </r>
  <r>
    <d v="2004-09-30T00:00:00"/>
    <x v="5"/>
    <x v="4"/>
    <x v="1"/>
    <x v="0"/>
    <n v="5505.86"/>
    <x v="106"/>
    <n v="3987.01"/>
    <n v="0.42"/>
    <x v="2"/>
    <n v="9"/>
    <x v="6"/>
  </r>
  <r>
    <d v="2004-07-25T00:00:00"/>
    <x v="2"/>
    <x v="4"/>
    <x v="1"/>
    <x v="3"/>
    <n v="307.45"/>
    <x v="107"/>
    <n v="102.48"/>
    <n v="0.25"/>
    <x v="2"/>
    <n v="7"/>
    <x v="9"/>
  </r>
  <r>
    <d v="2005-04-03T00:00:00"/>
    <x v="5"/>
    <x v="2"/>
    <x v="1"/>
    <x v="3"/>
    <n v="219.08"/>
    <x v="108"/>
    <n v="103.1"/>
    <n v="0.32"/>
    <x v="0"/>
    <n v="4"/>
    <x v="8"/>
  </r>
  <r>
    <d v="2005-11-16T00:00:00"/>
    <x v="5"/>
    <x v="4"/>
    <x v="3"/>
    <x v="3"/>
    <n v="3606.36"/>
    <x v="109"/>
    <n v="6140.56"/>
    <n v="0.63"/>
    <x v="0"/>
    <n v="11"/>
    <x v="11"/>
  </r>
  <r>
    <d v="2005-09-29T00:00:00"/>
    <x v="4"/>
    <x v="0"/>
    <x v="1"/>
    <x v="2"/>
    <n v="6424.83"/>
    <x v="110"/>
    <n v="3023.45"/>
    <n v="0.32"/>
    <x v="0"/>
    <n v="9"/>
    <x v="6"/>
  </r>
  <r>
    <d v="2005-08-28T00:00:00"/>
    <x v="3"/>
    <x v="0"/>
    <x v="2"/>
    <x v="0"/>
    <n v="5503.8"/>
    <x v="111"/>
    <n v="2590.02"/>
    <n v="0.32"/>
    <x v="0"/>
    <n v="8"/>
    <x v="10"/>
  </r>
  <r>
    <d v="2006-02-23T00:00:00"/>
    <x v="0"/>
    <x v="1"/>
    <x v="0"/>
    <x v="2"/>
    <n v="2010.01"/>
    <x v="112"/>
    <n v="2456.6799999999998"/>
    <n v="0.55000000000000004"/>
    <x v="1"/>
    <n v="2"/>
    <x v="1"/>
  </r>
  <r>
    <d v="2004-10-11T00:00:00"/>
    <x v="3"/>
    <x v="4"/>
    <x v="2"/>
    <x v="1"/>
    <n v="1496.81"/>
    <x v="113"/>
    <n v="1829.44"/>
    <n v="0.55000000000000004"/>
    <x v="2"/>
    <n v="10"/>
    <x v="0"/>
  </r>
  <r>
    <d v="2004-07-21T00:00:00"/>
    <x v="3"/>
    <x v="4"/>
    <x v="2"/>
    <x v="1"/>
    <n v="6587.7"/>
    <x v="114"/>
    <n v="2195.9"/>
    <n v="0.25"/>
    <x v="2"/>
    <n v="7"/>
    <x v="9"/>
  </r>
  <r>
    <d v="2005-02-09T00:00:00"/>
    <x v="4"/>
    <x v="3"/>
    <x v="1"/>
    <x v="0"/>
    <n v="1523.73"/>
    <x v="115"/>
    <n v="1058.8699999999999"/>
    <n v="0.41"/>
    <x v="0"/>
    <n v="2"/>
    <x v="1"/>
  </r>
  <r>
    <d v="2004-07-22T00:00:00"/>
    <x v="3"/>
    <x v="2"/>
    <x v="0"/>
    <x v="3"/>
    <n v="1476.11"/>
    <x v="116"/>
    <n v="2513.38"/>
    <n v="0.63"/>
    <x v="2"/>
    <n v="7"/>
    <x v="9"/>
  </r>
  <r>
    <d v="2006-02-22T00:00:00"/>
    <x v="1"/>
    <x v="4"/>
    <x v="3"/>
    <x v="0"/>
    <n v="283.12"/>
    <x v="117"/>
    <n v="19.68"/>
    <n v="6.5000000000000002E-2"/>
    <x v="1"/>
    <n v="2"/>
    <x v="1"/>
  </r>
  <r>
    <d v="2005-01-02T00:00:00"/>
    <x v="4"/>
    <x v="0"/>
    <x v="0"/>
    <x v="3"/>
    <n v="3591.47"/>
    <x v="118"/>
    <n v="2495.77"/>
    <n v="0.41"/>
    <x v="0"/>
    <n v="1"/>
    <x v="2"/>
  </r>
  <r>
    <d v="2006-04-15T00:00:00"/>
    <x v="4"/>
    <x v="0"/>
    <x v="0"/>
    <x v="0"/>
    <n v="3894.41"/>
    <x v="119"/>
    <n v="4759.84"/>
    <n v="0.55000000000000004"/>
    <x v="1"/>
    <n v="4"/>
    <x v="8"/>
  </r>
  <r>
    <d v="2004-10-01T00:00:00"/>
    <x v="1"/>
    <x v="3"/>
    <x v="3"/>
    <x v="0"/>
    <n v="4539.49"/>
    <x v="120"/>
    <n v="3714.13"/>
    <n v="0.45"/>
    <x v="2"/>
    <n v="10"/>
    <x v="0"/>
  </r>
  <r>
    <d v="2006-03-01T00:00:00"/>
    <x v="2"/>
    <x v="1"/>
    <x v="2"/>
    <x v="0"/>
    <n v="1049.8699999999999"/>
    <x v="121"/>
    <n v="1787.62"/>
    <n v="0.63"/>
    <x v="1"/>
    <n v="3"/>
    <x v="3"/>
  </r>
  <r>
    <d v="2004-08-16T00:00:00"/>
    <x v="3"/>
    <x v="2"/>
    <x v="0"/>
    <x v="1"/>
    <n v="2645.06"/>
    <x v="122"/>
    <n v="183.88"/>
    <n v="6.5000000000000002E-2"/>
    <x v="2"/>
    <n v="8"/>
    <x v="10"/>
  </r>
  <r>
    <d v="2006-04-30T00:00:00"/>
    <x v="2"/>
    <x v="1"/>
    <x v="1"/>
    <x v="0"/>
    <n v="3233.73"/>
    <x v="123"/>
    <n v="2247.16"/>
    <n v="0.41"/>
    <x v="1"/>
    <n v="4"/>
    <x v="8"/>
  </r>
  <r>
    <d v="2004-12-29T00:00:00"/>
    <x v="4"/>
    <x v="0"/>
    <x v="3"/>
    <x v="3"/>
    <n v="3325.68"/>
    <x v="124"/>
    <n v="4064.71"/>
    <n v="0.55000000000000004"/>
    <x v="2"/>
    <n v="12"/>
    <x v="4"/>
  </r>
  <r>
    <d v="2005-09-23T00:00:00"/>
    <x v="3"/>
    <x v="4"/>
    <x v="2"/>
    <x v="0"/>
    <n v="2280.17"/>
    <x v="125"/>
    <n v="1073.02"/>
    <n v="0.32"/>
    <x v="0"/>
    <n v="9"/>
    <x v="6"/>
  </r>
  <r>
    <d v="2006-04-03T00:00:00"/>
    <x v="4"/>
    <x v="0"/>
    <x v="2"/>
    <x v="2"/>
    <n v="6397.68"/>
    <x v="126"/>
    <n v="444.76"/>
    <n v="6.5000000000000002E-2"/>
    <x v="1"/>
    <n v="4"/>
    <x v="8"/>
  </r>
  <r>
    <d v="2004-09-05T00:00:00"/>
    <x v="1"/>
    <x v="2"/>
    <x v="0"/>
    <x v="2"/>
    <n v="3313.27"/>
    <x v="127"/>
    <n v="2710.86"/>
    <n v="0.45"/>
    <x v="2"/>
    <n v="9"/>
    <x v="6"/>
  </r>
  <r>
    <d v="2006-04-07T00:00:00"/>
    <x v="1"/>
    <x v="1"/>
    <x v="1"/>
    <x v="3"/>
    <n v="1664.5"/>
    <x v="128"/>
    <n v="1205.33"/>
    <n v="0.42"/>
    <x v="1"/>
    <n v="4"/>
    <x v="8"/>
  </r>
  <r>
    <d v="2005-12-14T00:00:00"/>
    <x v="0"/>
    <x v="3"/>
    <x v="1"/>
    <x v="2"/>
    <n v="2964.76"/>
    <x v="129"/>
    <n v="3623.59"/>
    <n v="0.55000000000000004"/>
    <x v="0"/>
    <n v="12"/>
    <x v="4"/>
  </r>
  <r>
    <d v="2004-11-24T00:00:00"/>
    <x v="3"/>
    <x v="4"/>
    <x v="2"/>
    <x v="2"/>
    <n v="3068.4"/>
    <x v="130"/>
    <n v="2221.94"/>
    <n v="0.42"/>
    <x v="2"/>
    <n v="11"/>
    <x v="11"/>
  </r>
  <r>
    <d v="2004-09-02T00:00:00"/>
    <x v="2"/>
    <x v="2"/>
    <x v="0"/>
    <x v="0"/>
    <n v="3719.64"/>
    <x v="131"/>
    <n v="507.22"/>
    <n v="0.12"/>
    <x v="2"/>
    <n v="9"/>
    <x v="6"/>
  </r>
  <r>
    <d v="2004-07-11T00:00:00"/>
    <x v="4"/>
    <x v="3"/>
    <x v="0"/>
    <x v="1"/>
    <n v="4710.7299999999996"/>
    <x v="132"/>
    <n v="3273.55"/>
    <n v="0.41"/>
    <x v="2"/>
    <n v="7"/>
    <x v="9"/>
  </r>
  <r>
    <d v="2005-06-22T00:00:00"/>
    <x v="3"/>
    <x v="2"/>
    <x v="3"/>
    <x v="3"/>
    <n v="6892.16"/>
    <x v="133"/>
    <n v="2297.39"/>
    <n v="0.25"/>
    <x v="0"/>
    <n v="6"/>
    <x v="5"/>
  </r>
  <r>
    <d v="2005-01-24T00:00:00"/>
    <x v="2"/>
    <x v="3"/>
    <x v="0"/>
    <x v="1"/>
    <n v="4773.76"/>
    <x v="134"/>
    <n v="3317.36"/>
    <n v="0.41"/>
    <x v="0"/>
    <n v="1"/>
    <x v="2"/>
  </r>
  <r>
    <d v="2004-08-13T00:00:00"/>
    <x v="5"/>
    <x v="2"/>
    <x v="0"/>
    <x v="3"/>
    <n v="4570.17"/>
    <x v="135"/>
    <n v="623.20000000000005"/>
    <n v="0.12"/>
    <x v="2"/>
    <n v="8"/>
    <x v="10"/>
  </r>
  <r>
    <d v="2005-08-25T00:00:00"/>
    <x v="4"/>
    <x v="3"/>
    <x v="3"/>
    <x v="0"/>
    <n v="6362.06"/>
    <x v="136"/>
    <n v="867.55"/>
    <n v="0.12"/>
    <x v="0"/>
    <n v="8"/>
    <x v="10"/>
  </r>
  <r>
    <d v="2005-07-18T00:00:00"/>
    <x v="1"/>
    <x v="3"/>
    <x v="3"/>
    <x v="0"/>
    <n v="1068.5999999999999"/>
    <x v="137"/>
    <n v="1819.5"/>
    <n v="0.63"/>
    <x v="0"/>
    <n v="7"/>
    <x v="9"/>
  </r>
  <r>
    <d v="2004-11-28T00:00:00"/>
    <x v="2"/>
    <x v="1"/>
    <x v="3"/>
    <x v="3"/>
    <n v="2143.98"/>
    <x v="138"/>
    <n v="2620.42"/>
    <n v="0.55000000000000004"/>
    <x v="2"/>
    <n v="11"/>
    <x v="11"/>
  </r>
  <r>
    <d v="2005-05-30T00:00:00"/>
    <x v="1"/>
    <x v="0"/>
    <x v="0"/>
    <x v="1"/>
    <n v="1004.52"/>
    <x v="139"/>
    <n v="727.41"/>
    <n v="0.42"/>
    <x v="0"/>
    <n v="5"/>
    <x v="7"/>
  </r>
  <r>
    <d v="2004-07-26T00:00:00"/>
    <x v="1"/>
    <x v="3"/>
    <x v="2"/>
    <x v="3"/>
    <n v="3913.94"/>
    <x v="140"/>
    <n v="1304.6500000000001"/>
    <n v="0.25"/>
    <x v="2"/>
    <n v="7"/>
    <x v="9"/>
  </r>
  <r>
    <d v="2005-11-20T00:00:00"/>
    <x v="1"/>
    <x v="0"/>
    <x v="3"/>
    <x v="3"/>
    <n v="6202.68"/>
    <x v="141"/>
    <n v="431.2"/>
    <n v="6.5000000000000002E-2"/>
    <x v="0"/>
    <n v="11"/>
    <x v="11"/>
  </r>
  <r>
    <d v="2005-10-16T00:00:00"/>
    <x v="2"/>
    <x v="3"/>
    <x v="0"/>
    <x v="1"/>
    <n v="3111.47"/>
    <x v="142"/>
    <n v="5297.92"/>
    <n v="0.63"/>
    <x v="0"/>
    <n v="10"/>
    <x v="0"/>
  </r>
  <r>
    <d v="2005-01-10T00:00:00"/>
    <x v="4"/>
    <x v="1"/>
    <x v="1"/>
    <x v="3"/>
    <n v="5815.1"/>
    <x v="143"/>
    <n v="792.97"/>
    <n v="0.12"/>
    <x v="0"/>
    <n v="1"/>
    <x v="2"/>
  </r>
  <r>
    <d v="2004-11-23T00:00:00"/>
    <x v="2"/>
    <x v="3"/>
    <x v="2"/>
    <x v="2"/>
    <n v="682.21"/>
    <x v="144"/>
    <n v="558.16999999999996"/>
    <n v="0.45"/>
    <x v="2"/>
    <n v="11"/>
    <x v="11"/>
  </r>
  <r>
    <d v="2006-03-05T00:00:00"/>
    <x v="3"/>
    <x v="3"/>
    <x v="1"/>
    <x v="0"/>
    <n v="755.3"/>
    <x v="145"/>
    <n v="617.97"/>
    <n v="0.45"/>
    <x v="1"/>
    <n v="3"/>
    <x v="3"/>
  </r>
  <r>
    <d v="2005-10-15T00:00:00"/>
    <x v="0"/>
    <x v="3"/>
    <x v="1"/>
    <x v="3"/>
    <n v="926.09"/>
    <x v="146"/>
    <n v="1131.8900000000001"/>
    <n v="0.55000000000000004"/>
    <x v="0"/>
    <n v="10"/>
    <x v="0"/>
  </r>
  <r>
    <d v="2005-03-11T00:00:00"/>
    <x v="1"/>
    <x v="0"/>
    <x v="3"/>
    <x v="0"/>
    <n v="4467.84"/>
    <x v="147"/>
    <n v="2102.5100000000002"/>
    <n v="0.32"/>
    <x v="0"/>
    <n v="3"/>
    <x v="3"/>
  </r>
  <r>
    <d v="2004-07-25T00:00:00"/>
    <x v="4"/>
    <x v="3"/>
    <x v="2"/>
    <x v="2"/>
    <n v="4488.71"/>
    <x v="148"/>
    <n v="5486.21"/>
    <n v="0.55000000000000004"/>
    <x v="2"/>
    <n v="7"/>
    <x v="9"/>
  </r>
  <r>
    <d v="2005-03-31T00:00:00"/>
    <x v="0"/>
    <x v="4"/>
    <x v="1"/>
    <x v="3"/>
    <n v="1762.24"/>
    <x v="149"/>
    <n v="2335.9899999999998"/>
    <n v="0.56999999999999995"/>
    <x v="0"/>
    <n v="3"/>
    <x v="3"/>
  </r>
  <r>
    <d v="2006-01-22T00:00:00"/>
    <x v="0"/>
    <x v="1"/>
    <x v="3"/>
    <x v="3"/>
    <n v="4517.8"/>
    <x v="150"/>
    <n v="2126.02"/>
    <n v="0.32"/>
    <x v="1"/>
    <n v="1"/>
    <x v="2"/>
  </r>
  <r>
    <d v="2005-05-25T00:00:00"/>
    <x v="5"/>
    <x v="1"/>
    <x v="0"/>
    <x v="2"/>
    <n v="454.23"/>
    <x v="151"/>
    <n v="555.16999999999996"/>
    <n v="0.55000000000000004"/>
    <x v="0"/>
    <n v="5"/>
    <x v="7"/>
  </r>
  <r>
    <d v="2006-05-06T00:00:00"/>
    <x v="1"/>
    <x v="1"/>
    <x v="2"/>
    <x v="1"/>
    <n v="3558.86"/>
    <x v="152"/>
    <n v="4717.57"/>
    <n v="0.56999999999999995"/>
    <x v="1"/>
    <n v="5"/>
    <x v="7"/>
  </r>
  <r>
    <d v="2004-12-18T00:00:00"/>
    <x v="1"/>
    <x v="1"/>
    <x v="1"/>
    <x v="1"/>
    <n v="114.45"/>
    <x v="153"/>
    <n v="139.88999999999999"/>
    <n v="0.55000000000000004"/>
    <x v="2"/>
    <n v="12"/>
    <x v="4"/>
  </r>
  <r>
    <d v="2005-01-27T00:00:00"/>
    <x v="1"/>
    <x v="3"/>
    <x v="3"/>
    <x v="2"/>
    <n v="3576.37"/>
    <x v="154"/>
    <n v="487.69"/>
    <n v="0.12"/>
    <x v="0"/>
    <n v="1"/>
    <x v="2"/>
  </r>
  <r>
    <d v="2005-01-24T00:00:00"/>
    <x v="0"/>
    <x v="3"/>
    <x v="3"/>
    <x v="2"/>
    <n v="114.03"/>
    <x v="155"/>
    <n v="139.36000000000001"/>
    <n v="0.55000000000000004"/>
    <x v="0"/>
    <n v="1"/>
    <x v="2"/>
  </r>
  <r>
    <d v="2004-10-17T00:00:00"/>
    <x v="5"/>
    <x v="1"/>
    <x v="0"/>
    <x v="3"/>
    <n v="4316.71"/>
    <x v="156"/>
    <n v="300.08999999999997"/>
    <n v="6.5000000000000002E-2"/>
    <x v="2"/>
    <n v="10"/>
    <x v="0"/>
  </r>
  <r>
    <d v="2005-03-10T00:00:00"/>
    <x v="0"/>
    <x v="4"/>
    <x v="1"/>
    <x v="0"/>
    <n v="6587.55"/>
    <x v="157"/>
    <n v="2195.85"/>
    <n v="0.25"/>
    <x v="0"/>
    <n v="3"/>
    <x v="3"/>
  </r>
  <r>
    <d v="2005-01-14T00:00:00"/>
    <x v="5"/>
    <x v="1"/>
    <x v="0"/>
    <x v="3"/>
    <n v="2674.67"/>
    <x v="158"/>
    <n v="2188.37"/>
    <n v="0.45"/>
    <x v="0"/>
    <n v="1"/>
    <x v="2"/>
  </r>
  <r>
    <d v="2006-05-08T00:00:00"/>
    <x v="1"/>
    <x v="3"/>
    <x v="2"/>
    <x v="0"/>
    <n v="1834.05"/>
    <x v="159"/>
    <n v="3122.83"/>
    <n v="0.63"/>
    <x v="1"/>
    <n v="5"/>
    <x v="7"/>
  </r>
  <r>
    <d v="2006-05-11T00:00:00"/>
    <x v="3"/>
    <x v="1"/>
    <x v="2"/>
    <x v="1"/>
    <n v="3545.62"/>
    <x v="160"/>
    <n v="246.49"/>
    <n v="6.5000000000000002E-2"/>
    <x v="1"/>
    <n v="5"/>
    <x v="7"/>
  </r>
  <r>
    <d v="2006-02-04T00:00:00"/>
    <x v="3"/>
    <x v="1"/>
    <x v="1"/>
    <x v="1"/>
    <n v="1465.09"/>
    <x v="161"/>
    <n v="1060.93"/>
    <n v="0.42"/>
    <x v="1"/>
    <n v="2"/>
    <x v="1"/>
  </r>
  <r>
    <d v="2004-10-20T00:00:00"/>
    <x v="2"/>
    <x v="3"/>
    <x v="1"/>
    <x v="2"/>
    <n v="6214.08"/>
    <x v="162"/>
    <n v="847.37"/>
    <n v="0.12"/>
    <x v="2"/>
    <n v="10"/>
    <x v="0"/>
  </r>
  <r>
    <d v="2004-08-01T00:00:00"/>
    <x v="3"/>
    <x v="3"/>
    <x v="1"/>
    <x v="1"/>
    <n v="2934.9"/>
    <x v="163"/>
    <n v="400.21"/>
    <n v="0.12"/>
    <x v="2"/>
    <n v="8"/>
    <x v="10"/>
  </r>
  <r>
    <d v="2005-05-19T00:00:00"/>
    <x v="3"/>
    <x v="4"/>
    <x v="3"/>
    <x v="3"/>
    <n v="5267.87"/>
    <x v="164"/>
    <n v="366.22"/>
    <n v="6.5000000000000002E-2"/>
    <x v="0"/>
    <n v="5"/>
    <x v="7"/>
  </r>
  <r>
    <d v="2004-10-20T00:00:00"/>
    <x v="0"/>
    <x v="4"/>
    <x v="1"/>
    <x v="0"/>
    <n v="3183.98"/>
    <x v="165"/>
    <n v="4220.62"/>
    <n v="0.56999999999999995"/>
    <x v="2"/>
    <n v="10"/>
    <x v="0"/>
  </r>
  <r>
    <d v="2006-02-15T00:00:00"/>
    <x v="1"/>
    <x v="1"/>
    <x v="2"/>
    <x v="1"/>
    <n v="58.76"/>
    <x v="166"/>
    <n v="100.05"/>
    <n v="0.63"/>
    <x v="1"/>
    <n v="2"/>
    <x v="1"/>
  </r>
  <r>
    <d v="2005-11-13T00:00:00"/>
    <x v="4"/>
    <x v="1"/>
    <x v="3"/>
    <x v="0"/>
    <n v="833.05"/>
    <x v="167"/>
    <n v="1104.27"/>
    <n v="0.56999999999999995"/>
    <x v="0"/>
    <n v="11"/>
    <x v="11"/>
  </r>
  <r>
    <d v="2005-03-17T00:00:00"/>
    <x v="5"/>
    <x v="2"/>
    <x v="2"/>
    <x v="0"/>
    <n v="558.25"/>
    <x v="168"/>
    <n v="740"/>
    <n v="0.56999999999999995"/>
    <x v="0"/>
    <n v="3"/>
    <x v="3"/>
  </r>
  <r>
    <d v="2004-11-04T00:00:00"/>
    <x v="3"/>
    <x v="0"/>
    <x v="2"/>
    <x v="1"/>
    <n v="8100.62"/>
    <x v="169"/>
    <n v="1104.6300000000001"/>
    <n v="0.12"/>
    <x v="2"/>
    <n v="11"/>
    <x v="11"/>
  </r>
  <r>
    <d v="2006-03-29T00:00:00"/>
    <x v="0"/>
    <x v="2"/>
    <x v="2"/>
    <x v="0"/>
    <n v="1929.29"/>
    <x v="170"/>
    <n v="2358.0300000000002"/>
    <n v="0.55000000000000004"/>
    <x v="1"/>
    <n v="3"/>
    <x v="3"/>
  </r>
  <r>
    <d v="2006-05-02T00:00:00"/>
    <x v="0"/>
    <x v="4"/>
    <x v="2"/>
    <x v="1"/>
    <n v="3127.76"/>
    <x v="171"/>
    <n v="3822.81"/>
    <n v="0.55000000000000004"/>
    <x v="1"/>
    <n v="5"/>
    <x v="7"/>
  </r>
  <r>
    <d v="2006-06-09T00:00:00"/>
    <x v="5"/>
    <x v="0"/>
    <x v="3"/>
    <x v="2"/>
    <n v="6487.52"/>
    <x v="172"/>
    <n v="884.66"/>
    <n v="0.12"/>
    <x v="1"/>
    <n v="6"/>
    <x v="5"/>
  </r>
  <r>
    <d v="2006-05-07T00:00:00"/>
    <x v="0"/>
    <x v="4"/>
    <x v="3"/>
    <x v="1"/>
    <n v="4677.2299999999996"/>
    <x v="173"/>
    <n v="325.14999999999998"/>
    <n v="6.5000000000000002E-2"/>
    <x v="1"/>
    <n v="5"/>
    <x v="7"/>
  </r>
  <r>
    <d v="2004-07-24T00:00:00"/>
    <x v="2"/>
    <x v="0"/>
    <x v="0"/>
    <x v="1"/>
    <n v="3410.24"/>
    <x v="174"/>
    <n v="4168.08"/>
    <n v="0.55000000000000004"/>
    <x v="2"/>
    <n v="7"/>
    <x v="9"/>
  </r>
  <r>
    <d v="2005-01-22T00:00:00"/>
    <x v="3"/>
    <x v="0"/>
    <x v="0"/>
    <x v="2"/>
    <n v="1735.73"/>
    <x v="175"/>
    <n v="120.67"/>
    <n v="6.5000000000000002E-2"/>
    <x v="0"/>
    <n v="1"/>
    <x v="2"/>
  </r>
  <r>
    <d v="2004-10-02T00:00:00"/>
    <x v="2"/>
    <x v="2"/>
    <x v="2"/>
    <x v="2"/>
    <n v="6662.83"/>
    <x v="176"/>
    <n v="463.19"/>
    <n v="6.5000000000000002E-2"/>
    <x v="2"/>
    <n v="10"/>
    <x v="0"/>
  </r>
  <r>
    <d v="2006-05-16T00:00:00"/>
    <x v="3"/>
    <x v="3"/>
    <x v="0"/>
    <x v="3"/>
    <n v="4533.76"/>
    <x v="177"/>
    <n v="1511.25"/>
    <n v="0.25"/>
    <x v="1"/>
    <n v="5"/>
    <x v="7"/>
  </r>
  <r>
    <d v="2004-12-01T00:00:00"/>
    <x v="1"/>
    <x v="4"/>
    <x v="1"/>
    <x v="2"/>
    <n v="7115.33"/>
    <x v="178"/>
    <n v="970.27"/>
    <n v="0.12"/>
    <x v="2"/>
    <n v="12"/>
    <x v="4"/>
  </r>
  <r>
    <d v="2005-05-28T00:00:00"/>
    <x v="0"/>
    <x v="4"/>
    <x v="1"/>
    <x v="2"/>
    <n v="4924.26"/>
    <x v="179"/>
    <n v="4028.94"/>
    <n v="0.45"/>
    <x v="0"/>
    <n v="5"/>
    <x v="7"/>
  </r>
  <r>
    <d v="2005-03-24T00:00:00"/>
    <x v="1"/>
    <x v="3"/>
    <x v="1"/>
    <x v="1"/>
    <n v="3540.59"/>
    <x v="180"/>
    <n v="2896.84"/>
    <n v="0.45"/>
    <x v="0"/>
    <n v="3"/>
    <x v="3"/>
  </r>
  <r>
    <d v="2005-05-21T00:00:00"/>
    <x v="0"/>
    <x v="1"/>
    <x v="1"/>
    <x v="2"/>
    <n v="2149.36"/>
    <x v="181"/>
    <n v="2849.16"/>
    <n v="0.56999999999999995"/>
    <x v="0"/>
    <n v="5"/>
    <x v="7"/>
  </r>
  <r>
    <d v="2005-11-19T00:00:00"/>
    <x v="5"/>
    <x v="2"/>
    <x v="0"/>
    <x v="2"/>
    <n v="1193.47"/>
    <x v="182"/>
    <n v="397.82"/>
    <n v="0.25"/>
    <x v="0"/>
    <n v="11"/>
    <x v="11"/>
  </r>
  <r>
    <d v="2004-08-25T00:00:00"/>
    <x v="2"/>
    <x v="3"/>
    <x v="1"/>
    <x v="1"/>
    <n v="4647.29"/>
    <x v="183"/>
    <n v="3802.32"/>
    <n v="0.45"/>
    <x v="2"/>
    <n v="8"/>
    <x v="10"/>
  </r>
  <r>
    <d v="2005-03-23T00:00:00"/>
    <x v="1"/>
    <x v="2"/>
    <x v="3"/>
    <x v="2"/>
    <n v="7978.4"/>
    <x v="184"/>
    <n v="554.65"/>
    <n v="6.5000000000000002E-2"/>
    <x v="0"/>
    <n v="3"/>
    <x v="3"/>
  </r>
  <r>
    <d v="2005-08-30T00:00:00"/>
    <x v="1"/>
    <x v="0"/>
    <x v="3"/>
    <x v="0"/>
    <n v="8815.92"/>
    <x v="185"/>
    <n v="612.87"/>
    <n v="6.5000000000000002E-2"/>
    <x v="0"/>
    <n v="8"/>
    <x v="10"/>
  </r>
  <r>
    <d v="2005-11-22T00:00:00"/>
    <x v="2"/>
    <x v="1"/>
    <x v="1"/>
    <x v="1"/>
    <n v="5646.13"/>
    <x v="186"/>
    <n v="3923.58"/>
    <n v="0.41"/>
    <x v="0"/>
    <n v="11"/>
    <x v="11"/>
  </r>
  <r>
    <d v="2006-06-14T00:00:00"/>
    <x v="2"/>
    <x v="0"/>
    <x v="3"/>
    <x v="2"/>
    <n v="2065.11"/>
    <x v="187"/>
    <n v="2524.0300000000002"/>
    <n v="0.55000000000000004"/>
    <x v="1"/>
    <n v="6"/>
    <x v="5"/>
  </r>
  <r>
    <d v="2005-08-22T00:00:00"/>
    <x v="3"/>
    <x v="1"/>
    <x v="3"/>
    <x v="1"/>
    <n v="1670.37"/>
    <x v="188"/>
    <n v="2041.56"/>
    <n v="0.55000000000000004"/>
    <x v="0"/>
    <n v="8"/>
    <x v="10"/>
  </r>
  <r>
    <d v="2004-08-03T00:00:00"/>
    <x v="4"/>
    <x v="3"/>
    <x v="2"/>
    <x v="1"/>
    <n v="421.62"/>
    <x v="189"/>
    <n v="57.49"/>
    <n v="0.12"/>
    <x v="2"/>
    <n v="8"/>
    <x v="10"/>
  </r>
  <r>
    <d v="2005-10-15T00:00:00"/>
    <x v="2"/>
    <x v="0"/>
    <x v="3"/>
    <x v="2"/>
    <n v="2632.68"/>
    <x v="190"/>
    <n v="3489.83"/>
    <n v="0.56999999999999995"/>
    <x v="0"/>
    <n v="10"/>
    <x v="0"/>
  </r>
  <r>
    <d v="2005-07-27T00:00:00"/>
    <x v="2"/>
    <x v="0"/>
    <x v="1"/>
    <x v="3"/>
    <n v="3641.25"/>
    <x v="191"/>
    <n v="4450.42"/>
    <n v="0.55000000000000004"/>
    <x v="0"/>
    <n v="7"/>
    <x v="9"/>
  </r>
  <r>
    <d v="2005-05-21T00:00:00"/>
    <x v="0"/>
    <x v="4"/>
    <x v="3"/>
    <x v="2"/>
    <n v="1242.07"/>
    <x v="192"/>
    <n v="584.5"/>
    <n v="0.32"/>
    <x v="0"/>
    <n v="5"/>
    <x v="7"/>
  </r>
  <r>
    <d v="2006-01-04T00:00:00"/>
    <x v="3"/>
    <x v="2"/>
    <x v="1"/>
    <x v="1"/>
    <n v="2693.56"/>
    <x v="193"/>
    <n v="3292.12"/>
    <n v="0.55000000000000004"/>
    <x v="1"/>
    <n v="1"/>
    <x v="2"/>
  </r>
  <r>
    <d v="2004-12-09T00:00:00"/>
    <x v="2"/>
    <x v="2"/>
    <x v="3"/>
    <x v="1"/>
    <n v="627.28"/>
    <x v="194"/>
    <n v="766.68"/>
    <n v="0.55000000000000004"/>
    <x v="2"/>
    <n v="12"/>
    <x v="4"/>
  </r>
  <r>
    <d v="2004-08-25T00:00:00"/>
    <x v="5"/>
    <x v="3"/>
    <x v="2"/>
    <x v="1"/>
    <n v="3188.92"/>
    <x v="195"/>
    <n v="4227.17"/>
    <n v="0.56999999999999995"/>
    <x v="2"/>
    <n v="8"/>
    <x v="10"/>
  </r>
  <r>
    <d v="2004-10-22T00:00:00"/>
    <x v="1"/>
    <x v="3"/>
    <x v="1"/>
    <x v="0"/>
    <n v="1721.55"/>
    <x v="196"/>
    <n v="2282.06"/>
    <n v="0.56999999999999995"/>
    <x v="2"/>
    <n v="10"/>
    <x v="0"/>
  </r>
  <r>
    <d v="2004-06-17T00:00:00"/>
    <x v="3"/>
    <x v="0"/>
    <x v="3"/>
    <x v="2"/>
    <n v="4577.7299999999996"/>
    <x v="197"/>
    <n v="3181.13"/>
    <n v="0.41"/>
    <x v="2"/>
    <n v="6"/>
    <x v="5"/>
  </r>
  <r>
    <d v="2005-02-19T00:00:00"/>
    <x v="3"/>
    <x v="0"/>
    <x v="1"/>
    <x v="2"/>
    <n v="2891.06"/>
    <x v="198"/>
    <n v="394.23"/>
    <n v="0.12"/>
    <x v="0"/>
    <n v="2"/>
    <x v="1"/>
  </r>
  <r>
    <d v="2005-03-07T00:00:00"/>
    <x v="5"/>
    <x v="2"/>
    <x v="1"/>
    <x v="3"/>
    <n v="4069.88"/>
    <x v="199"/>
    <n v="3329.9"/>
    <n v="0.45"/>
    <x v="0"/>
    <n v="3"/>
    <x v="3"/>
  </r>
  <r>
    <d v="2006-01-11T00:00:00"/>
    <x v="2"/>
    <x v="0"/>
    <x v="1"/>
    <x v="1"/>
    <n v="3163.78"/>
    <x v="200"/>
    <n v="1054.5899999999999"/>
    <n v="0.25"/>
    <x v="1"/>
    <n v="1"/>
    <x v="2"/>
  </r>
  <r>
    <d v="2004-10-12T00:00:00"/>
    <x v="4"/>
    <x v="4"/>
    <x v="0"/>
    <x v="0"/>
    <n v="2274.3000000000002"/>
    <x v="201"/>
    <n v="1646.91"/>
    <n v="0.42"/>
    <x v="2"/>
    <n v="10"/>
    <x v="0"/>
  </r>
  <r>
    <d v="2006-01-05T00:00:00"/>
    <x v="1"/>
    <x v="0"/>
    <x v="1"/>
    <x v="0"/>
    <n v="3253.48"/>
    <x v="202"/>
    <n v="1084.5"/>
    <n v="0.25"/>
    <x v="1"/>
    <n v="1"/>
    <x v="2"/>
  </r>
  <r>
    <d v="2005-01-09T00:00:00"/>
    <x v="0"/>
    <x v="1"/>
    <x v="1"/>
    <x v="3"/>
    <n v="3330.01"/>
    <x v="203"/>
    <n v="4070.02"/>
    <n v="0.55000000000000004"/>
    <x v="0"/>
    <n v="1"/>
    <x v="2"/>
  </r>
  <r>
    <d v="2005-09-07T00:00:00"/>
    <x v="2"/>
    <x v="1"/>
    <x v="2"/>
    <x v="3"/>
    <n v="1880.04"/>
    <x v="204"/>
    <n v="3201.15"/>
    <n v="0.63"/>
    <x v="0"/>
    <n v="9"/>
    <x v="6"/>
  </r>
  <r>
    <d v="2005-12-22T00:00:00"/>
    <x v="2"/>
    <x v="1"/>
    <x v="1"/>
    <x v="1"/>
    <n v="4382.95"/>
    <x v="205"/>
    <n v="597.66999999999996"/>
    <n v="0.12"/>
    <x v="0"/>
    <n v="12"/>
    <x v="4"/>
  </r>
  <r>
    <d v="2005-07-03T00:00:00"/>
    <x v="4"/>
    <x v="2"/>
    <x v="2"/>
    <x v="0"/>
    <n v="1034.1500000000001"/>
    <x v="206"/>
    <n v="748.86"/>
    <n v="0.42"/>
    <x v="0"/>
    <n v="7"/>
    <x v="9"/>
  </r>
  <r>
    <d v="2005-07-12T00:00:00"/>
    <x v="2"/>
    <x v="3"/>
    <x v="3"/>
    <x v="3"/>
    <n v="2880.9"/>
    <x v="207"/>
    <n v="392.85"/>
    <n v="0.12"/>
    <x v="0"/>
    <n v="7"/>
    <x v="9"/>
  </r>
  <r>
    <d v="2005-08-10T00:00:00"/>
    <x v="2"/>
    <x v="2"/>
    <x v="1"/>
    <x v="1"/>
    <n v="526.08000000000004"/>
    <x v="208"/>
    <n v="365.58"/>
    <n v="0.41"/>
    <x v="0"/>
    <n v="8"/>
    <x v="10"/>
  </r>
  <r>
    <d v="2004-07-01T00:00:00"/>
    <x v="2"/>
    <x v="4"/>
    <x v="0"/>
    <x v="2"/>
    <n v="3960.83"/>
    <x v="209"/>
    <n v="3240.68"/>
    <n v="0.45"/>
    <x v="2"/>
    <n v="7"/>
    <x v="9"/>
  </r>
  <r>
    <d v="2005-02-19T00:00:00"/>
    <x v="0"/>
    <x v="4"/>
    <x v="0"/>
    <x v="3"/>
    <n v="116.92"/>
    <x v="210"/>
    <n v="55.02"/>
    <n v="0.32"/>
    <x v="0"/>
    <n v="2"/>
    <x v="1"/>
  </r>
  <r>
    <d v="2006-04-19T00:00:00"/>
    <x v="5"/>
    <x v="4"/>
    <x v="3"/>
    <x v="1"/>
    <n v="4338.3999999999996"/>
    <x v="211"/>
    <n v="3014.82"/>
    <n v="0.41"/>
    <x v="1"/>
    <n v="4"/>
    <x v="8"/>
  </r>
  <r>
    <d v="2005-09-25T00:00:00"/>
    <x v="0"/>
    <x v="2"/>
    <x v="1"/>
    <x v="2"/>
    <n v="1503.71"/>
    <x v="212"/>
    <n v="501.24"/>
    <n v="0.25"/>
    <x v="0"/>
    <n v="9"/>
    <x v="6"/>
  </r>
  <r>
    <d v="2005-05-28T00:00:00"/>
    <x v="2"/>
    <x v="1"/>
    <x v="2"/>
    <x v="1"/>
    <n v="1681.55"/>
    <x v="213"/>
    <n v="2055.2199999999998"/>
    <n v="0.55000000000000004"/>
    <x v="0"/>
    <n v="5"/>
    <x v="7"/>
  </r>
  <r>
    <d v="2005-08-29T00:00:00"/>
    <x v="5"/>
    <x v="1"/>
    <x v="2"/>
    <x v="1"/>
    <n v="8149.08"/>
    <x v="214"/>
    <n v="566.51"/>
    <n v="6.5000000000000002E-2"/>
    <x v="0"/>
    <n v="8"/>
    <x v="10"/>
  </r>
  <r>
    <d v="2005-12-16T00:00:00"/>
    <x v="0"/>
    <x v="4"/>
    <x v="3"/>
    <x v="2"/>
    <n v="3978.19"/>
    <x v="215"/>
    <n v="2880.75"/>
    <n v="0.42"/>
    <x v="0"/>
    <n v="12"/>
    <x v="4"/>
  </r>
  <r>
    <d v="2006-04-03T00:00:00"/>
    <x v="5"/>
    <x v="4"/>
    <x v="3"/>
    <x v="1"/>
    <n v="8792.4699999999993"/>
    <x v="216"/>
    <n v="1198.97"/>
    <n v="0.12"/>
    <x v="1"/>
    <n v="4"/>
    <x v="8"/>
  </r>
  <r>
    <d v="2005-08-24T00:00:00"/>
    <x v="4"/>
    <x v="1"/>
    <x v="3"/>
    <x v="3"/>
    <n v="923.91"/>
    <x v="217"/>
    <n v="125.99"/>
    <n v="0.12"/>
    <x v="0"/>
    <n v="8"/>
    <x v="10"/>
  </r>
  <r>
    <d v="2005-10-09T00:00:00"/>
    <x v="4"/>
    <x v="0"/>
    <x v="3"/>
    <x v="1"/>
    <n v="2970.66"/>
    <x v="218"/>
    <n v="206.52"/>
    <n v="6.5000000000000002E-2"/>
    <x v="0"/>
    <n v="10"/>
    <x v="0"/>
  </r>
  <r>
    <d v="2005-09-10T00:00:00"/>
    <x v="5"/>
    <x v="4"/>
    <x v="0"/>
    <x v="0"/>
    <n v="3060.27"/>
    <x v="219"/>
    <n v="2503.86"/>
    <n v="0.45"/>
    <x v="0"/>
    <n v="9"/>
    <x v="6"/>
  </r>
  <r>
    <d v="2006-01-05T00:00:00"/>
    <x v="5"/>
    <x v="0"/>
    <x v="1"/>
    <x v="1"/>
    <n v="122.82"/>
    <x v="220"/>
    <n v="8.5399999999999991"/>
    <n v="6.5000000000000002E-2"/>
    <x v="1"/>
    <n v="1"/>
    <x v="2"/>
  </r>
  <r>
    <d v="2004-11-02T00:00:00"/>
    <x v="1"/>
    <x v="3"/>
    <x v="2"/>
    <x v="0"/>
    <n v="8311.74"/>
    <x v="221"/>
    <n v="1133.42"/>
    <n v="0.12"/>
    <x v="2"/>
    <n v="11"/>
    <x v="11"/>
  </r>
  <r>
    <d v="2004-08-10T00:00:00"/>
    <x v="0"/>
    <x v="0"/>
    <x v="3"/>
    <x v="1"/>
    <n v="5686.04"/>
    <x v="222"/>
    <n v="4117.47"/>
    <n v="0.42"/>
    <x v="2"/>
    <n v="8"/>
    <x v="10"/>
  </r>
  <r>
    <d v="2005-10-20T00:00:00"/>
    <x v="5"/>
    <x v="1"/>
    <x v="2"/>
    <x v="1"/>
    <n v="612.13"/>
    <x v="223"/>
    <n v="748.15"/>
    <n v="0.55000000000000004"/>
    <x v="0"/>
    <n v="10"/>
    <x v="0"/>
  </r>
  <r>
    <d v="2005-04-11T00:00:00"/>
    <x v="0"/>
    <x v="0"/>
    <x v="2"/>
    <x v="3"/>
    <n v="3296.17"/>
    <x v="224"/>
    <n v="449.48"/>
    <n v="0.12"/>
    <x v="0"/>
    <n v="4"/>
    <x v="8"/>
  </r>
  <r>
    <d v="2005-07-27T00:00:00"/>
    <x v="3"/>
    <x v="4"/>
    <x v="1"/>
    <x v="1"/>
    <n v="2807.34"/>
    <x v="225"/>
    <n v="2296.92"/>
    <n v="0.45"/>
    <x v="0"/>
    <n v="7"/>
    <x v="9"/>
  </r>
  <r>
    <d v="2004-10-18T00:00:00"/>
    <x v="4"/>
    <x v="0"/>
    <x v="3"/>
    <x v="1"/>
    <n v="427.9"/>
    <x v="226"/>
    <n v="201.37"/>
    <n v="0.32"/>
    <x v="2"/>
    <n v="10"/>
    <x v="0"/>
  </r>
  <r>
    <d v="2006-06-11T00:00:00"/>
    <x v="0"/>
    <x v="4"/>
    <x v="3"/>
    <x v="0"/>
    <n v="3427.84"/>
    <x v="227"/>
    <n v="2382.06"/>
    <n v="0.41"/>
    <x v="1"/>
    <n v="6"/>
    <x v="5"/>
  </r>
  <r>
    <d v="2006-05-03T00:00:00"/>
    <x v="0"/>
    <x v="0"/>
    <x v="0"/>
    <x v="0"/>
    <n v="1978.15"/>
    <x v="228"/>
    <n v="137.52000000000001"/>
    <n v="6.5000000000000002E-2"/>
    <x v="1"/>
    <n v="5"/>
    <x v="7"/>
  </r>
  <r>
    <d v="2004-08-13T00:00:00"/>
    <x v="1"/>
    <x v="2"/>
    <x v="2"/>
    <x v="3"/>
    <n v="852.83"/>
    <x v="229"/>
    <n v="617.57000000000005"/>
    <n v="0.42"/>
    <x v="2"/>
    <n v="8"/>
    <x v="10"/>
  </r>
  <r>
    <d v="2004-10-28T00:00:00"/>
    <x v="4"/>
    <x v="1"/>
    <x v="3"/>
    <x v="0"/>
    <n v="5717.72"/>
    <x v="230"/>
    <n v="2690.69"/>
    <n v="0.32"/>
    <x v="2"/>
    <n v="10"/>
    <x v="0"/>
  </r>
  <r>
    <d v="2006-05-30T00:00:00"/>
    <x v="5"/>
    <x v="2"/>
    <x v="0"/>
    <x v="3"/>
    <n v="1117.5"/>
    <x v="231"/>
    <n v="776.57"/>
    <n v="0.41"/>
    <x v="1"/>
    <n v="5"/>
    <x v="7"/>
  </r>
  <r>
    <d v="2005-02-23T00:00:00"/>
    <x v="2"/>
    <x v="4"/>
    <x v="3"/>
    <x v="0"/>
    <n v="3422.95"/>
    <x v="232"/>
    <n v="466.77"/>
    <n v="0.12"/>
    <x v="0"/>
    <n v="2"/>
    <x v="1"/>
  </r>
  <r>
    <d v="2004-09-23T00:00:00"/>
    <x v="1"/>
    <x v="3"/>
    <x v="1"/>
    <x v="3"/>
    <n v="4597.51"/>
    <x v="233"/>
    <n v="1532.5"/>
    <n v="0.25"/>
    <x v="2"/>
    <n v="9"/>
    <x v="6"/>
  </r>
  <r>
    <d v="2005-03-23T00:00:00"/>
    <x v="5"/>
    <x v="4"/>
    <x v="1"/>
    <x v="2"/>
    <n v="944.41"/>
    <x v="234"/>
    <n v="1608.05"/>
    <n v="0.63"/>
    <x v="0"/>
    <n v="3"/>
    <x v="3"/>
  </r>
  <r>
    <d v="2004-10-28T00:00:00"/>
    <x v="2"/>
    <x v="1"/>
    <x v="0"/>
    <x v="0"/>
    <n v="499.14"/>
    <x v="235"/>
    <n v="610.04999999999995"/>
    <n v="0.55000000000000004"/>
    <x v="2"/>
    <n v="10"/>
    <x v="0"/>
  </r>
  <r>
    <d v="2004-08-06T00:00:00"/>
    <x v="4"/>
    <x v="1"/>
    <x v="0"/>
    <x v="2"/>
    <n v="1254.29"/>
    <x v="236"/>
    <n v="2135.6799999999998"/>
    <n v="0.63"/>
    <x v="2"/>
    <n v="8"/>
    <x v="10"/>
  </r>
  <r>
    <d v="2005-12-09T00:00:00"/>
    <x v="2"/>
    <x v="1"/>
    <x v="1"/>
    <x v="3"/>
    <n v="6619.09"/>
    <x v="237"/>
    <n v="3114.86"/>
    <n v="0.32"/>
    <x v="0"/>
    <n v="12"/>
    <x v="4"/>
  </r>
  <r>
    <d v="2004-09-28T00:00:00"/>
    <x v="0"/>
    <x v="3"/>
    <x v="0"/>
    <x v="0"/>
    <n v="1582.75"/>
    <x v="238"/>
    <n v="744.82"/>
    <n v="0.32"/>
    <x v="2"/>
    <n v="9"/>
    <x v="6"/>
  </r>
  <r>
    <d v="2005-06-10T00:00:00"/>
    <x v="0"/>
    <x v="3"/>
    <x v="1"/>
    <x v="0"/>
    <n v="5331.83"/>
    <x v="239"/>
    <n v="370.66"/>
    <n v="6.5000000000000002E-2"/>
    <x v="0"/>
    <n v="6"/>
    <x v="5"/>
  </r>
  <r>
    <d v="2004-08-18T00:00:00"/>
    <x v="2"/>
    <x v="0"/>
    <x v="0"/>
    <x v="3"/>
    <n v="2991.76"/>
    <x v="240"/>
    <n v="997.26"/>
    <n v="0.25"/>
    <x v="2"/>
    <n v="8"/>
    <x v="10"/>
  </r>
  <r>
    <d v="2005-11-21T00:00:00"/>
    <x v="4"/>
    <x v="0"/>
    <x v="0"/>
    <x v="3"/>
    <n v="3180.82"/>
    <x v="241"/>
    <n v="5415.98"/>
    <n v="0.63"/>
    <x v="0"/>
    <n v="11"/>
    <x v="11"/>
  </r>
  <r>
    <d v="2004-12-06T00:00:00"/>
    <x v="1"/>
    <x v="3"/>
    <x v="1"/>
    <x v="3"/>
    <n v="31.75"/>
    <x v="242"/>
    <n v="14.94"/>
    <n v="0.32"/>
    <x v="2"/>
    <n v="12"/>
    <x v="4"/>
  </r>
  <r>
    <d v="2004-10-03T00:00:00"/>
    <x v="5"/>
    <x v="4"/>
    <x v="0"/>
    <x v="0"/>
    <n v="2774.78"/>
    <x v="243"/>
    <n v="3678.19"/>
    <n v="0.56999999999999995"/>
    <x v="2"/>
    <n v="10"/>
    <x v="0"/>
  </r>
  <r>
    <d v="2005-08-11T00:00:00"/>
    <x v="2"/>
    <x v="3"/>
    <x v="1"/>
    <x v="3"/>
    <n v="2583.56"/>
    <x v="244"/>
    <n v="352.3"/>
    <n v="0.12"/>
    <x v="0"/>
    <n v="8"/>
    <x v="10"/>
  </r>
  <r>
    <d v="2004-10-06T00:00:00"/>
    <x v="5"/>
    <x v="3"/>
    <x v="3"/>
    <x v="2"/>
    <n v="1547.15"/>
    <x v="245"/>
    <n v="1890.96"/>
    <n v="0.55000000000000004"/>
    <x v="2"/>
    <n v="10"/>
    <x v="0"/>
  </r>
  <r>
    <d v="2005-02-10T00:00:00"/>
    <x v="4"/>
    <x v="2"/>
    <x v="0"/>
    <x v="2"/>
    <n v="3806.21"/>
    <x v="246"/>
    <n v="5045.43"/>
    <n v="0.56999999999999995"/>
    <x v="0"/>
    <n v="2"/>
    <x v="1"/>
  </r>
  <r>
    <d v="2005-02-27T00:00:00"/>
    <x v="1"/>
    <x v="1"/>
    <x v="3"/>
    <x v="3"/>
    <n v="2790.27"/>
    <x v="247"/>
    <n v="3410.32"/>
    <n v="0.55000000000000004"/>
    <x v="0"/>
    <n v="2"/>
    <x v="1"/>
  </r>
  <r>
    <d v="2004-10-29T00:00:00"/>
    <x v="5"/>
    <x v="0"/>
    <x v="3"/>
    <x v="0"/>
    <n v="89.37"/>
    <x v="248"/>
    <n v="62.1"/>
    <n v="0.41"/>
    <x v="2"/>
    <n v="10"/>
    <x v="0"/>
  </r>
  <r>
    <d v="2005-03-05T00:00:00"/>
    <x v="4"/>
    <x v="4"/>
    <x v="2"/>
    <x v="1"/>
    <n v="3412.38"/>
    <x v="249"/>
    <n v="2471.04"/>
    <n v="0.42"/>
    <x v="0"/>
    <n v="3"/>
    <x v="3"/>
  </r>
  <r>
    <d v="2005-04-20T00:00:00"/>
    <x v="5"/>
    <x v="4"/>
    <x v="3"/>
    <x v="0"/>
    <n v="3970.29"/>
    <x v="250"/>
    <n v="5262.95"/>
    <n v="0.56999999999999995"/>
    <x v="0"/>
    <n v="4"/>
    <x v="8"/>
  </r>
  <r>
    <d v="2005-06-24T00:00:00"/>
    <x v="0"/>
    <x v="2"/>
    <x v="0"/>
    <x v="0"/>
    <n v="1402.97"/>
    <x v="251"/>
    <n v="191.31"/>
    <n v="0.12"/>
    <x v="0"/>
    <n v="6"/>
    <x v="5"/>
  </r>
  <r>
    <d v="2005-12-31T00:00:00"/>
    <x v="0"/>
    <x v="3"/>
    <x v="2"/>
    <x v="2"/>
    <n v="4764.7"/>
    <x v="252"/>
    <n v="3898.4"/>
    <n v="0.45"/>
    <x v="0"/>
    <n v="12"/>
    <x v="4"/>
  </r>
  <r>
    <d v="2005-02-10T00:00:00"/>
    <x v="1"/>
    <x v="4"/>
    <x v="2"/>
    <x v="0"/>
    <n v="2590.35"/>
    <x v="253"/>
    <n v="353.23"/>
    <n v="0.12"/>
    <x v="0"/>
    <n v="2"/>
    <x v="1"/>
  </r>
  <r>
    <d v="2004-08-20T00:00:00"/>
    <x v="3"/>
    <x v="0"/>
    <x v="3"/>
    <x v="3"/>
    <n v="2734.87"/>
    <x v="254"/>
    <n v="1900.51"/>
    <n v="0.41"/>
    <x v="2"/>
    <n v="8"/>
    <x v="10"/>
  </r>
  <r>
    <d v="2006-03-26T00:00:00"/>
    <x v="2"/>
    <x v="3"/>
    <x v="1"/>
    <x v="1"/>
    <n v="1619.56"/>
    <x v="255"/>
    <n v="1979.47"/>
    <n v="0.55000000000000004"/>
    <x v="1"/>
    <n v="3"/>
    <x v="3"/>
  </r>
  <r>
    <d v="2004-09-23T00:00:00"/>
    <x v="1"/>
    <x v="4"/>
    <x v="3"/>
    <x v="3"/>
    <n v="4089.39"/>
    <x v="256"/>
    <n v="5420.81"/>
    <n v="0.56999999999999995"/>
    <x v="2"/>
    <n v="9"/>
    <x v="6"/>
  </r>
  <r>
    <d v="2005-07-11T00:00:00"/>
    <x v="3"/>
    <x v="4"/>
    <x v="2"/>
    <x v="0"/>
    <n v="5096.54"/>
    <x v="257"/>
    <n v="3541.66"/>
    <n v="0.41"/>
    <x v="0"/>
    <n v="7"/>
    <x v="9"/>
  </r>
  <r>
    <d v="2005-10-05T00:00:00"/>
    <x v="0"/>
    <x v="4"/>
    <x v="1"/>
    <x v="0"/>
    <n v="1365.32"/>
    <x v="258"/>
    <n v="186.18"/>
    <n v="0.12"/>
    <x v="0"/>
    <n v="10"/>
    <x v="0"/>
  </r>
  <r>
    <d v="2006-04-16T00:00:00"/>
    <x v="0"/>
    <x v="1"/>
    <x v="3"/>
    <x v="1"/>
    <n v="2986.66"/>
    <x v="259"/>
    <n v="1405.48"/>
    <n v="0.32"/>
    <x v="1"/>
    <n v="4"/>
    <x v="8"/>
  </r>
  <r>
    <d v="2005-12-17T00:00:00"/>
    <x v="5"/>
    <x v="3"/>
    <x v="0"/>
    <x v="2"/>
    <n v="1528.84"/>
    <x v="260"/>
    <n v="1250.8599999999999"/>
    <n v="0.45"/>
    <x v="0"/>
    <n v="12"/>
    <x v="4"/>
  </r>
  <r>
    <d v="2004-08-21T00:00:00"/>
    <x v="5"/>
    <x v="4"/>
    <x v="3"/>
    <x v="1"/>
    <n v="1381.91"/>
    <x v="261"/>
    <n v="650.30999999999995"/>
    <n v="0.32"/>
    <x v="2"/>
    <n v="8"/>
    <x v="10"/>
  </r>
  <r>
    <d v="2004-10-11T00:00:00"/>
    <x v="3"/>
    <x v="1"/>
    <x v="1"/>
    <x v="2"/>
    <n v="1094.3499999999999"/>
    <x v="262"/>
    <n v="149.22999999999999"/>
    <n v="0.12"/>
    <x v="2"/>
    <n v="10"/>
    <x v="0"/>
  </r>
  <r>
    <d v="2004-09-19T00:00:00"/>
    <x v="4"/>
    <x v="4"/>
    <x v="0"/>
    <x v="0"/>
    <n v="5342.11"/>
    <x v="263"/>
    <n v="371.38"/>
    <n v="6.5000000000000002E-2"/>
    <x v="2"/>
    <n v="9"/>
    <x v="6"/>
  </r>
  <r>
    <d v="2005-09-13T00:00:00"/>
    <x v="2"/>
    <x v="3"/>
    <x v="0"/>
    <x v="0"/>
    <n v="2402.11"/>
    <x v="264"/>
    <n v="1669.27"/>
    <n v="0.41"/>
    <x v="0"/>
    <n v="9"/>
    <x v="6"/>
  </r>
  <r>
    <d v="2005-03-21T00:00:00"/>
    <x v="2"/>
    <x v="3"/>
    <x v="0"/>
    <x v="3"/>
    <n v="3280.31"/>
    <x v="265"/>
    <n v="2279.5300000000002"/>
    <n v="0.41"/>
    <x v="0"/>
    <n v="3"/>
    <x v="3"/>
  </r>
  <r>
    <d v="2005-05-30T00:00:00"/>
    <x v="1"/>
    <x v="1"/>
    <x v="1"/>
    <x v="2"/>
    <n v="222.68"/>
    <x v="266"/>
    <n v="272.16000000000003"/>
    <n v="0.55000000000000004"/>
    <x v="0"/>
    <n v="5"/>
    <x v="7"/>
  </r>
  <r>
    <d v="2005-12-18T00:00:00"/>
    <x v="2"/>
    <x v="0"/>
    <x v="0"/>
    <x v="2"/>
    <n v="3553.81"/>
    <x v="267"/>
    <n v="6051.08"/>
    <n v="0.63"/>
    <x v="0"/>
    <n v="12"/>
    <x v="4"/>
  </r>
  <r>
    <d v="2005-12-27T00:00:00"/>
    <x v="2"/>
    <x v="0"/>
    <x v="0"/>
    <x v="3"/>
    <n v="6101.1"/>
    <x v="268"/>
    <n v="2871.1"/>
    <n v="0.32"/>
    <x v="0"/>
    <n v="12"/>
    <x v="4"/>
  </r>
  <r>
    <d v="2005-04-03T00:00:00"/>
    <x v="5"/>
    <x v="1"/>
    <x v="3"/>
    <x v="1"/>
    <n v="732.19"/>
    <x v="269"/>
    <n v="1246.7"/>
    <n v="0.63"/>
    <x v="0"/>
    <n v="4"/>
    <x v="8"/>
  </r>
  <r>
    <d v="2005-02-08T00:00:00"/>
    <x v="2"/>
    <x v="0"/>
    <x v="1"/>
    <x v="0"/>
    <n v="2180.04"/>
    <x v="270"/>
    <n v="297.27999999999997"/>
    <n v="0.12"/>
    <x v="0"/>
    <n v="2"/>
    <x v="1"/>
  </r>
  <r>
    <d v="2005-07-11T00:00:00"/>
    <x v="4"/>
    <x v="4"/>
    <x v="0"/>
    <x v="3"/>
    <n v="4211.18"/>
    <x v="271"/>
    <n v="3049.48"/>
    <n v="0.42"/>
    <x v="0"/>
    <n v="7"/>
    <x v="9"/>
  </r>
  <r>
    <d v="2005-11-17T00:00:00"/>
    <x v="2"/>
    <x v="4"/>
    <x v="0"/>
    <x v="3"/>
    <n v="4276.92"/>
    <x v="272"/>
    <n v="5669.4"/>
    <n v="0.56999999999999995"/>
    <x v="0"/>
    <n v="11"/>
    <x v="11"/>
  </r>
  <r>
    <d v="2005-12-03T00:00:00"/>
    <x v="3"/>
    <x v="3"/>
    <x v="0"/>
    <x v="3"/>
    <n v="1011.25"/>
    <x v="273"/>
    <n v="475.88"/>
    <n v="0.32"/>
    <x v="0"/>
    <n v="12"/>
    <x v="4"/>
  </r>
  <r>
    <d v="2006-03-24T00:00:00"/>
    <x v="3"/>
    <x v="0"/>
    <x v="2"/>
    <x v="2"/>
    <n v="141.08000000000001"/>
    <x v="274"/>
    <n v="172.44"/>
    <n v="0.55000000000000004"/>
    <x v="1"/>
    <n v="3"/>
    <x v="3"/>
  </r>
  <r>
    <d v="2005-10-24T00:00:00"/>
    <x v="5"/>
    <x v="0"/>
    <x v="1"/>
    <x v="3"/>
    <n v="1798.34"/>
    <x v="275"/>
    <n v="245.23"/>
    <n v="0.12"/>
    <x v="0"/>
    <n v="10"/>
    <x v="0"/>
  </r>
  <r>
    <d v="2004-10-02T00:00:00"/>
    <x v="1"/>
    <x v="2"/>
    <x v="0"/>
    <x v="3"/>
    <n v="2578.5100000000002"/>
    <x v="276"/>
    <n v="351.62"/>
    <n v="0.12"/>
    <x v="2"/>
    <n v="10"/>
    <x v="0"/>
  </r>
  <r>
    <d v="2005-04-20T00:00:00"/>
    <x v="2"/>
    <x v="4"/>
    <x v="0"/>
    <x v="0"/>
    <n v="4501.76"/>
    <x v="277"/>
    <n v="1500.58"/>
    <n v="0.25"/>
    <x v="0"/>
    <n v="4"/>
    <x v="8"/>
  </r>
  <r>
    <d v="2005-01-07T00:00:00"/>
    <x v="0"/>
    <x v="4"/>
    <x v="3"/>
    <x v="0"/>
    <n v="2486.46"/>
    <x v="278"/>
    <n v="4233.6899999999996"/>
    <n v="0.63"/>
    <x v="0"/>
    <n v="1"/>
    <x v="2"/>
  </r>
  <r>
    <d v="2004-08-08T00:00:00"/>
    <x v="5"/>
    <x v="0"/>
    <x v="1"/>
    <x v="3"/>
    <n v="7632.07"/>
    <x v="279"/>
    <n v="530.57000000000005"/>
    <n v="6.5000000000000002E-2"/>
    <x v="2"/>
    <n v="8"/>
    <x v="10"/>
  </r>
  <r>
    <d v="2005-10-15T00:00:00"/>
    <x v="5"/>
    <x v="0"/>
    <x v="3"/>
    <x v="1"/>
    <n v="815.21"/>
    <x v="280"/>
    <n v="566.5"/>
    <n v="0.41"/>
    <x v="0"/>
    <n v="10"/>
    <x v="0"/>
  </r>
  <r>
    <d v="2004-08-10T00:00:00"/>
    <x v="0"/>
    <x v="2"/>
    <x v="0"/>
    <x v="2"/>
    <n v="234.09"/>
    <x v="281"/>
    <n v="31.92"/>
    <n v="0.12"/>
    <x v="2"/>
    <n v="8"/>
    <x v="10"/>
  </r>
  <r>
    <d v="2005-04-15T00:00:00"/>
    <x v="2"/>
    <x v="1"/>
    <x v="2"/>
    <x v="2"/>
    <n v="4387.37"/>
    <x v="282"/>
    <n v="3048.85"/>
    <n v="0.41"/>
    <x v="0"/>
    <n v="4"/>
    <x v="8"/>
  </r>
  <r>
    <d v="2004-06-23T00:00:00"/>
    <x v="0"/>
    <x v="2"/>
    <x v="1"/>
    <x v="1"/>
    <n v="776.83"/>
    <x v="283"/>
    <n v="635.59"/>
    <n v="0.45"/>
    <x v="2"/>
    <n v="6"/>
    <x v="5"/>
  </r>
  <r>
    <d v="2005-12-31T00:00:00"/>
    <x v="2"/>
    <x v="3"/>
    <x v="2"/>
    <x v="1"/>
    <n v="2963.68"/>
    <x v="284"/>
    <n v="2059.5"/>
    <n v="0.41"/>
    <x v="0"/>
    <n v="12"/>
    <x v="4"/>
  </r>
  <r>
    <d v="2004-07-28T00:00:00"/>
    <x v="5"/>
    <x v="0"/>
    <x v="1"/>
    <x v="0"/>
    <n v="4400.1099999999997"/>
    <x v="285"/>
    <n v="600.01"/>
    <n v="0.12"/>
    <x v="2"/>
    <n v="7"/>
    <x v="9"/>
  </r>
  <r>
    <d v="2005-12-26T00:00:00"/>
    <x v="3"/>
    <x v="1"/>
    <x v="3"/>
    <x v="1"/>
    <n v="1063.79"/>
    <x v="286"/>
    <n v="1410.14"/>
    <n v="0.56999999999999995"/>
    <x v="0"/>
    <n v="12"/>
    <x v="4"/>
  </r>
  <r>
    <d v="2005-02-27T00:00:00"/>
    <x v="1"/>
    <x v="0"/>
    <x v="3"/>
    <x v="2"/>
    <n v="5257.49"/>
    <x v="287"/>
    <n v="716.93"/>
    <n v="0.12"/>
    <x v="0"/>
    <n v="2"/>
    <x v="1"/>
  </r>
  <r>
    <d v="2005-12-14T00:00:00"/>
    <x v="3"/>
    <x v="2"/>
    <x v="3"/>
    <x v="1"/>
    <n v="1066.29"/>
    <x v="288"/>
    <n v="872.41"/>
    <n v="0.45"/>
    <x v="0"/>
    <n v="12"/>
    <x v="4"/>
  </r>
  <r>
    <d v="2005-01-05T00:00:00"/>
    <x v="1"/>
    <x v="3"/>
    <x v="2"/>
    <x v="1"/>
    <n v="568.01"/>
    <x v="289"/>
    <n v="752.95"/>
    <n v="0.56999999999999995"/>
    <x v="0"/>
    <n v="1"/>
    <x v="2"/>
  </r>
  <r>
    <d v="2006-03-23T00:00:00"/>
    <x v="4"/>
    <x v="2"/>
    <x v="0"/>
    <x v="2"/>
    <n v="1496.69"/>
    <x v="290"/>
    <n v="1224.57"/>
    <n v="0.45"/>
    <x v="1"/>
    <n v="3"/>
    <x v="3"/>
  </r>
  <r>
    <d v="2006-04-15T00:00:00"/>
    <x v="5"/>
    <x v="4"/>
    <x v="2"/>
    <x v="0"/>
    <n v="1182.05"/>
    <x v="291"/>
    <n v="2012.67"/>
    <n v="0.63"/>
    <x v="1"/>
    <n v="4"/>
    <x v="8"/>
  </r>
  <r>
    <d v="2005-05-12T00:00:00"/>
    <x v="3"/>
    <x v="4"/>
    <x v="2"/>
    <x v="1"/>
    <n v="366.03"/>
    <x v="292"/>
    <n v="25.45"/>
    <n v="6.5000000000000002E-2"/>
    <x v="0"/>
    <n v="5"/>
    <x v="7"/>
  </r>
  <r>
    <d v="2005-02-01T00:00:00"/>
    <x v="1"/>
    <x v="4"/>
    <x v="2"/>
    <x v="0"/>
    <n v="9318.9599999999991"/>
    <x v="293"/>
    <n v="647.84"/>
    <n v="6.5000000000000002E-2"/>
    <x v="0"/>
    <n v="2"/>
    <x v="1"/>
  </r>
  <r>
    <d v="2005-01-02T00:00:00"/>
    <x v="4"/>
    <x v="0"/>
    <x v="0"/>
    <x v="3"/>
    <n v="2423.75"/>
    <x v="294"/>
    <n v="1983.06"/>
    <n v="0.45"/>
    <x v="0"/>
    <n v="1"/>
    <x v="2"/>
  </r>
  <r>
    <d v="2005-01-28T00:00:00"/>
    <x v="2"/>
    <x v="0"/>
    <x v="3"/>
    <x v="3"/>
    <n v="1917.9"/>
    <x v="295"/>
    <n v="3265.61"/>
    <n v="0.63"/>
    <x v="0"/>
    <n v="1"/>
    <x v="2"/>
  </r>
  <r>
    <d v="2005-03-01T00:00:00"/>
    <x v="5"/>
    <x v="3"/>
    <x v="0"/>
    <x v="3"/>
    <n v="5672.61"/>
    <x v="296"/>
    <n v="1890.87"/>
    <n v="0.25"/>
    <x v="0"/>
    <n v="3"/>
    <x v="3"/>
  </r>
  <r>
    <d v="2004-12-03T00:00:00"/>
    <x v="5"/>
    <x v="2"/>
    <x v="2"/>
    <x v="0"/>
    <n v="1514.95"/>
    <x v="297"/>
    <n v="712.92"/>
    <n v="0.32"/>
    <x v="2"/>
    <n v="12"/>
    <x v="4"/>
  </r>
  <r>
    <d v="2005-09-05T00:00:00"/>
    <x v="4"/>
    <x v="2"/>
    <x v="2"/>
    <x v="3"/>
    <n v="6648.68"/>
    <x v="298"/>
    <n v="2216.23"/>
    <n v="0.25"/>
    <x v="0"/>
    <n v="9"/>
    <x v="6"/>
  </r>
  <r>
    <d v="2005-08-26T00:00:00"/>
    <x v="2"/>
    <x v="1"/>
    <x v="3"/>
    <x v="2"/>
    <n v="1041.69"/>
    <x v="299"/>
    <n v="1773.7"/>
    <n v="0.63"/>
    <x v="0"/>
    <n v="8"/>
    <x v="10"/>
  </r>
  <r>
    <d v="2005-05-17T00:00:00"/>
    <x v="3"/>
    <x v="3"/>
    <x v="2"/>
    <x v="1"/>
    <n v="1123.73"/>
    <x v="300"/>
    <n v="78.12"/>
    <n v="6.5000000000000002E-2"/>
    <x v="0"/>
    <n v="5"/>
    <x v="7"/>
  </r>
  <r>
    <d v="2005-01-25T00:00:00"/>
    <x v="1"/>
    <x v="2"/>
    <x v="1"/>
    <x v="1"/>
    <n v="3998.84"/>
    <x v="301"/>
    <n v="4887.46"/>
    <n v="0.55000000000000004"/>
    <x v="0"/>
    <n v="1"/>
    <x v="2"/>
  </r>
  <r>
    <d v="2004-11-13T00:00:00"/>
    <x v="5"/>
    <x v="4"/>
    <x v="1"/>
    <x v="0"/>
    <n v="3755.38"/>
    <x v="302"/>
    <n v="512.1"/>
    <n v="0.12"/>
    <x v="2"/>
    <n v="11"/>
    <x v="11"/>
  </r>
  <r>
    <d v="2006-02-20T00:00:00"/>
    <x v="4"/>
    <x v="4"/>
    <x v="3"/>
    <x v="3"/>
    <n v="1201.33"/>
    <x v="303"/>
    <n v="400.44"/>
    <n v="0.25"/>
    <x v="1"/>
    <n v="2"/>
    <x v="1"/>
  </r>
  <r>
    <d v="2004-06-17T00:00:00"/>
    <x v="1"/>
    <x v="2"/>
    <x v="2"/>
    <x v="1"/>
    <n v="6305"/>
    <x v="304"/>
    <n v="2967.06"/>
    <n v="0.32"/>
    <x v="2"/>
    <n v="6"/>
    <x v="5"/>
  </r>
  <r>
    <d v="2006-02-05T00:00:00"/>
    <x v="5"/>
    <x v="0"/>
    <x v="2"/>
    <x v="3"/>
    <n v="486.17"/>
    <x v="305"/>
    <n v="644.46"/>
    <n v="0.56999999999999995"/>
    <x v="1"/>
    <n v="2"/>
    <x v="1"/>
  </r>
  <r>
    <d v="2005-06-19T00:00:00"/>
    <x v="4"/>
    <x v="2"/>
    <x v="1"/>
    <x v="1"/>
    <n v="1521.45"/>
    <x v="306"/>
    <n v="2016.81"/>
    <n v="0.56999999999999995"/>
    <x v="0"/>
    <n v="6"/>
    <x v="5"/>
  </r>
  <r>
    <d v="2004-12-08T00:00:00"/>
    <x v="4"/>
    <x v="2"/>
    <x v="2"/>
    <x v="1"/>
    <n v="5488.98"/>
    <x v="307"/>
    <n v="3814.37"/>
    <n v="0.41"/>
    <x v="2"/>
    <n v="12"/>
    <x v="4"/>
  </r>
  <r>
    <d v="2005-04-14T00:00:00"/>
    <x v="0"/>
    <x v="1"/>
    <x v="3"/>
    <x v="3"/>
    <n v="2823.15"/>
    <x v="308"/>
    <n v="3450.51"/>
    <n v="0.55000000000000004"/>
    <x v="0"/>
    <n v="4"/>
    <x v="8"/>
  </r>
  <r>
    <d v="2006-03-07T00:00:00"/>
    <x v="5"/>
    <x v="3"/>
    <x v="2"/>
    <x v="0"/>
    <n v="2672.18"/>
    <x v="309"/>
    <n v="2186.33"/>
    <n v="0.45"/>
    <x v="1"/>
    <n v="3"/>
    <x v="3"/>
  </r>
  <r>
    <d v="2004-09-08T00:00:00"/>
    <x v="2"/>
    <x v="0"/>
    <x v="2"/>
    <x v="1"/>
    <n v="1160.24"/>
    <x v="310"/>
    <n v="1538"/>
    <n v="0.56999999999999995"/>
    <x v="2"/>
    <n v="9"/>
    <x v="6"/>
  </r>
  <r>
    <d v="2004-06-17T00:00:00"/>
    <x v="0"/>
    <x v="1"/>
    <x v="1"/>
    <x v="2"/>
    <n v="8271.49"/>
    <x v="311"/>
    <n v="1127.93"/>
    <n v="0.12"/>
    <x v="2"/>
    <n v="6"/>
    <x v="5"/>
  </r>
  <r>
    <d v="2004-11-26T00:00:00"/>
    <x v="5"/>
    <x v="2"/>
    <x v="1"/>
    <x v="1"/>
    <n v="3238.57"/>
    <x v="312"/>
    <n v="225.14"/>
    <n v="6.5000000000000002E-2"/>
    <x v="2"/>
    <n v="11"/>
    <x v="11"/>
  </r>
  <r>
    <d v="2005-12-01T00:00:00"/>
    <x v="1"/>
    <x v="3"/>
    <x v="3"/>
    <x v="2"/>
    <n v="1459.53"/>
    <x v="313"/>
    <n v="101.46"/>
    <n v="6.5000000000000002E-2"/>
    <x v="0"/>
    <n v="12"/>
    <x v="4"/>
  </r>
  <r>
    <d v="2005-02-15T00:00:00"/>
    <x v="4"/>
    <x v="0"/>
    <x v="3"/>
    <x v="0"/>
    <n v="5537.94"/>
    <x v="314"/>
    <n v="3848.4"/>
    <n v="0.41"/>
    <x v="0"/>
    <n v="2"/>
    <x v="1"/>
  </r>
  <r>
    <d v="2006-05-01T00:00:00"/>
    <x v="1"/>
    <x v="0"/>
    <x v="1"/>
    <x v="2"/>
    <n v="3084.07"/>
    <x v="315"/>
    <n v="2233.3000000000002"/>
    <n v="0.42"/>
    <x v="1"/>
    <n v="5"/>
    <x v="7"/>
  </r>
  <r>
    <d v="2006-04-13T00:00:00"/>
    <x v="4"/>
    <x v="0"/>
    <x v="1"/>
    <x v="1"/>
    <n v="457.76"/>
    <x v="316"/>
    <n v="779.42"/>
    <n v="0.63"/>
    <x v="1"/>
    <n v="4"/>
    <x v="8"/>
  </r>
  <r>
    <d v="2004-07-03T00:00:00"/>
    <x v="3"/>
    <x v="3"/>
    <x v="3"/>
    <x v="0"/>
    <n v="3140.92"/>
    <x v="317"/>
    <n v="2569.85"/>
    <n v="0.45"/>
    <x v="2"/>
    <n v="7"/>
    <x v="9"/>
  </r>
  <r>
    <d v="2005-10-04T00:00:00"/>
    <x v="1"/>
    <x v="0"/>
    <x v="3"/>
    <x v="1"/>
    <n v="5254.02"/>
    <x v="318"/>
    <n v="3651.1"/>
    <n v="0.41"/>
    <x v="0"/>
    <n v="10"/>
    <x v="0"/>
  </r>
  <r>
    <d v="2006-06-06T00:00:00"/>
    <x v="4"/>
    <x v="3"/>
    <x v="1"/>
    <x v="2"/>
    <n v="5231.12"/>
    <x v="319"/>
    <n v="1743.71"/>
    <n v="0.25"/>
    <x v="1"/>
    <n v="6"/>
    <x v="5"/>
  </r>
  <r>
    <d v="2006-02-01T00:00:00"/>
    <x v="2"/>
    <x v="2"/>
    <x v="1"/>
    <x v="3"/>
    <n v="3031.54"/>
    <x v="320"/>
    <n v="3705.21"/>
    <n v="0.55000000000000004"/>
    <x v="1"/>
    <n v="2"/>
    <x v="1"/>
  </r>
  <r>
    <d v="2005-11-14T00:00:00"/>
    <x v="0"/>
    <x v="4"/>
    <x v="3"/>
    <x v="1"/>
    <n v="4295.3100000000004"/>
    <x v="321"/>
    <n v="1431.77"/>
    <n v="0.25"/>
    <x v="0"/>
    <n v="11"/>
    <x v="11"/>
  </r>
  <r>
    <d v="2004-07-31T00:00:00"/>
    <x v="0"/>
    <x v="4"/>
    <x v="0"/>
    <x v="0"/>
    <n v="5937.06"/>
    <x v="322"/>
    <n v="2793.91"/>
    <n v="0.32"/>
    <x v="2"/>
    <n v="7"/>
    <x v="9"/>
  </r>
  <r>
    <d v="2005-08-20T00:00:00"/>
    <x v="3"/>
    <x v="1"/>
    <x v="2"/>
    <x v="2"/>
    <n v="872"/>
    <x v="323"/>
    <n v="290.66000000000003"/>
    <n v="0.25"/>
    <x v="0"/>
    <n v="8"/>
    <x v="10"/>
  </r>
  <r>
    <d v="2005-03-07T00:00:00"/>
    <x v="2"/>
    <x v="1"/>
    <x v="0"/>
    <x v="2"/>
    <n v="2921.11"/>
    <x v="324"/>
    <n v="973.7"/>
    <n v="0.25"/>
    <x v="0"/>
    <n v="3"/>
    <x v="3"/>
  </r>
  <r>
    <d v="2005-09-08T00:00:00"/>
    <x v="0"/>
    <x v="1"/>
    <x v="2"/>
    <x v="2"/>
    <n v="890.87"/>
    <x v="325"/>
    <n v="1180.93"/>
    <n v="0.56999999999999995"/>
    <x v="0"/>
    <n v="9"/>
    <x v="6"/>
  </r>
  <r>
    <d v="2005-07-19T00:00:00"/>
    <x v="4"/>
    <x v="4"/>
    <x v="3"/>
    <x v="2"/>
    <n v="5046"/>
    <x v="326"/>
    <n v="3654"/>
    <n v="0.42"/>
    <x v="0"/>
    <n v="7"/>
    <x v="9"/>
  </r>
  <r>
    <d v="2005-09-26T00:00:00"/>
    <x v="4"/>
    <x v="1"/>
    <x v="0"/>
    <x v="0"/>
    <n v="403.84"/>
    <x v="327"/>
    <n v="535.32000000000005"/>
    <n v="0.56999999999999995"/>
    <x v="0"/>
    <n v="9"/>
    <x v="6"/>
  </r>
  <r>
    <d v="2006-01-16T00:00:00"/>
    <x v="4"/>
    <x v="0"/>
    <x v="2"/>
    <x v="0"/>
    <n v="3206.48"/>
    <x v="328"/>
    <n v="2321.9299999999998"/>
    <n v="0.42"/>
    <x v="1"/>
    <n v="1"/>
    <x v="2"/>
  </r>
  <r>
    <d v="2006-02-26T00:00:00"/>
    <x v="3"/>
    <x v="2"/>
    <x v="1"/>
    <x v="0"/>
    <n v="2746.34"/>
    <x v="329"/>
    <n v="1292.4000000000001"/>
    <n v="0.32"/>
    <x v="1"/>
    <n v="2"/>
    <x v="1"/>
  </r>
  <r>
    <d v="2004-10-12T00:00:00"/>
    <x v="5"/>
    <x v="4"/>
    <x v="2"/>
    <x v="0"/>
    <n v="3837.65"/>
    <x v="330"/>
    <n v="266.79000000000002"/>
    <n v="6.5000000000000002E-2"/>
    <x v="2"/>
    <n v="10"/>
    <x v="0"/>
  </r>
  <r>
    <d v="2006-05-03T00:00:00"/>
    <x v="0"/>
    <x v="0"/>
    <x v="0"/>
    <x v="3"/>
    <n v="4468.62"/>
    <x v="331"/>
    <n v="3105.31"/>
    <n v="0.41"/>
    <x v="1"/>
    <n v="5"/>
    <x v="7"/>
  </r>
  <r>
    <d v="2004-08-13T00:00:00"/>
    <x v="3"/>
    <x v="1"/>
    <x v="0"/>
    <x v="0"/>
    <n v="8446.4599999999991"/>
    <x v="332"/>
    <n v="1151.79"/>
    <n v="0.12"/>
    <x v="2"/>
    <n v="8"/>
    <x v="10"/>
  </r>
  <r>
    <d v="2005-06-22T00:00:00"/>
    <x v="2"/>
    <x v="4"/>
    <x v="1"/>
    <x v="3"/>
    <n v="1658.9"/>
    <x v="333"/>
    <n v="2199.0100000000002"/>
    <n v="0.56999999999999995"/>
    <x v="0"/>
    <n v="6"/>
    <x v="5"/>
  </r>
  <r>
    <d v="2005-09-02T00:00:00"/>
    <x v="2"/>
    <x v="4"/>
    <x v="1"/>
    <x v="0"/>
    <n v="4413.16"/>
    <x v="334"/>
    <n v="3610.76"/>
    <n v="0.45"/>
    <x v="0"/>
    <n v="9"/>
    <x v="6"/>
  </r>
  <r>
    <d v="2004-12-30T00:00:00"/>
    <x v="3"/>
    <x v="0"/>
    <x v="0"/>
    <x v="2"/>
    <n v="4139.76"/>
    <x v="335"/>
    <n v="3387.07"/>
    <n v="0.45"/>
    <x v="2"/>
    <n v="12"/>
    <x v="4"/>
  </r>
  <r>
    <d v="2006-05-14T00:00:00"/>
    <x v="0"/>
    <x v="1"/>
    <x v="2"/>
    <x v="2"/>
    <n v="3559.26"/>
    <x v="336"/>
    <n v="1186.42"/>
    <n v="0.25"/>
    <x v="1"/>
    <n v="5"/>
    <x v="7"/>
  </r>
  <r>
    <d v="2005-06-26T00:00:00"/>
    <x v="3"/>
    <x v="4"/>
    <x v="3"/>
    <x v="2"/>
    <n v="1522.32"/>
    <x v="337"/>
    <n v="1860.61"/>
    <n v="0.55000000000000004"/>
    <x v="0"/>
    <n v="6"/>
    <x v="5"/>
  </r>
  <r>
    <d v="2006-03-04T00:00:00"/>
    <x v="3"/>
    <x v="2"/>
    <x v="1"/>
    <x v="3"/>
    <n v="5659.94"/>
    <x v="338"/>
    <n v="1886.64"/>
    <n v="0.25"/>
    <x v="1"/>
    <n v="3"/>
    <x v="3"/>
  </r>
  <r>
    <d v="2005-10-19T00:00:00"/>
    <x v="0"/>
    <x v="0"/>
    <x v="0"/>
    <x v="3"/>
    <n v="1097.83"/>
    <x v="339"/>
    <n v="1455.27"/>
    <n v="0.56999999999999995"/>
    <x v="0"/>
    <n v="10"/>
    <x v="0"/>
  </r>
  <r>
    <d v="2004-06-19T00:00:00"/>
    <x v="3"/>
    <x v="0"/>
    <x v="1"/>
    <x v="2"/>
    <n v="581.01"/>
    <x v="340"/>
    <n v="273.42"/>
    <n v="0.32"/>
    <x v="2"/>
    <n v="6"/>
    <x v="5"/>
  </r>
  <r>
    <d v="2006-01-28T00:00:00"/>
    <x v="5"/>
    <x v="1"/>
    <x v="3"/>
    <x v="0"/>
    <n v="3277.45"/>
    <x v="341"/>
    <n v="227.84"/>
    <n v="6.5000000000000002E-2"/>
    <x v="1"/>
    <n v="1"/>
    <x v="2"/>
  </r>
  <r>
    <d v="2004-11-16T00:00:00"/>
    <x v="4"/>
    <x v="3"/>
    <x v="1"/>
    <x v="1"/>
    <n v="3608.38"/>
    <x v="342"/>
    <n v="4410.25"/>
    <n v="0.55000000000000004"/>
    <x v="2"/>
    <n v="11"/>
    <x v="11"/>
  </r>
  <r>
    <d v="2006-05-28T00:00:00"/>
    <x v="4"/>
    <x v="1"/>
    <x v="2"/>
    <x v="1"/>
    <n v="1075.8900000000001"/>
    <x v="343"/>
    <n v="1426.18"/>
    <n v="0.56999999999999995"/>
    <x v="1"/>
    <n v="5"/>
    <x v="7"/>
  </r>
  <r>
    <d v="2004-09-21T00:00:00"/>
    <x v="3"/>
    <x v="1"/>
    <x v="3"/>
    <x v="3"/>
    <n v="1101.1400000000001"/>
    <x v="344"/>
    <n v="1874.92"/>
    <n v="0.63"/>
    <x v="2"/>
    <n v="9"/>
    <x v="6"/>
  </r>
  <r>
    <d v="2004-12-07T00:00:00"/>
    <x v="3"/>
    <x v="2"/>
    <x v="3"/>
    <x v="2"/>
    <n v="3845.55"/>
    <x v="345"/>
    <n v="3146.36"/>
    <n v="0.45"/>
    <x v="2"/>
    <n v="12"/>
    <x v="4"/>
  </r>
  <r>
    <d v="2004-11-30T00:00:00"/>
    <x v="4"/>
    <x v="3"/>
    <x v="1"/>
    <x v="3"/>
    <n v="6286.98"/>
    <x v="346"/>
    <n v="857.31"/>
    <n v="0.12"/>
    <x v="2"/>
    <n v="11"/>
    <x v="11"/>
  </r>
  <r>
    <d v="2005-08-05T00:00:00"/>
    <x v="5"/>
    <x v="4"/>
    <x v="0"/>
    <x v="0"/>
    <n v="3234.79"/>
    <x v="347"/>
    <n v="1522.25"/>
    <n v="0.32"/>
    <x v="0"/>
    <n v="8"/>
    <x v="10"/>
  </r>
  <r>
    <d v="2006-05-04T00:00:00"/>
    <x v="0"/>
    <x v="2"/>
    <x v="0"/>
    <x v="0"/>
    <n v="5376.26"/>
    <x v="348"/>
    <n v="3736.05"/>
    <n v="0.41"/>
    <x v="1"/>
    <n v="5"/>
    <x v="7"/>
  </r>
  <r>
    <d v="2006-03-26T00:00:00"/>
    <x v="1"/>
    <x v="1"/>
    <x v="0"/>
    <x v="0"/>
    <n v="1404.55"/>
    <x v="349"/>
    <n v="1017.08"/>
    <n v="0.42"/>
    <x v="1"/>
    <n v="3"/>
    <x v="3"/>
  </r>
  <r>
    <d v="2005-10-02T00:00:00"/>
    <x v="4"/>
    <x v="4"/>
    <x v="2"/>
    <x v="0"/>
    <n v="167.96"/>
    <x v="350"/>
    <n v="222.65"/>
    <n v="0.56999999999999995"/>
    <x v="0"/>
    <n v="10"/>
    <x v="0"/>
  </r>
  <r>
    <d v="2005-10-09T00:00:00"/>
    <x v="3"/>
    <x v="0"/>
    <x v="0"/>
    <x v="2"/>
    <n v="2718.95"/>
    <x v="351"/>
    <n v="3604.18"/>
    <n v="0.56999999999999995"/>
    <x v="0"/>
    <n v="10"/>
    <x v="0"/>
  </r>
  <r>
    <d v="2005-04-09T00:00:00"/>
    <x v="0"/>
    <x v="3"/>
    <x v="2"/>
    <x v="1"/>
    <n v="4048.58"/>
    <x v="352"/>
    <n v="1905.22"/>
    <n v="0.32"/>
    <x v="0"/>
    <n v="4"/>
    <x v="8"/>
  </r>
  <r>
    <d v="2006-01-20T00:00:00"/>
    <x v="1"/>
    <x v="1"/>
    <x v="0"/>
    <x v="3"/>
    <n v="669.45"/>
    <x v="353"/>
    <n v="223.15"/>
    <n v="0.25"/>
    <x v="1"/>
    <n v="1"/>
    <x v="2"/>
  </r>
  <r>
    <d v="2005-05-09T00:00:00"/>
    <x v="2"/>
    <x v="3"/>
    <x v="1"/>
    <x v="3"/>
    <n v="810.83"/>
    <x v="354"/>
    <n v="381.56"/>
    <n v="0.32"/>
    <x v="0"/>
    <n v="5"/>
    <x v="7"/>
  </r>
  <r>
    <d v="2004-09-15T00:00:00"/>
    <x v="5"/>
    <x v="2"/>
    <x v="0"/>
    <x v="3"/>
    <n v="2600.4899999999998"/>
    <x v="355"/>
    <n v="4427.8500000000004"/>
    <n v="0.63"/>
    <x v="2"/>
    <n v="9"/>
    <x v="6"/>
  </r>
  <r>
    <d v="2006-05-31T00:00:00"/>
    <x v="1"/>
    <x v="4"/>
    <x v="2"/>
    <x v="0"/>
    <n v="4494.45"/>
    <x v="356"/>
    <n v="5493.21"/>
    <n v="0.55000000000000004"/>
    <x v="1"/>
    <n v="5"/>
    <x v="7"/>
  </r>
  <r>
    <d v="2005-01-12T00:00:00"/>
    <x v="5"/>
    <x v="2"/>
    <x v="0"/>
    <x v="2"/>
    <n v="975.35"/>
    <x v="357"/>
    <n v="1660.73"/>
    <n v="0.63"/>
    <x v="0"/>
    <n v="1"/>
    <x v="2"/>
  </r>
  <r>
    <d v="2005-10-12T00:00:00"/>
    <x v="4"/>
    <x v="2"/>
    <x v="0"/>
    <x v="1"/>
    <n v="303.97000000000003"/>
    <x v="358"/>
    <n v="211.24"/>
    <n v="0.41"/>
    <x v="0"/>
    <n v="10"/>
    <x v="0"/>
  </r>
  <r>
    <d v="2006-01-24T00:00:00"/>
    <x v="0"/>
    <x v="3"/>
    <x v="1"/>
    <x v="1"/>
    <n v="4083.18"/>
    <x v="359"/>
    <n v="5412.59"/>
    <n v="0.56999999999999995"/>
    <x v="1"/>
    <n v="1"/>
    <x v="2"/>
  </r>
  <r>
    <d v="2005-08-08T00:00:00"/>
    <x v="1"/>
    <x v="1"/>
    <x v="2"/>
    <x v="3"/>
    <n v="5623.76"/>
    <x v="360"/>
    <n v="3908.04"/>
    <n v="0.41"/>
    <x v="0"/>
    <n v="8"/>
    <x v="10"/>
  </r>
  <r>
    <d v="2005-09-30T00:00:00"/>
    <x v="5"/>
    <x v="4"/>
    <x v="1"/>
    <x v="1"/>
    <n v="472.38"/>
    <x v="361"/>
    <n v="577.35"/>
    <n v="0.55000000000000004"/>
    <x v="0"/>
    <n v="9"/>
    <x v="6"/>
  </r>
  <r>
    <d v="2005-03-04T00:00:00"/>
    <x v="0"/>
    <x v="0"/>
    <x v="3"/>
    <x v="2"/>
    <n v="5245.71"/>
    <x v="362"/>
    <n v="364.67"/>
    <n v="6.5000000000000002E-2"/>
    <x v="0"/>
    <n v="3"/>
    <x v="3"/>
  </r>
  <r>
    <d v="2004-08-03T00:00:00"/>
    <x v="1"/>
    <x v="3"/>
    <x v="0"/>
    <x v="3"/>
    <n v="1281.18"/>
    <x v="363"/>
    <n v="2181.4699999999998"/>
    <n v="0.63"/>
    <x v="2"/>
    <n v="8"/>
    <x v="10"/>
  </r>
  <r>
    <d v="2005-03-12T00:00:00"/>
    <x v="1"/>
    <x v="1"/>
    <x v="1"/>
    <x v="3"/>
    <n v="1499.63"/>
    <x v="364"/>
    <n v="705.71"/>
    <n v="0.32"/>
    <x v="0"/>
    <n v="3"/>
    <x v="3"/>
  </r>
  <r>
    <d v="2006-04-10T00:00:00"/>
    <x v="2"/>
    <x v="3"/>
    <x v="2"/>
    <x v="2"/>
    <n v="8220.26"/>
    <x v="365"/>
    <n v="1120.95"/>
    <n v="0.12"/>
    <x v="1"/>
    <n v="4"/>
    <x v="8"/>
  </r>
  <r>
    <d v="2004-08-01T00:00:00"/>
    <x v="3"/>
    <x v="0"/>
    <x v="0"/>
    <x v="0"/>
    <n v="5948.06"/>
    <x v="366"/>
    <n v="1982.68"/>
    <n v="0.25"/>
    <x v="2"/>
    <n v="8"/>
    <x v="10"/>
  </r>
  <r>
    <d v="2005-04-20T00:00:00"/>
    <x v="5"/>
    <x v="2"/>
    <x v="3"/>
    <x v="3"/>
    <n v="640.66"/>
    <x v="367"/>
    <n v="445.21"/>
    <n v="0.41"/>
    <x v="0"/>
    <n v="4"/>
    <x v="8"/>
  </r>
  <r>
    <d v="2005-03-15T00:00:00"/>
    <x v="4"/>
    <x v="1"/>
    <x v="0"/>
    <x v="3"/>
    <n v="5708.71"/>
    <x v="368"/>
    <n v="2686.45"/>
    <n v="0.32"/>
    <x v="0"/>
    <n v="3"/>
    <x v="3"/>
  </r>
  <r>
    <d v="2005-03-27T00:00:00"/>
    <x v="0"/>
    <x v="3"/>
    <x v="2"/>
    <x v="1"/>
    <n v="4901.71"/>
    <x v="369"/>
    <n v="3406.27"/>
    <n v="0.41"/>
    <x v="0"/>
    <n v="3"/>
    <x v="3"/>
  </r>
  <r>
    <d v="2005-07-28T00:00:00"/>
    <x v="4"/>
    <x v="2"/>
    <x v="3"/>
    <x v="2"/>
    <n v="7014.88"/>
    <x v="370"/>
    <n v="2338.3000000000002"/>
    <n v="0.25"/>
    <x v="0"/>
    <n v="7"/>
    <x v="9"/>
  </r>
  <r>
    <d v="2004-07-01T00:00:00"/>
    <x v="5"/>
    <x v="2"/>
    <x v="0"/>
    <x v="1"/>
    <n v="2656.34"/>
    <x v="371"/>
    <n v="1845.93"/>
    <n v="0.41"/>
    <x v="2"/>
    <n v="7"/>
    <x v="9"/>
  </r>
  <r>
    <d v="2005-07-15T00:00:00"/>
    <x v="5"/>
    <x v="2"/>
    <x v="2"/>
    <x v="1"/>
    <n v="989.75"/>
    <x v="372"/>
    <n v="687.8"/>
    <n v="0.41"/>
    <x v="0"/>
    <n v="7"/>
    <x v="9"/>
  </r>
  <r>
    <d v="2005-10-20T00:00:00"/>
    <x v="0"/>
    <x v="3"/>
    <x v="1"/>
    <x v="0"/>
    <n v="1644.7"/>
    <x v="373"/>
    <n v="2800.44"/>
    <n v="0.63"/>
    <x v="0"/>
    <n v="10"/>
    <x v="0"/>
  </r>
  <r>
    <d v="2004-08-30T00:00:00"/>
    <x v="0"/>
    <x v="0"/>
    <x v="1"/>
    <x v="3"/>
    <n v="141.86000000000001"/>
    <x v="374"/>
    <n v="116.06"/>
    <n v="0.45"/>
    <x v="2"/>
    <n v="8"/>
    <x v="10"/>
  </r>
  <r>
    <d v="2004-11-11T00:00:00"/>
    <x v="5"/>
    <x v="1"/>
    <x v="3"/>
    <x v="0"/>
    <n v="3891.09"/>
    <x v="375"/>
    <n v="2817.69"/>
    <n v="0.42"/>
    <x v="2"/>
    <n v="11"/>
    <x v="11"/>
  </r>
  <r>
    <d v="2005-05-04T00:00:00"/>
    <x v="2"/>
    <x v="0"/>
    <x v="1"/>
    <x v="3"/>
    <n v="3987.05"/>
    <x v="376"/>
    <n v="4873.07"/>
    <n v="0.55000000000000004"/>
    <x v="0"/>
    <n v="5"/>
    <x v="7"/>
  </r>
  <r>
    <d v="2005-01-24T00:00:00"/>
    <x v="5"/>
    <x v="1"/>
    <x v="2"/>
    <x v="2"/>
    <n v="2303.4299999999998"/>
    <x v="377"/>
    <n v="1083.96"/>
    <n v="0.32"/>
    <x v="0"/>
    <n v="1"/>
    <x v="2"/>
  </r>
  <r>
    <d v="2006-04-25T00:00:00"/>
    <x v="0"/>
    <x v="4"/>
    <x v="2"/>
    <x v="3"/>
    <n v="8333.41"/>
    <x v="378"/>
    <n v="579.33000000000004"/>
    <n v="6.5000000000000002E-2"/>
    <x v="1"/>
    <n v="4"/>
    <x v="8"/>
  </r>
  <r>
    <d v="2005-11-23T00:00:00"/>
    <x v="4"/>
    <x v="0"/>
    <x v="0"/>
    <x v="2"/>
    <n v="1103.67"/>
    <x v="379"/>
    <n v="1879.22"/>
    <n v="0.63"/>
    <x v="0"/>
    <n v="11"/>
    <x v="11"/>
  </r>
  <r>
    <d v="2005-02-08T00:00:00"/>
    <x v="4"/>
    <x v="1"/>
    <x v="1"/>
    <x v="0"/>
    <n v="6764.53"/>
    <x v="380"/>
    <n v="470.26"/>
    <n v="6.5000000000000002E-2"/>
    <x v="0"/>
    <n v="2"/>
    <x v="1"/>
  </r>
  <r>
    <d v="2005-03-11T00:00:00"/>
    <x v="3"/>
    <x v="0"/>
    <x v="1"/>
    <x v="0"/>
    <n v="6724.15"/>
    <x v="381"/>
    <n v="916.93"/>
    <n v="0.12"/>
    <x v="0"/>
    <n v="3"/>
    <x v="3"/>
  </r>
  <r>
    <d v="2004-12-05T00:00:00"/>
    <x v="1"/>
    <x v="2"/>
    <x v="1"/>
    <x v="1"/>
    <n v="2498.98"/>
    <x v="382"/>
    <n v="833"/>
    <n v="0.25"/>
    <x v="2"/>
    <n v="12"/>
    <x v="4"/>
  </r>
  <r>
    <d v="2005-11-08T00:00:00"/>
    <x v="3"/>
    <x v="3"/>
    <x v="0"/>
    <x v="0"/>
    <n v="7205.11"/>
    <x v="383"/>
    <n v="500.89"/>
    <n v="6.5000000000000002E-2"/>
    <x v="0"/>
    <n v="11"/>
    <x v="11"/>
  </r>
  <r>
    <d v="2004-10-26T00:00:00"/>
    <x v="2"/>
    <x v="3"/>
    <x v="0"/>
    <x v="1"/>
    <n v="5841.59"/>
    <x v="384"/>
    <n v="796.58"/>
    <n v="0.12"/>
    <x v="2"/>
    <n v="10"/>
    <x v="0"/>
  </r>
  <r>
    <d v="2005-04-12T00:00:00"/>
    <x v="4"/>
    <x v="3"/>
    <x v="0"/>
    <x v="1"/>
    <n v="4392.87"/>
    <x v="385"/>
    <n v="3594.17"/>
    <n v="0.45"/>
    <x v="0"/>
    <n v="4"/>
    <x v="8"/>
  </r>
  <r>
    <d v="2004-06-27T00:00:00"/>
    <x v="5"/>
    <x v="1"/>
    <x v="2"/>
    <x v="2"/>
    <n v="1990.16"/>
    <x v="386"/>
    <n v="3388.66"/>
    <n v="0.63"/>
    <x v="2"/>
    <n v="6"/>
    <x v="5"/>
  </r>
  <r>
    <d v="2005-06-27T00:00:00"/>
    <x v="5"/>
    <x v="3"/>
    <x v="3"/>
    <x v="2"/>
    <n v="3976.6"/>
    <x v="387"/>
    <n v="542.26"/>
    <n v="0.12"/>
    <x v="0"/>
    <n v="6"/>
    <x v="5"/>
  </r>
  <r>
    <d v="2006-05-17T00:00:00"/>
    <x v="3"/>
    <x v="1"/>
    <x v="2"/>
    <x v="1"/>
    <n v="436.86"/>
    <x v="388"/>
    <n v="743.85"/>
    <n v="0.63"/>
    <x v="1"/>
    <n v="5"/>
    <x v="7"/>
  </r>
  <r>
    <d v="2005-11-09T00:00:00"/>
    <x v="2"/>
    <x v="4"/>
    <x v="1"/>
    <x v="1"/>
    <n v="126.85"/>
    <x v="389"/>
    <n v="17.3"/>
    <n v="0.12"/>
    <x v="0"/>
    <n v="11"/>
    <x v="11"/>
  </r>
  <r>
    <d v="2005-06-24T00:00:00"/>
    <x v="3"/>
    <x v="1"/>
    <x v="3"/>
    <x v="1"/>
    <n v="3189.35"/>
    <x v="390"/>
    <n v="221.72"/>
    <n v="6.5000000000000002E-2"/>
    <x v="0"/>
    <n v="6"/>
    <x v="5"/>
  </r>
  <r>
    <d v="2006-06-12T00:00:00"/>
    <x v="4"/>
    <x v="1"/>
    <x v="2"/>
    <x v="2"/>
    <n v="3786.49"/>
    <x v="391"/>
    <n v="5019.3100000000004"/>
    <n v="0.56999999999999995"/>
    <x v="1"/>
    <n v="6"/>
    <x v="5"/>
  </r>
  <r>
    <d v="2004-09-21T00:00:00"/>
    <x v="1"/>
    <x v="0"/>
    <x v="2"/>
    <x v="3"/>
    <n v="2008.8"/>
    <x v="392"/>
    <n v="1454.65"/>
    <n v="0.42"/>
    <x v="2"/>
    <n v="9"/>
    <x v="6"/>
  </r>
  <r>
    <d v="2005-06-16T00:00:00"/>
    <x v="4"/>
    <x v="2"/>
    <x v="2"/>
    <x v="1"/>
    <n v="4235.8"/>
    <x v="393"/>
    <n v="577.61"/>
    <n v="0.12"/>
    <x v="0"/>
    <n v="6"/>
    <x v="5"/>
  </r>
  <r>
    <d v="2005-12-07T00:00:00"/>
    <x v="1"/>
    <x v="1"/>
    <x v="2"/>
    <x v="2"/>
    <n v="4257.4399999999996"/>
    <x v="394"/>
    <n v="2003.5"/>
    <n v="0.32"/>
    <x v="0"/>
    <n v="12"/>
    <x v="4"/>
  </r>
  <r>
    <d v="2005-09-20T00:00:00"/>
    <x v="2"/>
    <x v="2"/>
    <x v="0"/>
    <x v="0"/>
    <n v="2832.67"/>
    <x v="395"/>
    <n v="1968.47"/>
    <n v="0.41"/>
    <x v="0"/>
    <n v="9"/>
    <x v="6"/>
  </r>
  <r>
    <d v="2004-07-09T00:00:00"/>
    <x v="5"/>
    <x v="1"/>
    <x v="2"/>
    <x v="3"/>
    <n v="3273.27"/>
    <x v="396"/>
    <n v="446.35"/>
    <n v="0.12"/>
    <x v="2"/>
    <n v="7"/>
    <x v="9"/>
  </r>
  <r>
    <d v="2004-08-01T00:00:00"/>
    <x v="4"/>
    <x v="3"/>
    <x v="1"/>
    <x v="1"/>
    <n v="3565.93"/>
    <x v="397"/>
    <n v="4726.93"/>
    <n v="0.56999999999999995"/>
    <x v="2"/>
    <n v="8"/>
    <x v="10"/>
  </r>
  <r>
    <d v="2004-08-11T00:00:00"/>
    <x v="5"/>
    <x v="4"/>
    <x v="2"/>
    <x v="1"/>
    <n v="326.77999999999997"/>
    <x v="398"/>
    <n v="556.4"/>
    <n v="0.63"/>
    <x v="2"/>
    <n v="8"/>
    <x v="10"/>
  </r>
  <r>
    <d v="2005-11-23T00:00:00"/>
    <x v="3"/>
    <x v="4"/>
    <x v="2"/>
    <x v="1"/>
    <n v="3256.97"/>
    <x v="399"/>
    <n v="2358.4899999999998"/>
    <n v="0.42"/>
    <x v="0"/>
    <n v="11"/>
    <x v="11"/>
  </r>
  <r>
    <d v="2004-10-23T00:00:00"/>
    <x v="1"/>
    <x v="0"/>
    <x v="3"/>
    <x v="2"/>
    <n v="1719.22"/>
    <x v="400"/>
    <n v="809.04"/>
    <n v="0.32"/>
    <x v="2"/>
    <n v="10"/>
    <x v="0"/>
  </r>
  <r>
    <d v="2006-01-15T00:00:00"/>
    <x v="1"/>
    <x v="2"/>
    <x v="3"/>
    <x v="3"/>
    <n v="5056.92"/>
    <x v="401"/>
    <n v="2379.7199999999998"/>
    <n v="0.32"/>
    <x v="1"/>
    <n v="1"/>
    <x v="2"/>
  </r>
  <r>
    <d v="2005-08-23T00:00:00"/>
    <x v="4"/>
    <x v="2"/>
    <x v="3"/>
    <x v="1"/>
    <n v="1107.2"/>
    <x v="402"/>
    <n v="369.06"/>
    <n v="0.25"/>
    <x v="0"/>
    <n v="8"/>
    <x v="10"/>
  </r>
  <r>
    <d v="2005-07-10T00:00:00"/>
    <x v="2"/>
    <x v="1"/>
    <x v="2"/>
    <x v="3"/>
    <n v="8429.33"/>
    <x v="403"/>
    <n v="1149.45"/>
    <n v="0.12"/>
    <x v="0"/>
    <n v="7"/>
    <x v="9"/>
  </r>
  <r>
    <d v="2004-10-14T00:00:00"/>
    <x v="5"/>
    <x v="3"/>
    <x v="2"/>
    <x v="0"/>
    <n v="185.87"/>
    <x v="404"/>
    <n v="87.47"/>
    <n v="0.32"/>
    <x v="2"/>
    <n v="10"/>
    <x v="0"/>
  </r>
  <r>
    <d v="2005-10-31T00:00:00"/>
    <x v="1"/>
    <x v="1"/>
    <x v="0"/>
    <x v="2"/>
    <n v="3160.46"/>
    <x v="405"/>
    <n v="3862.78"/>
    <n v="0.55000000000000004"/>
    <x v="0"/>
    <n v="10"/>
    <x v="0"/>
  </r>
  <r>
    <d v="2005-05-07T00:00:00"/>
    <x v="2"/>
    <x v="2"/>
    <x v="3"/>
    <x v="1"/>
    <n v="3897.72"/>
    <x v="406"/>
    <n v="3189.04"/>
    <n v="0.45"/>
    <x v="0"/>
    <n v="5"/>
    <x v="7"/>
  </r>
  <r>
    <d v="2005-06-03T00:00:00"/>
    <x v="3"/>
    <x v="1"/>
    <x v="0"/>
    <x v="2"/>
    <n v="4050.46"/>
    <x v="407"/>
    <n v="5369.21"/>
    <n v="0.56999999999999995"/>
    <x v="0"/>
    <n v="6"/>
    <x v="5"/>
  </r>
  <r>
    <d v="2005-07-03T00:00:00"/>
    <x v="2"/>
    <x v="3"/>
    <x v="1"/>
    <x v="2"/>
    <n v="1598.17"/>
    <x v="408"/>
    <n v="2721.22"/>
    <n v="0.63"/>
    <x v="0"/>
    <n v="7"/>
    <x v="9"/>
  </r>
  <r>
    <d v="2006-03-02T00:00:00"/>
    <x v="5"/>
    <x v="1"/>
    <x v="3"/>
    <x v="3"/>
    <n v="1850.77"/>
    <x v="409"/>
    <n v="2262.06"/>
    <n v="0.55000000000000004"/>
    <x v="1"/>
    <n v="3"/>
    <x v="3"/>
  </r>
  <r>
    <d v="2006-03-21T00:00:00"/>
    <x v="4"/>
    <x v="4"/>
    <x v="0"/>
    <x v="0"/>
    <n v="2464.91"/>
    <x v="410"/>
    <n v="2016.74"/>
    <n v="0.45"/>
    <x v="1"/>
    <n v="3"/>
    <x v="3"/>
  </r>
  <r>
    <d v="2004-12-31T00:00:00"/>
    <x v="0"/>
    <x v="4"/>
    <x v="3"/>
    <x v="0"/>
    <n v="8667.17"/>
    <x v="411"/>
    <n v="1181.8900000000001"/>
    <n v="0.12"/>
    <x v="2"/>
    <n v="12"/>
    <x v="4"/>
  </r>
  <r>
    <d v="2005-03-23T00:00:00"/>
    <x v="5"/>
    <x v="3"/>
    <x v="2"/>
    <x v="1"/>
    <n v="522.45000000000005"/>
    <x v="412"/>
    <n v="36.32"/>
    <n v="6.5000000000000002E-2"/>
    <x v="0"/>
    <n v="3"/>
    <x v="3"/>
  </r>
  <r>
    <d v="2004-09-12T00:00:00"/>
    <x v="4"/>
    <x v="0"/>
    <x v="3"/>
    <x v="3"/>
    <n v="1467.44"/>
    <x v="413"/>
    <n v="102.01"/>
    <n v="6.5000000000000002E-2"/>
    <x v="2"/>
    <n v="9"/>
    <x v="6"/>
  </r>
  <r>
    <d v="2006-04-25T00:00:00"/>
    <x v="0"/>
    <x v="0"/>
    <x v="2"/>
    <x v="1"/>
    <n v="3342.26"/>
    <x v="414"/>
    <n v="4084.98"/>
    <n v="0.55000000000000004"/>
    <x v="1"/>
    <n v="4"/>
    <x v="8"/>
  </r>
  <r>
    <d v="2005-12-29T00:00:00"/>
    <x v="5"/>
    <x v="2"/>
    <x v="2"/>
    <x v="1"/>
    <n v="13.9"/>
    <x v="415"/>
    <n v="16.98"/>
    <n v="0.54990000000000006"/>
    <x v="0"/>
    <n v="12"/>
    <x v="4"/>
  </r>
  <r>
    <d v="2005-10-17T00:00:00"/>
    <x v="0"/>
    <x v="2"/>
    <x v="2"/>
    <x v="3"/>
    <n v="1850.84"/>
    <x v="416"/>
    <n v="3151.42"/>
    <n v="0.63"/>
    <x v="0"/>
    <n v="10"/>
    <x v="0"/>
  </r>
  <r>
    <d v="2004-10-10T00:00:00"/>
    <x v="2"/>
    <x v="4"/>
    <x v="2"/>
    <x v="2"/>
    <n v="6417.66"/>
    <x v="417"/>
    <n v="3020.08"/>
    <n v="0.32"/>
    <x v="2"/>
    <n v="10"/>
    <x v="0"/>
  </r>
  <r>
    <d v="2005-04-27T00:00:00"/>
    <x v="3"/>
    <x v="0"/>
    <x v="1"/>
    <x v="1"/>
    <n v="1942.18"/>
    <x v="418"/>
    <n v="647.39"/>
    <n v="0.25"/>
    <x v="0"/>
    <n v="4"/>
    <x v="8"/>
  </r>
  <r>
    <d v="2004-09-26T00:00:00"/>
    <x v="5"/>
    <x v="1"/>
    <x v="1"/>
    <x v="0"/>
    <n v="1593.88"/>
    <x v="419"/>
    <n v="2112.8200000000002"/>
    <n v="0.56999999999999995"/>
    <x v="2"/>
    <n v="9"/>
    <x v="6"/>
  </r>
  <r>
    <d v="2005-07-08T00:00:00"/>
    <x v="1"/>
    <x v="4"/>
    <x v="3"/>
    <x v="2"/>
    <n v="5691.53"/>
    <x v="420"/>
    <n v="4121.46"/>
    <n v="0.42"/>
    <x v="0"/>
    <n v="7"/>
    <x v="9"/>
  </r>
  <r>
    <d v="2004-11-02T00:00:00"/>
    <x v="2"/>
    <x v="1"/>
    <x v="0"/>
    <x v="0"/>
    <n v="3549.62"/>
    <x v="421"/>
    <n v="1183.2"/>
    <n v="0.25"/>
    <x v="2"/>
    <n v="11"/>
    <x v="11"/>
  </r>
  <r>
    <d v="2005-03-15T00:00:00"/>
    <x v="5"/>
    <x v="4"/>
    <x v="3"/>
    <x v="1"/>
    <n v="1377.08"/>
    <x v="422"/>
    <n v="2344.75"/>
    <n v="0.63"/>
    <x v="0"/>
    <n v="3"/>
    <x v="3"/>
  </r>
  <r>
    <d v="2005-01-02T00:00:00"/>
    <x v="1"/>
    <x v="2"/>
    <x v="0"/>
    <x v="3"/>
    <n v="1360.41"/>
    <x v="423"/>
    <n v="453.47"/>
    <n v="0.25"/>
    <x v="0"/>
    <n v="1"/>
    <x v="2"/>
  </r>
  <r>
    <d v="2005-08-20T00:00:00"/>
    <x v="2"/>
    <x v="3"/>
    <x v="1"/>
    <x v="2"/>
    <n v="406.5"/>
    <x v="424"/>
    <n v="692.15"/>
    <n v="0.63"/>
    <x v="0"/>
    <n v="8"/>
    <x v="10"/>
  </r>
  <r>
    <d v="2005-02-11T00:00:00"/>
    <x v="1"/>
    <x v="4"/>
    <x v="3"/>
    <x v="2"/>
    <n v="4673.3100000000004"/>
    <x v="425"/>
    <n v="3247.55"/>
    <n v="0.41"/>
    <x v="0"/>
    <n v="2"/>
    <x v="1"/>
  </r>
  <r>
    <d v="2006-02-19T00:00:00"/>
    <x v="2"/>
    <x v="4"/>
    <x v="0"/>
    <x v="3"/>
    <n v="7657.57"/>
    <x v="426"/>
    <n v="1044.21"/>
    <n v="0.12"/>
    <x v="1"/>
    <n v="2"/>
    <x v="1"/>
  </r>
  <r>
    <d v="2006-03-08T00:00:00"/>
    <x v="2"/>
    <x v="4"/>
    <x v="0"/>
    <x v="2"/>
    <n v="4014.97"/>
    <x v="427"/>
    <n v="5322.18"/>
    <n v="0.56999999999999995"/>
    <x v="1"/>
    <n v="3"/>
    <x v="3"/>
  </r>
  <r>
    <d v="2005-01-27T00:00:00"/>
    <x v="3"/>
    <x v="1"/>
    <x v="1"/>
    <x v="1"/>
    <n v="1915.55"/>
    <x v="428"/>
    <n v="3261.61"/>
    <n v="0.63"/>
    <x v="0"/>
    <n v="1"/>
    <x v="2"/>
  </r>
  <r>
    <d v="2005-08-25T00:00:00"/>
    <x v="0"/>
    <x v="4"/>
    <x v="2"/>
    <x v="1"/>
    <n v="2596.21"/>
    <x v="429"/>
    <n v="3173.14"/>
    <n v="0.55000000000000004"/>
    <x v="0"/>
    <n v="8"/>
    <x v="10"/>
  </r>
  <r>
    <d v="2005-03-15T00:00:00"/>
    <x v="5"/>
    <x v="0"/>
    <x v="0"/>
    <x v="2"/>
    <n v="3489.72"/>
    <x v="430"/>
    <n v="5941.95"/>
    <n v="0.63"/>
    <x v="0"/>
    <n v="3"/>
    <x v="3"/>
  </r>
  <r>
    <d v="2004-10-19T00:00:00"/>
    <x v="5"/>
    <x v="4"/>
    <x v="0"/>
    <x v="0"/>
    <n v="3251.1"/>
    <x v="431"/>
    <n v="2660"/>
    <n v="0.45"/>
    <x v="2"/>
    <n v="10"/>
    <x v="0"/>
  </r>
  <r>
    <d v="2004-08-17T00:00:00"/>
    <x v="4"/>
    <x v="2"/>
    <x v="0"/>
    <x v="3"/>
    <n v="301.33"/>
    <x v="432"/>
    <n v="100.45"/>
    <n v="0.25"/>
    <x v="2"/>
    <n v="8"/>
    <x v="10"/>
  </r>
  <r>
    <d v="2006-02-02T00:00:00"/>
    <x v="5"/>
    <x v="4"/>
    <x v="0"/>
    <x v="3"/>
    <n v="7.41"/>
    <x v="433"/>
    <n v="5.15"/>
    <n v="0.41"/>
    <x v="1"/>
    <n v="2"/>
    <x v="1"/>
  </r>
  <r>
    <d v="2005-12-28T00:00:00"/>
    <x v="5"/>
    <x v="3"/>
    <x v="3"/>
    <x v="2"/>
    <n v="6404.27"/>
    <x v="434"/>
    <n v="2134.7600000000002"/>
    <n v="0.25"/>
    <x v="0"/>
    <n v="12"/>
    <x v="4"/>
  </r>
  <r>
    <d v="2004-09-08T00:00:00"/>
    <x v="5"/>
    <x v="3"/>
    <x v="0"/>
    <x v="1"/>
    <n v="1907.56"/>
    <x v="435"/>
    <n v="2528.62"/>
    <n v="0.56999999999999995"/>
    <x v="2"/>
    <n v="9"/>
    <x v="6"/>
  </r>
  <r>
    <d v="2006-01-29T00:00:00"/>
    <x v="3"/>
    <x v="3"/>
    <x v="0"/>
    <x v="3"/>
    <n v="2809.75"/>
    <x v="436"/>
    <n v="195.33"/>
    <n v="6.5000000000000002E-2"/>
    <x v="1"/>
    <n v="1"/>
    <x v="2"/>
  </r>
  <r>
    <d v="2006-02-25T00:00:00"/>
    <x v="3"/>
    <x v="2"/>
    <x v="0"/>
    <x v="3"/>
    <n v="1315.11"/>
    <x v="437"/>
    <n v="91.42"/>
    <n v="6.5000000000000002E-2"/>
    <x v="1"/>
    <n v="2"/>
    <x v="1"/>
  </r>
  <r>
    <d v="2005-08-23T00:00:00"/>
    <x v="0"/>
    <x v="4"/>
    <x v="3"/>
    <x v="2"/>
    <n v="4906.63"/>
    <x v="438"/>
    <n v="4014.51"/>
    <n v="0.45"/>
    <x v="0"/>
    <n v="8"/>
    <x v="10"/>
  </r>
  <r>
    <d v="2004-09-30T00:00:00"/>
    <x v="5"/>
    <x v="2"/>
    <x v="0"/>
    <x v="1"/>
    <n v="2121.67"/>
    <x v="439"/>
    <n v="2593.16"/>
    <n v="0.55000000000000004"/>
    <x v="2"/>
    <n v="9"/>
    <x v="6"/>
  </r>
  <r>
    <d v="2005-01-21T00:00:00"/>
    <x v="1"/>
    <x v="3"/>
    <x v="2"/>
    <x v="1"/>
    <n v="3070.16"/>
    <x v="440"/>
    <n v="1023.38"/>
    <n v="0.25"/>
    <x v="0"/>
    <n v="1"/>
    <x v="2"/>
  </r>
  <r>
    <d v="2006-06-08T00:00:00"/>
    <x v="2"/>
    <x v="1"/>
    <x v="2"/>
    <x v="0"/>
    <n v="1563.02"/>
    <x v="441"/>
    <n v="2071.9"/>
    <n v="0.56999999999999995"/>
    <x v="1"/>
    <n v="6"/>
    <x v="5"/>
  </r>
  <r>
    <d v="2005-04-11T00:00:00"/>
    <x v="3"/>
    <x v="1"/>
    <x v="0"/>
    <x v="1"/>
    <n v="139.94999999999999"/>
    <x v="442"/>
    <n v="238.28"/>
    <n v="0.63"/>
    <x v="0"/>
    <n v="4"/>
    <x v="8"/>
  </r>
  <r>
    <d v="2005-01-12T00:00:00"/>
    <x v="4"/>
    <x v="4"/>
    <x v="1"/>
    <x v="0"/>
    <n v="3836.51"/>
    <x v="443"/>
    <n v="3138.96"/>
    <n v="0.45"/>
    <x v="0"/>
    <n v="1"/>
    <x v="2"/>
  </r>
  <r>
    <d v="2005-08-01T00:00:00"/>
    <x v="5"/>
    <x v="3"/>
    <x v="2"/>
    <x v="2"/>
    <n v="1375.02"/>
    <x v="444"/>
    <n v="647.07000000000005"/>
    <n v="0.32"/>
    <x v="0"/>
    <n v="8"/>
    <x v="10"/>
  </r>
  <r>
    <d v="2004-11-30T00:00:00"/>
    <x v="3"/>
    <x v="2"/>
    <x v="1"/>
    <x v="3"/>
    <n v="4760.79"/>
    <x v="445"/>
    <n v="3447.47"/>
    <n v="0.42"/>
    <x v="2"/>
    <n v="11"/>
    <x v="11"/>
  </r>
  <r>
    <d v="2006-03-03T00:00:00"/>
    <x v="2"/>
    <x v="0"/>
    <x v="1"/>
    <x v="3"/>
    <n v="426.48"/>
    <x v="446"/>
    <n v="565.33000000000004"/>
    <n v="0.56999999999999995"/>
    <x v="1"/>
    <n v="3"/>
    <x v="3"/>
  </r>
  <r>
    <d v="2006-04-16T00:00:00"/>
    <x v="2"/>
    <x v="2"/>
    <x v="0"/>
    <x v="0"/>
    <n v="2350.46"/>
    <x v="447"/>
    <n v="1702.06"/>
    <n v="0.42"/>
    <x v="1"/>
    <n v="4"/>
    <x v="8"/>
  </r>
  <r>
    <d v="2004-12-06T00:00:00"/>
    <x v="1"/>
    <x v="0"/>
    <x v="3"/>
    <x v="1"/>
    <n v="2226.9499999999998"/>
    <x v="448"/>
    <n v="303.67"/>
    <n v="0.12"/>
    <x v="2"/>
    <n v="12"/>
    <x v="4"/>
  </r>
  <r>
    <d v="2006-03-12T00:00:00"/>
    <x v="5"/>
    <x v="0"/>
    <x v="3"/>
    <x v="0"/>
    <n v="3445.13"/>
    <x v="449"/>
    <n v="5866.03"/>
    <n v="0.63"/>
    <x v="1"/>
    <n v="3"/>
    <x v="3"/>
  </r>
  <r>
    <d v="2005-11-05T00:00:00"/>
    <x v="0"/>
    <x v="0"/>
    <x v="1"/>
    <x v="3"/>
    <n v="7261.47"/>
    <x v="450"/>
    <n v="990.2"/>
    <n v="0.12"/>
    <x v="0"/>
    <n v="11"/>
    <x v="11"/>
  </r>
  <r>
    <d v="2005-10-20T00:00:00"/>
    <x v="3"/>
    <x v="4"/>
    <x v="1"/>
    <x v="3"/>
    <n v="5027.1000000000004"/>
    <x v="451"/>
    <n v="3640.32"/>
    <n v="0.42"/>
    <x v="0"/>
    <n v="10"/>
    <x v="0"/>
  </r>
  <r>
    <d v="2005-01-03T00:00:00"/>
    <x v="5"/>
    <x v="2"/>
    <x v="1"/>
    <x v="1"/>
    <n v="1690.76"/>
    <x v="452"/>
    <n v="1383.35"/>
    <n v="0.45"/>
    <x v="0"/>
    <n v="1"/>
    <x v="2"/>
  </r>
  <r>
    <d v="2005-07-27T00:00:00"/>
    <x v="3"/>
    <x v="1"/>
    <x v="0"/>
    <x v="0"/>
    <n v="5568.69"/>
    <x v="453"/>
    <n v="3869.76"/>
    <n v="0.41"/>
    <x v="0"/>
    <n v="7"/>
    <x v="9"/>
  </r>
  <r>
    <d v="2004-09-30T00:00:00"/>
    <x v="4"/>
    <x v="3"/>
    <x v="3"/>
    <x v="1"/>
    <n v="2896.02"/>
    <x v="454"/>
    <n v="2097.12"/>
    <n v="0.42"/>
    <x v="2"/>
    <n v="9"/>
    <x v="6"/>
  </r>
  <r>
    <d v="2006-06-10T00:00:00"/>
    <x v="2"/>
    <x v="0"/>
    <x v="0"/>
    <x v="1"/>
    <n v="2681.74"/>
    <x v="455"/>
    <n v="3277.68"/>
    <n v="0.55000000000000004"/>
    <x v="1"/>
    <n v="6"/>
    <x v="5"/>
  </r>
  <r>
    <d v="2005-04-30T00:00:00"/>
    <x v="5"/>
    <x v="0"/>
    <x v="2"/>
    <x v="3"/>
    <n v="2401.73"/>
    <x v="456"/>
    <n v="4089.44"/>
    <n v="0.63"/>
    <x v="0"/>
    <n v="4"/>
    <x v="8"/>
  </r>
  <r>
    <d v="2006-03-31T00:00:00"/>
    <x v="2"/>
    <x v="0"/>
    <x v="1"/>
    <x v="1"/>
    <n v="4454"/>
    <x v="457"/>
    <n v="1484.66"/>
    <n v="0.25"/>
    <x v="1"/>
    <n v="3"/>
    <x v="3"/>
  </r>
  <r>
    <d v="2005-09-11T00:00:00"/>
    <x v="5"/>
    <x v="0"/>
    <x v="1"/>
    <x v="3"/>
    <n v="2990.26"/>
    <x v="458"/>
    <n v="5091.53"/>
    <n v="0.63"/>
    <x v="0"/>
    <n v="9"/>
    <x v="6"/>
  </r>
  <r>
    <d v="2005-07-26T00:00:00"/>
    <x v="5"/>
    <x v="2"/>
    <x v="3"/>
    <x v="3"/>
    <n v="3562.2"/>
    <x v="459"/>
    <n v="2914.52"/>
    <n v="0.45"/>
    <x v="0"/>
    <n v="7"/>
    <x v="9"/>
  </r>
  <r>
    <d v="2006-03-16T00:00:00"/>
    <x v="2"/>
    <x v="2"/>
    <x v="2"/>
    <x v="3"/>
    <n v="9007.0499999999993"/>
    <x v="460"/>
    <n v="626.16"/>
    <n v="6.5000000000000002E-2"/>
    <x v="1"/>
    <n v="3"/>
    <x v="3"/>
  </r>
  <r>
    <d v="2005-05-16T00:00:00"/>
    <x v="5"/>
    <x v="4"/>
    <x v="1"/>
    <x v="1"/>
    <n v="2887.72"/>
    <x v="461"/>
    <n v="2091.11"/>
    <n v="0.42"/>
    <x v="0"/>
    <n v="5"/>
    <x v="7"/>
  </r>
  <r>
    <d v="2004-10-24T00:00:00"/>
    <x v="1"/>
    <x v="0"/>
    <x v="1"/>
    <x v="3"/>
    <n v="1515.56"/>
    <x v="462"/>
    <n v="1097.47"/>
    <n v="0.42"/>
    <x v="2"/>
    <n v="10"/>
    <x v="0"/>
  </r>
  <r>
    <d v="2005-09-20T00:00:00"/>
    <x v="1"/>
    <x v="2"/>
    <x v="1"/>
    <x v="0"/>
    <n v="4646.18"/>
    <x v="463"/>
    <n v="3364.47"/>
    <n v="0.42"/>
    <x v="0"/>
    <n v="9"/>
    <x v="6"/>
  </r>
  <r>
    <d v="2004-09-06T00:00:00"/>
    <x v="4"/>
    <x v="1"/>
    <x v="1"/>
    <x v="3"/>
    <n v="4774.72"/>
    <x v="464"/>
    <n v="3906.59"/>
    <n v="0.45"/>
    <x v="2"/>
    <n v="9"/>
    <x v="6"/>
  </r>
  <r>
    <d v="2006-02-07T00:00:00"/>
    <x v="3"/>
    <x v="2"/>
    <x v="0"/>
    <x v="3"/>
    <n v="4002.68"/>
    <x v="465"/>
    <n v="1334.22"/>
    <n v="0.25"/>
    <x v="1"/>
    <n v="2"/>
    <x v="1"/>
  </r>
  <r>
    <d v="2006-05-18T00:00:00"/>
    <x v="4"/>
    <x v="1"/>
    <x v="0"/>
    <x v="3"/>
    <n v="5309.24"/>
    <x v="466"/>
    <n v="4343.92"/>
    <n v="0.45"/>
    <x v="1"/>
    <n v="5"/>
    <x v="7"/>
  </r>
  <r>
    <d v="2005-08-06T00:00:00"/>
    <x v="2"/>
    <x v="4"/>
    <x v="1"/>
    <x v="2"/>
    <n v="769.61"/>
    <x v="467"/>
    <n v="1310.43"/>
    <n v="0.63"/>
    <x v="0"/>
    <n v="8"/>
    <x v="10"/>
  </r>
  <r>
    <d v="2006-01-09T00:00:00"/>
    <x v="3"/>
    <x v="3"/>
    <x v="1"/>
    <x v="0"/>
    <n v="2070.56"/>
    <x v="468"/>
    <n v="3525.54"/>
    <n v="0.63"/>
    <x v="1"/>
    <n v="1"/>
    <x v="2"/>
  </r>
  <r>
    <d v="2004-12-09T00:00:00"/>
    <x v="0"/>
    <x v="1"/>
    <x v="1"/>
    <x v="1"/>
    <n v="2607.6999999999998"/>
    <x v="469"/>
    <n v="3456.73"/>
    <n v="0.56999999999999995"/>
    <x v="2"/>
    <n v="12"/>
    <x v="4"/>
  </r>
  <r>
    <d v="2004-12-18T00:00:00"/>
    <x v="4"/>
    <x v="1"/>
    <x v="0"/>
    <x v="3"/>
    <n v="1826.62"/>
    <x v="470"/>
    <n v="1322.72"/>
    <n v="0.42"/>
    <x v="2"/>
    <n v="12"/>
    <x v="4"/>
  </r>
  <r>
    <d v="2006-02-06T00:00:00"/>
    <x v="5"/>
    <x v="2"/>
    <x v="2"/>
    <x v="2"/>
    <n v="1549.97"/>
    <x v="471"/>
    <n v="2639.15"/>
    <n v="0.63"/>
    <x v="1"/>
    <n v="2"/>
    <x v="1"/>
  </r>
  <r>
    <d v="2005-04-17T00:00:00"/>
    <x v="4"/>
    <x v="3"/>
    <x v="2"/>
    <x v="0"/>
    <n v="4714.63"/>
    <x v="472"/>
    <n v="3276.27"/>
    <n v="0.41"/>
    <x v="0"/>
    <n v="4"/>
    <x v="8"/>
  </r>
  <r>
    <d v="2006-06-07T00:00:00"/>
    <x v="0"/>
    <x v="3"/>
    <x v="2"/>
    <x v="1"/>
    <n v="1155.05"/>
    <x v="473"/>
    <n v="543.54999999999995"/>
    <n v="0.32"/>
    <x v="1"/>
    <n v="6"/>
    <x v="5"/>
  </r>
  <r>
    <d v="2005-02-09T00:00:00"/>
    <x v="4"/>
    <x v="4"/>
    <x v="0"/>
    <x v="1"/>
    <n v="7362.19"/>
    <x v="474"/>
    <n v="2454.06"/>
    <n v="0.25"/>
    <x v="0"/>
    <n v="2"/>
    <x v="1"/>
  </r>
  <r>
    <d v="2005-01-08T00:00:00"/>
    <x v="4"/>
    <x v="3"/>
    <x v="0"/>
    <x v="0"/>
    <n v="1513.27"/>
    <x v="475"/>
    <n v="206.35"/>
    <n v="0.12"/>
    <x v="0"/>
    <n v="1"/>
    <x v="2"/>
  </r>
  <r>
    <d v="2004-09-28T00:00:00"/>
    <x v="2"/>
    <x v="1"/>
    <x v="2"/>
    <x v="0"/>
    <n v="3581.36"/>
    <x v="476"/>
    <n v="4377.21"/>
    <n v="0.55000000000000004"/>
    <x v="2"/>
    <n v="9"/>
    <x v="6"/>
  </r>
  <r>
    <d v="2005-12-25T00:00:00"/>
    <x v="5"/>
    <x v="3"/>
    <x v="3"/>
    <x v="2"/>
    <n v="5914.4"/>
    <x v="477"/>
    <n v="411.16"/>
    <n v="6.5000000000000002E-2"/>
    <x v="0"/>
    <n v="12"/>
    <x v="4"/>
  </r>
  <r>
    <d v="2006-01-31T00:00:00"/>
    <x v="1"/>
    <x v="0"/>
    <x v="2"/>
    <x v="3"/>
    <n v="568.53"/>
    <x v="478"/>
    <n v="267.54000000000002"/>
    <n v="0.32"/>
    <x v="1"/>
    <n v="1"/>
    <x v="2"/>
  </r>
  <r>
    <d v="2005-06-04T00:00:00"/>
    <x v="3"/>
    <x v="4"/>
    <x v="3"/>
    <x v="3"/>
    <n v="3178.33"/>
    <x v="479"/>
    <n v="2600.4499999999998"/>
    <n v="0.45"/>
    <x v="0"/>
    <n v="6"/>
    <x v="5"/>
  </r>
  <r>
    <d v="2006-02-21T00:00:00"/>
    <x v="4"/>
    <x v="2"/>
    <x v="1"/>
    <x v="3"/>
    <n v="1860.25"/>
    <x v="480"/>
    <n v="3167.46"/>
    <n v="0.63"/>
    <x v="1"/>
    <n v="2"/>
    <x v="1"/>
  </r>
  <r>
    <d v="2006-02-04T00:00:00"/>
    <x v="3"/>
    <x v="0"/>
    <x v="0"/>
    <x v="1"/>
    <n v="217.49"/>
    <x v="481"/>
    <n v="15.12"/>
    <n v="6.5000000000000002E-2"/>
    <x v="1"/>
    <n v="2"/>
    <x v="1"/>
  </r>
  <r>
    <d v="2006-02-10T00:00:00"/>
    <x v="5"/>
    <x v="4"/>
    <x v="0"/>
    <x v="0"/>
    <n v="178.75"/>
    <x v="482"/>
    <n v="59.58"/>
    <n v="0.25"/>
    <x v="1"/>
    <n v="2"/>
    <x v="1"/>
  </r>
  <r>
    <d v="2005-07-20T00:00:00"/>
    <x v="1"/>
    <x v="3"/>
    <x v="3"/>
    <x v="3"/>
    <n v="983.02"/>
    <x v="483"/>
    <n v="327.68"/>
    <n v="0.25"/>
    <x v="0"/>
    <n v="7"/>
    <x v="9"/>
  </r>
  <r>
    <d v="2006-01-06T00:00:00"/>
    <x v="0"/>
    <x v="0"/>
    <x v="1"/>
    <x v="3"/>
    <n v="8136.27"/>
    <x v="484"/>
    <n v="565.62"/>
    <n v="6.5000000000000002E-2"/>
    <x v="1"/>
    <n v="1"/>
    <x v="2"/>
  </r>
  <r>
    <d v="2005-05-28T00:00:00"/>
    <x v="1"/>
    <x v="3"/>
    <x v="1"/>
    <x v="1"/>
    <n v="3591.79"/>
    <x v="485"/>
    <n v="2938.74"/>
    <n v="0.45"/>
    <x v="0"/>
    <n v="5"/>
    <x v="7"/>
  </r>
  <r>
    <d v="2005-02-08T00:00:00"/>
    <x v="2"/>
    <x v="3"/>
    <x v="1"/>
    <x v="0"/>
    <n v="1936.76"/>
    <x v="486"/>
    <n v="645.59"/>
    <n v="0.25"/>
    <x v="0"/>
    <n v="2"/>
    <x v="1"/>
  </r>
  <r>
    <d v="2006-05-02T00:00:00"/>
    <x v="1"/>
    <x v="4"/>
    <x v="0"/>
    <x v="2"/>
    <n v="2420.2399999999998"/>
    <x v="487"/>
    <n v="2958.08"/>
    <n v="0.55000000000000004"/>
    <x v="1"/>
    <n v="5"/>
    <x v="7"/>
  </r>
  <r>
    <d v="2006-01-03T00:00:00"/>
    <x v="4"/>
    <x v="3"/>
    <x v="0"/>
    <x v="2"/>
    <n v="4448.6899999999996"/>
    <x v="488"/>
    <n v="606.64"/>
    <n v="0.12"/>
    <x v="1"/>
    <n v="1"/>
    <x v="2"/>
  </r>
  <r>
    <d v="2005-03-18T00:00:00"/>
    <x v="3"/>
    <x v="1"/>
    <x v="0"/>
    <x v="2"/>
    <n v="6938.77"/>
    <x v="489"/>
    <n v="482.37"/>
    <n v="6.5000000000000002E-2"/>
    <x v="0"/>
    <n v="3"/>
    <x v="3"/>
  </r>
  <r>
    <d v="2004-07-15T00:00:00"/>
    <x v="2"/>
    <x v="0"/>
    <x v="3"/>
    <x v="2"/>
    <n v="5481.29"/>
    <x v="490"/>
    <n v="4484.7"/>
    <n v="0.45"/>
    <x v="2"/>
    <n v="7"/>
    <x v="9"/>
  </r>
  <r>
    <d v="2005-03-01T00:00:00"/>
    <x v="5"/>
    <x v="0"/>
    <x v="3"/>
    <x v="3"/>
    <n v="2122.84"/>
    <x v="491"/>
    <n v="2814"/>
    <n v="0.56999999999999995"/>
    <x v="0"/>
    <n v="3"/>
    <x v="3"/>
  </r>
  <r>
    <d v="2004-08-01T00:00:00"/>
    <x v="2"/>
    <x v="3"/>
    <x v="1"/>
    <x v="3"/>
    <n v="534.58000000000004"/>
    <x v="492"/>
    <n v="371.48"/>
    <n v="0.41"/>
    <x v="2"/>
    <n v="8"/>
    <x v="10"/>
  </r>
  <r>
    <d v="2006-01-05T00:00:00"/>
    <x v="5"/>
    <x v="3"/>
    <x v="2"/>
    <x v="2"/>
    <n v="849.06"/>
    <x v="493"/>
    <n v="1037.75"/>
    <n v="0.55000000000000004"/>
    <x v="1"/>
    <n v="1"/>
    <x v="2"/>
  </r>
  <r>
    <d v="2005-05-25T00:00:00"/>
    <x v="1"/>
    <x v="4"/>
    <x v="0"/>
    <x v="1"/>
    <n v="4315.6000000000004"/>
    <x v="494"/>
    <n v="3530.95"/>
    <n v="0.45"/>
    <x v="0"/>
    <n v="5"/>
    <x v="7"/>
  </r>
  <r>
    <d v="2005-05-19T00:00:00"/>
    <x v="4"/>
    <x v="0"/>
    <x v="3"/>
    <x v="1"/>
    <n v="589.89"/>
    <x v="495"/>
    <n v="720.97"/>
    <n v="0.55000000000000004"/>
    <x v="0"/>
    <n v="5"/>
    <x v="7"/>
  </r>
  <r>
    <d v="2006-06-16T00:00:00"/>
    <x v="4"/>
    <x v="0"/>
    <x v="2"/>
    <x v="0"/>
    <n v="1835.9"/>
    <x v="496"/>
    <n v="1329.44"/>
    <n v="0.42"/>
    <x v="1"/>
    <n v="6"/>
    <x v="5"/>
  </r>
  <r>
    <d v="2005-08-10T00:00:00"/>
    <x v="5"/>
    <x v="3"/>
    <x v="1"/>
    <x v="0"/>
    <n v="346.72"/>
    <x v="497"/>
    <n v="163.16"/>
    <n v="0.32"/>
    <x v="0"/>
    <n v="8"/>
    <x v="10"/>
  </r>
  <r>
    <d v="2005-05-09T00:00:00"/>
    <x v="4"/>
    <x v="3"/>
    <x v="3"/>
    <x v="1"/>
    <n v="1858.34"/>
    <x v="498"/>
    <n v="2463.39"/>
    <n v="0.56999999999999995"/>
    <x v="0"/>
    <n v="5"/>
    <x v="7"/>
  </r>
  <r>
    <d v="2004-10-15T00:00:00"/>
    <x v="5"/>
    <x v="4"/>
    <x v="1"/>
    <x v="2"/>
    <n v="353.83"/>
    <x v="499"/>
    <n v="245.89"/>
    <n v="0.41"/>
    <x v="2"/>
    <n v="10"/>
    <x v="0"/>
  </r>
  <r>
    <d v="2006-01-01T00:00:00"/>
    <x v="0"/>
    <x v="3"/>
    <x v="3"/>
    <x v="0"/>
    <n v="429.22"/>
    <x v="500"/>
    <n v="143.07"/>
    <n v="0.25"/>
    <x v="1"/>
    <n v="1"/>
    <x v="2"/>
  </r>
  <r>
    <d v="2005-01-19T00:00:00"/>
    <x v="3"/>
    <x v="1"/>
    <x v="3"/>
    <x v="3"/>
    <n v="4427.96"/>
    <x v="501"/>
    <n v="3077.06"/>
    <n v="0.41"/>
    <x v="0"/>
    <n v="1"/>
    <x v="2"/>
  </r>
  <r>
    <d v="2004-07-19T00:00:00"/>
    <x v="2"/>
    <x v="2"/>
    <x v="1"/>
    <x v="0"/>
    <n v="1333.3"/>
    <x v="502"/>
    <n v="1629.6"/>
    <n v="0.55000000000000004"/>
    <x v="2"/>
    <n v="7"/>
    <x v="9"/>
  </r>
  <r>
    <d v="2004-06-23T00:00:00"/>
    <x v="2"/>
    <x v="0"/>
    <x v="1"/>
    <x v="2"/>
    <n v="1707.81"/>
    <x v="503"/>
    <n v="2907.9"/>
    <n v="0.63"/>
    <x v="2"/>
    <n v="6"/>
    <x v="5"/>
  </r>
  <r>
    <d v="2005-06-16T00:00:00"/>
    <x v="2"/>
    <x v="2"/>
    <x v="3"/>
    <x v="3"/>
    <n v="3398.33"/>
    <x v="504"/>
    <n v="1599.21"/>
    <n v="0.32"/>
    <x v="0"/>
    <n v="6"/>
    <x v="5"/>
  </r>
  <r>
    <d v="2005-11-21T00:00:00"/>
    <x v="2"/>
    <x v="2"/>
    <x v="3"/>
    <x v="2"/>
    <n v="1768.95"/>
    <x v="505"/>
    <n v="1280.97"/>
    <n v="0.42"/>
    <x v="0"/>
    <n v="11"/>
    <x v="11"/>
  </r>
  <r>
    <d v="2004-07-24T00:00:00"/>
    <x v="4"/>
    <x v="2"/>
    <x v="2"/>
    <x v="3"/>
    <n v="4232.25"/>
    <x v="506"/>
    <n v="5172.74"/>
    <n v="0.55000000000000004"/>
    <x v="2"/>
    <n v="7"/>
    <x v="9"/>
  </r>
  <r>
    <d v="2005-07-13T00:00:00"/>
    <x v="4"/>
    <x v="0"/>
    <x v="3"/>
    <x v="1"/>
    <n v="5510.95"/>
    <x v="507"/>
    <n v="3829.65"/>
    <n v="0.41"/>
    <x v="0"/>
    <n v="7"/>
    <x v="9"/>
  </r>
  <r>
    <d v="2006-02-28T00:00:00"/>
    <x v="1"/>
    <x v="0"/>
    <x v="2"/>
    <x v="0"/>
    <n v="213.42"/>
    <x v="508"/>
    <n v="282.91000000000003"/>
    <n v="0.56999999999999995"/>
    <x v="1"/>
    <n v="2"/>
    <x v="1"/>
  </r>
  <r>
    <d v="2004-07-15T00:00:00"/>
    <x v="3"/>
    <x v="4"/>
    <x v="0"/>
    <x v="0"/>
    <n v="1049.97"/>
    <x v="509"/>
    <n v="729.64"/>
    <n v="0.41"/>
    <x v="2"/>
    <n v="7"/>
    <x v="9"/>
  </r>
  <r>
    <d v="2005-06-19T00:00:00"/>
    <x v="4"/>
    <x v="4"/>
    <x v="0"/>
    <x v="3"/>
    <n v="4611.68"/>
    <x v="510"/>
    <n v="3773.19"/>
    <n v="0.45"/>
    <x v="0"/>
    <n v="6"/>
    <x v="5"/>
  </r>
  <r>
    <d v="2005-09-18T00:00:00"/>
    <x v="3"/>
    <x v="1"/>
    <x v="1"/>
    <x v="1"/>
    <n v="3338.95"/>
    <x v="511"/>
    <n v="4080.94"/>
    <n v="0.55000000000000004"/>
    <x v="0"/>
    <n v="9"/>
    <x v="6"/>
  </r>
  <r>
    <d v="2005-01-02T00:00:00"/>
    <x v="3"/>
    <x v="1"/>
    <x v="3"/>
    <x v="0"/>
    <n v="1373.68"/>
    <x v="512"/>
    <n v="646.44000000000005"/>
    <n v="0.32"/>
    <x v="0"/>
    <n v="1"/>
    <x v="2"/>
  </r>
  <r>
    <d v="2005-11-09T00:00:00"/>
    <x v="3"/>
    <x v="0"/>
    <x v="2"/>
    <x v="1"/>
    <n v="203.68"/>
    <x v="513"/>
    <n v="67.900000000000006"/>
    <n v="0.25"/>
    <x v="0"/>
    <n v="11"/>
    <x v="11"/>
  </r>
  <r>
    <d v="2005-09-15T00:00:00"/>
    <x v="1"/>
    <x v="2"/>
    <x v="3"/>
    <x v="3"/>
    <n v="5016.6899999999996"/>
    <x v="514"/>
    <n v="684.09"/>
    <n v="0.12"/>
    <x v="0"/>
    <n v="9"/>
    <x v="6"/>
  </r>
  <r>
    <d v="2005-07-30T00:00:00"/>
    <x v="5"/>
    <x v="4"/>
    <x v="0"/>
    <x v="3"/>
    <n v="5463.88"/>
    <x v="515"/>
    <n v="3796.93"/>
    <n v="0.41"/>
    <x v="0"/>
    <n v="7"/>
    <x v="9"/>
  </r>
  <r>
    <d v="2005-07-26T00:00:00"/>
    <x v="5"/>
    <x v="4"/>
    <x v="3"/>
    <x v="0"/>
    <n v="4286.4799999999996"/>
    <x v="516"/>
    <n v="5682.07"/>
    <n v="0.56999999999999995"/>
    <x v="0"/>
    <n v="7"/>
    <x v="9"/>
  </r>
  <r>
    <d v="2006-01-01T00:00:00"/>
    <x v="5"/>
    <x v="4"/>
    <x v="1"/>
    <x v="2"/>
    <n v="4341.18"/>
    <x v="517"/>
    <n v="3016.75"/>
    <n v="0.41"/>
    <x v="1"/>
    <n v="1"/>
    <x v="2"/>
  </r>
  <r>
    <d v="2004-07-18T00:00:00"/>
    <x v="0"/>
    <x v="1"/>
    <x v="3"/>
    <x v="1"/>
    <n v="3413.98"/>
    <x v="518"/>
    <n v="1138"/>
    <n v="0.25"/>
    <x v="2"/>
    <n v="7"/>
    <x v="9"/>
  </r>
  <r>
    <d v="2005-11-16T00:00:00"/>
    <x v="3"/>
    <x v="4"/>
    <x v="2"/>
    <x v="3"/>
    <n v="5142.92"/>
    <x v="519"/>
    <n v="357.53"/>
    <n v="6.5000000000000002E-2"/>
    <x v="0"/>
    <n v="11"/>
    <x v="11"/>
  </r>
  <r>
    <d v="2005-04-27T00:00:00"/>
    <x v="1"/>
    <x v="4"/>
    <x v="0"/>
    <x v="1"/>
    <n v="73.77"/>
    <x v="520"/>
    <n v="60.36"/>
    <n v="0.45"/>
    <x v="0"/>
    <n v="4"/>
    <x v="8"/>
  </r>
  <r>
    <d v="2005-04-04T00:00:00"/>
    <x v="3"/>
    <x v="4"/>
    <x v="3"/>
    <x v="0"/>
    <n v="5896.5"/>
    <x v="521"/>
    <n v="804.07"/>
    <n v="0.12"/>
    <x v="0"/>
    <n v="4"/>
    <x v="8"/>
  </r>
  <r>
    <d v="2004-12-07T00:00:00"/>
    <x v="2"/>
    <x v="1"/>
    <x v="2"/>
    <x v="2"/>
    <n v="2540.1999999999998"/>
    <x v="522"/>
    <n v="346.39"/>
    <n v="0.12"/>
    <x v="2"/>
    <n v="12"/>
    <x v="4"/>
  </r>
  <r>
    <d v="2005-03-19T00:00:00"/>
    <x v="0"/>
    <x v="4"/>
    <x v="3"/>
    <x v="0"/>
    <n v="1911.28"/>
    <x v="523"/>
    <n v="637.09"/>
    <n v="0.25"/>
    <x v="0"/>
    <n v="3"/>
    <x v="3"/>
  </r>
  <r>
    <d v="2006-05-26T00:00:00"/>
    <x v="1"/>
    <x v="4"/>
    <x v="1"/>
    <x v="0"/>
    <n v="5846.42"/>
    <x v="524"/>
    <n v="1948.8"/>
    <n v="0.25"/>
    <x v="1"/>
    <n v="5"/>
    <x v="7"/>
  </r>
  <r>
    <d v="2005-09-11T00:00:00"/>
    <x v="5"/>
    <x v="2"/>
    <x v="1"/>
    <x v="0"/>
    <n v="45.62"/>
    <x v="525"/>
    <n v="31.71"/>
    <n v="0.41010000000000002"/>
    <x v="0"/>
    <n v="9"/>
    <x v="6"/>
  </r>
  <r>
    <d v="2005-09-15T00:00:00"/>
    <x v="4"/>
    <x v="4"/>
    <x v="0"/>
    <x v="3"/>
    <n v="4150.45"/>
    <x v="526"/>
    <n v="2884.21"/>
    <n v="0.41"/>
    <x v="0"/>
    <n v="9"/>
    <x v="6"/>
  </r>
  <r>
    <d v="2006-05-03T00:00:00"/>
    <x v="3"/>
    <x v="1"/>
    <x v="0"/>
    <x v="0"/>
    <n v="2075.59"/>
    <x v="527"/>
    <n v="1698.21"/>
    <n v="0.45"/>
    <x v="1"/>
    <n v="5"/>
    <x v="7"/>
  </r>
  <r>
    <d v="2006-03-11T00:00:00"/>
    <x v="1"/>
    <x v="1"/>
    <x v="0"/>
    <x v="0"/>
    <n v="3255.31"/>
    <x v="528"/>
    <n v="1531.91"/>
    <n v="0.32"/>
    <x v="1"/>
    <n v="3"/>
    <x v="3"/>
  </r>
  <r>
    <d v="2004-10-17T00:00:00"/>
    <x v="4"/>
    <x v="4"/>
    <x v="1"/>
    <x v="0"/>
    <n v="3852.91"/>
    <x v="529"/>
    <n v="267.85000000000002"/>
    <n v="6.5000000000000002E-2"/>
    <x v="2"/>
    <n v="10"/>
    <x v="0"/>
  </r>
  <r>
    <d v="2005-10-03T00:00:00"/>
    <x v="0"/>
    <x v="2"/>
    <x v="0"/>
    <x v="1"/>
    <n v="4853.28"/>
    <x v="530"/>
    <n v="2283.9"/>
    <n v="0.32"/>
    <x v="0"/>
    <n v="10"/>
    <x v="0"/>
  </r>
  <r>
    <d v="2006-03-22T00:00:00"/>
    <x v="2"/>
    <x v="1"/>
    <x v="3"/>
    <x v="0"/>
    <n v="1828.18"/>
    <x v="531"/>
    <n v="249.3"/>
    <n v="0.12"/>
    <x v="1"/>
    <n v="3"/>
    <x v="3"/>
  </r>
  <r>
    <d v="2005-10-29T00:00:00"/>
    <x v="2"/>
    <x v="2"/>
    <x v="0"/>
    <x v="1"/>
    <n v="2657.61"/>
    <x v="532"/>
    <n v="4525.12"/>
    <n v="0.63"/>
    <x v="0"/>
    <n v="10"/>
    <x v="0"/>
  </r>
  <r>
    <d v="2005-12-28T00:00:00"/>
    <x v="1"/>
    <x v="4"/>
    <x v="2"/>
    <x v="0"/>
    <n v="5129.13"/>
    <x v="533"/>
    <n v="1709.71"/>
    <n v="0.25"/>
    <x v="0"/>
    <n v="12"/>
    <x v="4"/>
  </r>
  <r>
    <d v="2005-10-24T00:00:00"/>
    <x v="1"/>
    <x v="0"/>
    <x v="1"/>
    <x v="2"/>
    <n v="3074.8"/>
    <x v="534"/>
    <n v="5235.46"/>
    <n v="0.63"/>
    <x v="0"/>
    <n v="10"/>
    <x v="0"/>
  </r>
  <r>
    <d v="2005-07-02T00:00:00"/>
    <x v="2"/>
    <x v="0"/>
    <x v="0"/>
    <x v="3"/>
    <n v="2727.48"/>
    <x v="535"/>
    <n v="909.16"/>
    <n v="0.25"/>
    <x v="0"/>
    <n v="7"/>
    <x v="9"/>
  </r>
  <r>
    <d v="2005-05-22T00:00:00"/>
    <x v="4"/>
    <x v="0"/>
    <x v="2"/>
    <x v="1"/>
    <n v="1444.06"/>
    <x v="536"/>
    <n v="2458.8000000000002"/>
    <n v="0.63"/>
    <x v="0"/>
    <n v="5"/>
    <x v="7"/>
  </r>
  <r>
    <d v="2005-09-23T00:00:00"/>
    <x v="5"/>
    <x v="4"/>
    <x v="3"/>
    <x v="1"/>
    <n v="4440.5200000000004"/>
    <x v="537"/>
    <n v="3633.15"/>
    <n v="0.45"/>
    <x v="0"/>
    <n v="9"/>
    <x v="6"/>
  </r>
  <r>
    <d v="2005-07-15T00:00:00"/>
    <x v="1"/>
    <x v="3"/>
    <x v="0"/>
    <x v="0"/>
    <n v="1908.55"/>
    <x v="538"/>
    <n v="636.17999999999995"/>
    <n v="0.25"/>
    <x v="0"/>
    <n v="7"/>
    <x v="9"/>
  </r>
  <r>
    <d v="2005-12-26T00:00:00"/>
    <x v="3"/>
    <x v="4"/>
    <x v="1"/>
    <x v="3"/>
    <n v="8598.61"/>
    <x v="539"/>
    <n v="597.76"/>
    <n v="6.5000000000000002E-2"/>
    <x v="0"/>
    <n v="12"/>
    <x v="4"/>
  </r>
  <r>
    <d v="2005-01-27T00:00:00"/>
    <x v="1"/>
    <x v="2"/>
    <x v="2"/>
    <x v="2"/>
    <n v="2050.25"/>
    <x v="540"/>
    <n v="1677.47"/>
    <n v="0.45"/>
    <x v="0"/>
    <n v="1"/>
    <x v="2"/>
  </r>
  <r>
    <d v="2004-09-19T00:00:00"/>
    <x v="1"/>
    <x v="3"/>
    <x v="3"/>
    <x v="0"/>
    <n v="2145.61"/>
    <x v="541"/>
    <n v="292.58"/>
    <n v="0.12"/>
    <x v="2"/>
    <n v="9"/>
    <x v="6"/>
  </r>
  <r>
    <d v="2004-12-29T00:00:00"/>
    <x v="1"/>
    <x v="2"/>
    <x v="1"/>
    <x v="0"/>
    <n v="4204.5"/>
    <x v="542"/>
    <n v="5573.4"/>
    <n v="0.56999999999999995"/>
    <x v="2"/>
    <n v="12"/>
    <x v="4"/>
  </r>
  <r>
    <d v="2005-01-10T00:00:00"/>
    <x v="1"/>
    <x v="2"/>
    <x v="1"/>
    <x v="3"/>
    <n v="4120.4399999999996"/>
    <x v="543"/>
    <n v="2863.35"/>
    <n v="0.41"/>
    <x v="0"/>
    <n v="1"/>
    <x v="2"/>
  </r>
  <r>
    <d v="2006-02-01T00:00:00"/>
    <x v="0"/>
    <x v="1"/>
    <x v="1"/>
    <x v="1"/>
    <n v="141.77000000000001"/>
    <x v="544"/>
    <n v="66.709999999999994"/>
    <n v="0.32"/>
    <x v="1"/>
    <n v="2"/>
    <x v="1"/>
  </r>
  <r>
    <d v="2004-09-04T00:00:00"/>
    <x v="1"/>
    <x v="4"/>
    <x v="0"/>
    <x v="3"/>
    <n v="5842.08"/>
    <x v="545"/>
    <n v="796.65"/>
    <n v="0.12"/>
    <x v="2"/>
    <n v="9"/>
    <x v="6"/>
  </r>
  <r>
    <d v="2006-05-01T00:00:00"/>
    <x v="3"/>
    <x v="3"/>
    <x v="2"/>
    <x v="3"/>
    <n v="3297.05"/>
    <x v="546"/>
    <n v="4029.72"/>
    <n v="0.55000000000000004"/>
    <x v="1"/>
    <n v="5"/>
    <x v="7"/>
  </r>
  <r>
    <d v="2006-01-24T00:00:00"/>
    <x v="2"/>
    <x v="2"/>
    <x v="2"/>
    <x v="3"/>
    <n v="8339.5499999999993"/>
    <x v="547"/>
    <n v="1137.21"/>
    <n v="0.12"/>
    <x v="1"/>
    <n v="1"/>
    <x v="2"/>
  </r>
  <r>
    <d v="2004-11-10T00:00:00"/>
    <x v="5"/>
    <x v="3"/>
    <x v="1"/>
    <x v="1"/>
    <n v="5467"/>
    <x v="548"/>
    <n v="3799.11"/>
    <n v="0.41"/>
    <x v="2"/>
    <n v="11"/>
    <x v="11"/>
  </r>
  <r>
    <d v="2005-02-03T00:00:00"/>
    <x v="1"/>
    <x v="0"/>
    <x v="0"/>
    <x v="2"/>
    <n v="862.86"/>
    <x v="549"/>
    <n v="1143.79"/>
    <n v="0.56999999999999995"/>
    <x v="0"/>
    <n v="2"/>
    <x v="1"/>
  </r>
  <r>
    <d v="2006-06-14T00:00:00"/>
    <x v="3"/>
    <x v="4"/>
    <x v="1"/>
    <x v="3"/>
    <n v="1233.07"/>
    <x v="550"/>
    <n v="1634.53"/>
    <n v="0.56999999999999995"/>
    <x v="1"/>
    <n v="6"/>
    <x v="5"/>
  </r>
  <r>
    <d v="2005-03-18T00:00:00"/>
    <x v="5"/>
    <x v="1"/>
    <x v="0"/>
    <x v="3"/>
    <n v="1759.9"/>
    <x v="551"/>
    <n v="2332.88"/>
    <n v="0.56999999999999995"/>
    <x v="0"/>
    <n v="3"/>
    <x v="3"/>
  </r>
  <r>
    <d v="2004-08-07T00:00:00"/>
    <x v="3"/>
    <x v="2"/>
    <x v="3"/>
    <x v="0"/>
    <n v="799.45"/>
    <x v="552"/>
    <n v="578.91999999999996"/>
    <n v="0.42"/>
    <x v="2"/>
    <n v="8"/>
    <x v="10"/>
  </r>
  <r>
    <d v="2005-02-09T00:00:00"/>
    <x v="1"/>
    <x v="1"/>
    <x v="2"/>
    <x v="3"/>
    <n v="1835.65"/>
    <x v="553"/>
    <n v="2433.31"/>
    <n v="0.56999999999999995"/>
    <x v="0"/>
    <n v="2"/>
    <x v="1"/>
  </r>
  <r>
    <d v="2005-03-31T00:00:00"/>
    <x v="5"/>
    <x v="1"/>
    <x v="0"/>
    <x v="2"/>
    <n v="2899.86"/>
    <x v="554"/>
    <n v="395.44"/>
    <n v="0.12"/>
    <x v="0"/>
    <n v="3"/>
    <x v="3"/>
  </r>
  <r>
    <d v="2005-06-15T00:00:00"/>
    <x v="3"/>
    <x v="2"/>
    <x v="3"/>
    <x v="3"/>
    <n v="3301.64"/>
    <x v="555"/>
    <n v="1100.54"/>
    <n v="0.25"/>
    <x v="0"/>
    <n v="6"/>
    <x v="5"/>
  </r>
  <r>
    <d v="2004-09-06T00:00:00"/>
    <x v="2"/>
    <x v="1"/>
    <x v="1"/>
    <x v="1"/>
    <n v="826.57"/>
    <x v="556"/>
    <n v="57.46"/>
    <n v="6.5000000000000002E-2"/>
    <x v="2"/>
    <n v="9"/>
    <x v="6"/>
  </r>
  <r>
    <d v="2006-04-16T00:00:00"/>
    <x v="2"/>
    <x v="3"/>
    <x v="2"/>
    <x v="3"/>
    <n v="3494.59"/>
    <x v="557"/>
    <n v="4271.17"/>
    <n v="0.55000000000000004"/>
    <x v="1"/>
    <n v="4"/>
    <x v="8"/>
  </r>
  <r>
    <d v="2005-10-28T00:00:00"/>
    <x v="5"/>
    <x v="3"/>
    <x v="3"/>
    <x v="0"/>
    <n v="2044.35"/>
    <x v="558"/>
    <n v="142.12"/>
    <n v="6.5000000000000002E-2"/>
    <x v="0"/>
    <n v="10"/>
    <x v="0"/>
  </r>
  <r>
    <d v="2005-02-23T00:00:00"/>
    <x v="1"/>
    <x v="0"/>
    <x v="0"/>
    <x v="1"/>
    <n v="924.27"/>
    <x v="559"/>
    <n v="1573.77"/>
    <n v="0.63"/>
    <x v="0"/>
    <n v="2"/>
    <x v="1"/>
  </r>
  <r>
    <d v="2005-03-29T00:00:00"/>
    <x v="1"/>
    <x v="0"/>
    <x v="0"/>
    <x v="2"/>
    <n v="5290.05"/>
    <x v="560"/>
    <n v="1763.35"/>
    <n v="0.25"/>
    <x v="0"/>
    <n v="3"/>
    <x v="3"/>
  </r>
  <r>
    <d v="2005-12-06T00:00:00"/>
    <x v="2"/>
    <x v="3"/>
    <x v="2"/>
    <x v="3"/>
    <n v="1518.2"/>
    <x v="561"/>
    <n v="506.07"/>
    <n v="0.25"/>
    <x v="0"/>
    <n v="12"/>
    <x v="4"/>
  </r>
  <r>
    <d v="2005-08-07T00:00:00"/>
    <x v="0"/>
    <x v="3"/>
    <x v="2"/>
    <x v="3"/>
    <n v="4037.37"/>
    <x v="562"/>
    <n v="5351.86"/>
    <n v="0.56999999999999995"/>
    <x v="0"/>
    <n v="8"/>
    <x v="10"/>
  </r>
  <r>
    <d v="2006-03-20T00:00:00"/>
    <x v="5"/>
    <x v="3"/>
    <x v="3"/>
    <x v="1"/>
    <n v="699.24"/>
    <x v="563"/>
    <n v="1190.6099999999999"/>
    <n v="0.63"/>
    <x v="1"/>
    <n v="3"/>
    <x v="3"/>
  </r>
  <r>
    <d v="2005-09-30T00:00:00"/>
    <x v="2"/>
    <x v="4"/>
    <x v="1"/>
    <x v="2"/>
    <n v="610.9"/>
    <x v="564"/>
    <n v="287.48"/>
    <n v="0.32"/>
    <x v="0"/>
    <n v="9"/>
    <x v="6"/>
  </r>
  <r>
    <d v="2006-06-09T00:00:00"/>
    <x v="3"/>
    <x v="1"/>
    <x v="0"/>
    <x v="2"/>
    <n v="1381.68"/>
    <x v="565"/>
    <n v="1000.52"/>
    <n v="0.42"/>
    <x v="1"/>
    <n v="6"/>
    <x v="5"/>
  </r>
  <r>
    <d v="2005-06-19T00:00:00"/>
    <x v="3"/>
    <x v="2"/>
    <x v="1"/>
    <x v="2"/>
    <n v="1255.99"/>
    <x v="566"/>
    <n v="1664.92"/>
    <n v="0.56999999999999995"/>
    <x v="0"/>
    <n v="6"/>
    <x v="5"/>
  </r>
  <r>
    <d v="2006-01-24T00:00:00"/>
    <x v="5"/>
    <x v="1"/>
    <x v="1"/>
    <x v="1"/>
    <n v="7774.05"/>
    <x v="567"/>
    <n v="540.44000000000005"/>
    <n v="6.5000000000000002E-2"/>
    <x v="1"/>
    <n v="1"/>
    <x v="2"/>
  </r>
  <r>
    <d v="2004-08-16T00:00:00"/>
    <x v="3"/>
    <x v="0"/>
    <x v="1"/>
    <x v="2"/>
    <n v="4345.5600000000004"/>
    <x v="568"/>
    <n v="1448.52"/>
    <n v="0.25"/>
    <x v="2"/>
    <n v="8"/>
    <x v="10"/>
  </r>
  <r>
    <d v="2004-10-09T00:00:00"/>
    <x v="3"/>
    <x v="1"/>
    <x v="2"/>
    <x v="2"/>
    <n v="1742.92"/>
    <x v="569"/>
    <n v="580.98"/>
    <n v="0.25"/>
    <x v="2"/>
    <n v="10"/>
    <x v="0"/>
  </r>
  <r>
    <d v="2005-08-15T00:00:00"/>
    <x v="2"/>
    <x v="2"/>
    <x v="0"/>
    <x v="3"/>
    <n v="3745.99"/>
    <x v="570"/>
    <n v="4965.62"/>
    <n v="0.56999999999999995"/>
    <x v="0"/>
    <n v="8"/>
    <x v="10"/>
  </r>
  <r>
    <d v="2005-05-03T00:00:00"/>
    <x v="0"/>
    <x v="1"/>
    <x v="1"/>
    <x v="3"/>
    <n v="1675.51"/>
    <x v="571"/>
    <n v="1370.87"/>
    <n v="0.45"/>
    <x v="0"/>
    <n v="5"/>
    <x v="7"/>
  </r>
  <r>
    <d v="2005-04-25T00:00:00"/>
    <x v="1"/>
    <x v="3"/>
    <x v="1"/>
    <x v="2"/>
    <n v="3292.36"/>
    <x v="572"/>
    <n v="1549.35"/>
    <n v="0.32"/>
    <x v="0"/>
    <n v="4"/>
    <x v="8"/>
  </r>
  <r>
    <d v="2005-06-05T00:00:00"/>
    <x v="5"/>
    <x v="3"/>
    <x v="2"/>
    <x v="3"/>
    <n v="246.18"/>
    <x v="573"/>
    <n v="326.33999999999997"/>
    <n v="0.56999999999999995"/>
    <x v="0"/>
    <n v="6"/>
    <x v="5"/>
  </r>
  <r>
    <d v="2004-06-19T00:00:00"/>
    <x v="1"/>
    <x v="0"/>
    <x v="1"/>
    <x v="3"/>
    <n v="1517.28"/>
    <x v="574"/>
    <n v="714.02"/>
    <n v="0.32"/>
    <x v="2"/>
    <n v="6"/>
    <x v="5"/>
  </r>
  <r>
    <d v="2005-05-02T00:00:00"/>
    <x v="4"/>
    <x v="3"/>
    <x v="0"/>
    <x v="1"/>
    <n v="4067.19"/>
    <x v="575"/>
    <n v="2945.2"/>
    <n v="0.42"/>
    <x v="0"/>
    <n v="5"/>
    <x v="7"/>
  </r>
  <r>
    <d v="2004-08-18T00:00:00"/>
    <x v="2"/>
    <x v="1"/>
    <x v="1"/>
    <x v="0"/>
    <n v="4844.08"/>
    <x v="576"/>
    <n v="2279.56"/>
    <n v="0.32"/>
    <x v="2"/>
    <n v="8"/>
    <x v="10"/>
  </r>
  <r>
    <d v="2005-12-03T00:00:00"/>
    <x v="5"/>
    <x v="1"/>
    <x v="3"/>
    <x v="3"/>
    <n v="2314.61"/>
    <x v="577"/>
    <n v="3068.2"/>
    <n v="0.56999999999999995"/>
    <x v="0"/>
    <n v="12"/>
    <x v="4"/>
  </r>
  <r>
    <d v="2005-02-27T00:00:00"/>
    <x v="2"/>
    <x v="4"/>
    <x v="1"/>
    <x v="3"/>
    <n v="5707.82"/>
    <x v="578"/>
    <n v="778.34"/>
    <n v="0.12"/>
    <x v="0"/>
    <n v="2"/>
    <x v="1"/>
  </r>
  <r>
    <d v="2005-09-01T00:00:00"/>
    <x v="3"/>
    <x v="4"/>
    <x v="2"/>
    <x v="1"/>
    <n v="7327.08"/>
    <x v="579"/>
    <n v="2442.36"/>
    <n v="0.25"/>
    <x v="0"/>
    <n v="9"/>
    <x v="6"/>
  </r>
  <r>
    <d v="2005-08-03T00:00:00"/>
    <x v="1"/>
    <x v="2"/>
    <x v="0"/>
    <x v="2"/>
    <n v="2838.27"/>
    <x v="580"/>
    <n v="2055.3000000000002"/>
    <n v="0.42"/>
    <x v="0"/>
    <n v="8"/>
    <x v="10"/>
  </r>
  <r>
    <d v="2006-06-10T00:00:00"/>
    <x v="1"/>
    <x v="3"/>
    <x v="2"/>
    <x v="2"/>
    <n v="3411.56"/>
    <x v="581"/>
    <n v="237.17"/>
    <n v="6.5000000000000002E-2"/>
    <x v="1"/>
    <n v="6"/>
    <x v="5"/>
  </r>
  <r>
    <d v="2006-02-25T00:00:00"/>
    <x v="4"/>
    <x v="2"/>
    <x v="2"/>
    <x v="1"/>
    <n v="4071.83"/>
    <x v="582"/>
    <n v="2829.58"/>
    <n v="0.41"/>
    <x v="1"/>
    <n v="2"/>
    <x v="1"/>
  </r>
  <r>
    <d v="2006-05-02T00:00:00"/>
    <x v="2"/>
    <x v="2"/>
    <x v="0"/>
    <x v="3"/>
    <n v="1775.08"/>
    <x v="583"/>
    <n v="3022.42"/>
    <n v="0.63"/>
    <x v="1"/>
    <n v="5"/>
    <x v="7"/>
  </r>
  <r>
    <d v="2004-07-27T00:00:00"/>
    <x v="5"/>
    <x v="4"/>
    <x v="3"/>
    <x v="2"/>
    <n v="7078.85"/>
    <x v="584"/>
    <n v="492.11"/>
    <n v="6.5000000000000002E-2"/>
    <x v="2"/>
    <n v="7"/>
    <x v="9"/>
  </r>
  <r>
    <d v="2005-12-04T00:00:00"/>
    <x v="3"/>
    <x v="3"/>
    <x v="3"/>
    <x v="2"/>
    <n v="5219.7299999999996"/>
    <x v="585"/>
    <n v="362.87"/>
    <n v="6.5000000000000002E-2"/>
    <x v="0"/>
    <n v="12"/>
    <x v="4"/>
  </r>
  <r>
    <d v="2005-01-23T00:00:00"/>
    <x v="2"/>
    <x v="1"/>
    <x v="2"/>
    <x v="3"/>
    <n v="1700.54"/>
    <x v="586"/>
    <n v="231.89"/>
    <n v="0.12"/>
    <x v="0"/>
    <n v="1"/>
    <x v="2"/>
  </r>
  <r>
    <d v="2004-11-03T00:00:00"/>
    <x v="3"/>
    <x v="4"/>
    <x v="3"/>
    <x v="0"/>
    <n v="1971.55"/>
    <x v="587"/>
    <n v="657.18"/>
    <n v="0.25"/>
    <x v="2"/>
    <n v="11"/>
    <x v="11"/>
  </r>
  <r>
    <d v="2005-12-31T00:00:00"/>
    <x v="4"/>
    <x v="1"/>
    <x v="3"/>
    <x v="3"/>
    <n v="6969.47"/>
    <x v="588"/>
    <n v="484.51"/>
    <n v="6.5000000000000002E-2"/>
    <x v="0"/>
    <n v="12"/>
    <x v="4"/>
  </r>
  <r>
    <d v="2006-06-09T00:00:00"/>
    <x v="1"/>
    <x v="1"/>
    <x v="2"/>
    <x v="3"/>
    <n v="2478.71"/>
    <x v="589"/>
    <n v="1722.49"/>
    <n v="0.41"/>
    <x v="1"/>
    <n v="6"/>
    <x v="5"/>
  </r>
  <r>
    <d v="2004-07-02T00:00:00"/>
    <x v="2"/>
    <x v="0"/>
    <x v="0"/>
    <x v="0"/>
    <n v="899.6"/>
    <x v="590"/>
    <n v="651.42999999999995"/>
    <n v="0.42"/>
    <x v="2"/>
    <n v="7"/>
    <x v="9"/>
  </r>
  <r>
    <d v="2005-05-19T00:00:00"/>
    <x v="1"/>
    <x v="4"/>
    <x v="0"/>
    <x v="1"/>
    <n v="4965.82"/>
    <x v="591"/>
    <n v="2336.85"/>
    <n v="0.32"/>
    <x v="0"/>
    <n v="5"/>
    <x v="7"/>
  </r>
  <r>
    <d v="2004-08-25T00:00:00"/>
    <x v="4"/>
    <x v="3"/>
    <x v="1"/>
    <x v="2"/>
    <n v="2637.42"/>
    <x v="592"/>
    <n v="183.35"/>
    <n v="6.5000000000000002E-2"/>
    <x v="2"/>
    <n v="8"/>
    <x v="10"/>
  </r>
  <r>
    <d v="2005-11-04T00:00:00"/>
    <x v="3"/>
    <x v="1"/>
    <x v="2"/>
    <x v="0"/>
    <n v="2878.68"/>
    <x v="593"/>
    <n v="3518.39"/>
    <n v="0.55000000000000004"/>
    <x v="0"/>
    <n v="11"/>
    <x v="11"/>
  </r>
  <r>
    <d v="2005-03-01T00:00:00"/>
    <x v="5"/>
    <x v="3"/>
    <x v="0"/>
    <x v="3"/>
    <n v="1363.14"/>
    <x v="594"/>
    <n v="641.48"/>
    <n v="0.32"/>
    <x v="0"/>
    <n v="3"/>
    <x v="3"/>
  </r>
  <r>
    <d v="2005-01-22T00:00:00"/>
    <x v="0"/>
    <x v="0"/>
    <x v="2"/>
    <x v="0"/>
    <n v="2673.24"/>
    <x v="595"/>
    <n v="3543.6"/>
    <n v="0.56999999999999995"/>
    <x v="0"/>
    <n v="1"/>
    <x v="2"/>
  </r>
  <r>
    <d v="2005-10-02T00:00:00"/>
    <x v="5"/>
    <x v="2"/>
    <x v="1"/>
    <x v="3"/>
    <n v="4428.51"/>
    <x v="596"/>
    <n v="3623.33"/>
    <n v="0.45"/>
    <x v="0"/>
    <n v="10"/>
    <x v="0"/>
  </r>
  <r>
    <d v="2006-06-10T00:00:00"/>
    <x v="5"/>
    <x v="2"/>
    <x v="2"/>
    <x v="1"/>
    <n v="2336.4"/>
    <x v="597"/>
    <n v="3097.08"/>
    <n v="0.56999999999999995"/>
    <x v="1"/>
    <n v="6"/>
    <x v="5"/>
  </r>
  <r>
    <d v="2005-09-04T00:00:00"/>
    <x v="4"/>
    <x v="1"/>
    <x v="0"/>
    <x v="3"/>
    <n v="2886.32"/>
    <x v="598"/>
    <n v="2090.1"/>
    <n v="0.42"/>
    <x v="0"/>
    <n v="9"/>
    <x v="6"/>
  </r>
  <r>
    <d v="2005-11-20T00:00:00"/>
    <x v="5"/>
    <x v="4"/>
    <x v="3"/>
    <x v="1"/>
    <n v="1531.21"/>
    <x v="599"/>
    <n v="2029.75"/>
    <n v="0.56999999999999995"/>
    <x v="0"/>
    <n v="11"/>
    <x v="11"/>
  </r>
  <r>
    <d v="2004-07-02T00:00:00"/>
    <x v="2"/>
    <x v="0"/>
    <x v="3"/>
    <x v="0"/>
    <n v="4467.46"/>
    <x v="600"/>
    <n v="3655.19"/>
    <n v="0.45"/>
    <x v="2"/>
    <n v="7"/>
    <x v="9"/>
  </r>
  <r>
    <d v="2004-08-18T00:00:00"/>
    <x v="1"/>
    <x v="1"/>
    <x v="2"/>
    <x v="1"/>
    <n v="2575.34"/>
    <x v="601"/>
    <n v="2107.09"/>
    <n v="0.45"/>
    <x v="2"/>
    <n v="8"/>
    <x v="10"/>
  </r>
  <r>
    <d v="2005-04-23T00:00:00"/>
    <x v="5"/>
    <x v="0"/>
    <x v="2"/>
    <x v="0"/>
    <n v="207.47"/>
    <x v="602"/>
    <n v="97.63"/>
    <n v="0.32"/>
    <x v="0"/>
    <n v="4"/>
    <x v="8"/>
  </r>
  <r>
    <d v="2005-07-14T00:00:00"/>
    <x v="0"/>
    <x v="0"/>
    <x v="1"/>
    <x v="1"/>
    <n v="4235.53"/>
    <x v="603"/>
    <n v="3465.44"/>
    <n v="0.45"/>
    <x v="0"/>
    <n v="7"/>
    <x v="9"/>
  </r>
  <r>
    <d v="2005-03-01T00:00:00"/>
    <x v="2"/>
    <x v="2"/>
    <x v="3"/>
    <x v="1"/>
    <n v="2741.96"/>
    <x v="604"/>
    <n v="3351.28"/>
    <n v="0.55000000000000004"/>
    <x v="0"/>
    <n v="3"/>
    <x v="3"/>
  </r>
  <r>
    <d v="2005-12-29T00:00:00"/>
    <x v="2"/>
    <x v="0"/>
    <x v="3"/>
    <x v="1"/>
    <n v="3964.51"/>
    <x v="605"/>
    <n v="2870.86"/>
    <n v="0.42"/>
    <x v="0"/>
    <n v="12"/>
    <x v="4"/>
  </r>
  <r>
    <d v="2005-04-29T00:00:00"/>
    <x v="2"/>
    <x v="4"/>
    <x v="2"/>
    <x v="3"/>
    <n v="2259.79"/>
    <x v="606"/>
    <n v="1570.36"/>
    <n v="0.41"/>
    <x v="0"/>
    <n v="4"/>
    <x v="8"/>
  </r>
  <r>
    <d v="2006-01-26T00:00:00"/>
    <x v="3"/>
    <x v="4"/>
    <x v="0"/>
    <x v="2"/>
    <n v="6225.63"/>
    <x v="607"/>
    <n v="2929.71"/>
    <n v="0.32"/>
    <x v="1"/>
    <n v="1"/>
    <x v="2"/>
  </r>
  <r>
    <d v="2004-10-05T00:00:00"/>
    <x v="0"/>
    <x v="0"/>
    <x v="0"/>
    <x v="1"/>
    <n v="851.53"/>
    <x v="608"/>
    <n v="283.83999999999997"/>
    <n v="0.25"/>
    <x v="2"/>
    <n v="10"/>
    <x v="0"/>
  </r>
  <r>
    <d v="2006-04-07T00:00:00"/>
    <x v="2"/>
    <x v="0"/>
    <x v="2"/>
    <x v="0"/>
    <n v="3150.28"/>
    <x v="609"/>
    <n v="5363.99"/>
    <n v="0.63"/>
    <x v="1"/>
    <n v="4"/>
    <x v="8"/>
  </r>
  <r>
    <d v="2005-07-18T00:00:00"/>
    <x v="4"/>
    <x v="4"/>
    <x v="3"/>
    <x v="3"/>
    <n v="3885.48"/>
    <x v="610"/>
    <n v="3179.02"/>
    <n v="0.45"/>
    <x v="0"/>
    <n v="7"/>
    <x v="9"/>
  </r>
  <r>
    <d v="2006-05-07T00:00:00"/>
    <x v="4"/>
    <x v="4"/>
    <x v="0"/>
    <x v="0"/>
    <n v="5026.51"/>
    <x v="611"/>
    <n v="3493"/>
    <n v="0.41"/>
    <x v="1"/>
    <n v="5"/>
    <x v="7"/>
  </r>
  <r>
    <d v="2006-04-19T00:00:00"/>
    <x v="4"/>
    <x v="4"/>
    <x v="3"/>
    <x v="2"/>
    <n v="2382.9499999999998"/>
    <x v="612"/>
    <n v="794.31"/>
    <n v="0.25"/>
    <x v="1"/>
    <n v="4"/>
    <x v="8"/>
  </r>
  <r>
    <d v="2005-09-29T00:00:00"/>
    <x v="3"/>
    <x v="4"/>
    <x v="0"/>
    <x v="0"/>
    <n v="3030.52"/>
    <x v="613"/>
    <n v="2194.5100000000002"/>
    <n v="0.42"/>
    <x v="0"/>
    <n v="9"/>
    <x v="6"/>
  </r>
  <r>
    <d v="2005-01-23T00:00:00"/>
    <x v="2"/>
    <x v="4"/>
    <x v="3"/>
    <x v="0"/>
    <n v="3497.48"/>
    <x v="614"/>
    <n v="5955.18"/>
    <n v="0.63"/>
    <x v="0"/>
    <n v="1"/>
    <x v="2"/>
  </r>
  <r>
    <d v="2005-07-10T00:00:00"/>
    <x v="2"/>
    <x v="0"/>
    <x v="0"/>
    <x v="0"/>
    <n v="5686.06"/>
    <x v="615"/>
    <n v="2675.8"/>
    <n v="0.32"/>
    <x v="0"/>
    <n v="7"/>
    <x v="9"/>
  </r>
  <r>
    <d v="2005-01-09T00:00:00"/>
    <x v="2"/>
    <x v="1"/>
    <x v="1"/>
    <x v="1"/>
    <n v="1205.08"/>
    <x v="616"/>
    <n v="567.09"/>
    <n v="0.32"/>
    <x v="0"/>
    <n v="1"/>
    <x v="2"/>
  </r>
  <r>
    <d v="2004-07-16T00:00:00"/>
    <x v="1"/>
    <x v="2"/>
    <x v="1"/>
    <x v="0"/>
    <n v="858.46"/>
    <x v="617"/>
    <n v="621.65"/>
    <n v="0.42"/>
    <x v="2"/>
    <n v="7"/>
    <x v="9"/>
  </r>
  <r>
    <d v="2005-05-29T00:00:00"/>
    <x v="1"/>
    <x v="4"/>
    <x v="3"/>
    <x v="1"/>
    <n v="3938.1"/>
    <x v="618"/>
    <n v="273.77"/>
    <n v="6.5000000000000002E-2"/>
    <x v="0"/>
    <n v="5"/>
    <x v="7"/>
  </r>
  <r>
    <d v="2005-12-21T00:00:00"/>
    <x v="3"/>
    <x v="1"/>
    <x v="3"/>
    <x v="2"/>
    <n v="189.27"/>
    <x v="619"/>
    <n v="322.27999999999997"/>
    <n v="0.63"/>
    <x v="0"/>
    <n v="12"/>
    <x v="4"/>
  </r>
  <r>
    <d v="2004-11-29T00:00:00"/>
    <x v="2"/>
    <x v="2"/>
    <x v="1"/>
    <x v="0"/>
    <n v="2682.03"/>
    <x v="620"/>
    <n v="3555.24"/>
    <n v="0.56999999999999995"/>
    <x v="2"/>
    <n v="11"/>
    <x v="11"/>
  </r>
  <r>
    <d v="2005-08-22T00:00:00"/>
    <x v="3"/>
    <x v="1"/>
    <x v="1"/>
    <x v="0"/>
    <n v="4442.32"/>
    <x v="621"/>
    <n v="1480.77"/>
    <n v="0.25"/>
    <x v="0"/>
    <n v="8"/>
    <x v="10"/>
  </r>
  <r>
    <d v="2004-12-06T00:00:00"/>
    <x v="4"/>
    <x v="3"/>
    <x v="0"/>
    <x v="0"/>
    <n v="54.29"/>
    <x v="622"/>
    <n v="71.959999999999994"/>
    <n v="0.56999999999999995"/>
    <x v="2"/>
    <n v="12"/>
    <x v="4"/>
  </r>
  <r>
    <d v="2006-05-06T00:00:00"/>
    <x v="0"/>
    <x v="3"/>
    <x v="1"/>
    <x v="3"/>
    <n v="1558.41"/>
    <x v="623"/>
    <n v="1904.73"/>
    <n v="0.55000000000000004"/>
    <x v="1"/>
    <n v="5"/>
    <x v="7"/>
  </r>
  <r>
    <d v="2005-12-11T00:00:00"/>
    <x v="1"/>
    <x v="3"/>
    <x v="3"/>
    <x v="3"/>
    <n v="3140.58"/>
    <x v="624"/>
    <n v="2274.21"/>
    <n v="0.42"/>
    <x v="0"/>
    <n v="12"/>
    <x v="4"/>
  </r>
  <r>
    <d v="2004-08-10T00:00:00"/>
    <x v="5"/>
    <x v="1"/>
    <x v="0"/>
    <x v="2"/>
    <n v="5710.99"/>
    <x v="625"/>
    <n v="4135.54"/>
    <n v="0.42"/>
    <x v="2"/>
    <n v="8"/>
    <x v="10"/>
  </r>
  <r>
    <d v="2004-12-26T00:00:00"/>
    <x v="2"/>
    <x v="1"/>
    <x v="0"/>
    <x v="1"/>
    <n v="5923.06"/>
    <x v="626"/>
    <n v="411.76"/>
    <n v="6.5000000000000002E-2"/>
    <x v="2"/>
    <n v="12"/>
    <x v="4"/>
  </r>
  <r>
    <d v="2006-02-26T00:00:00"/>
    <x v="1"/>
    <x v="0"/>
    <x v="3"/>
    <x v="3"/>
    <n v="15.06"/>
    <x v="627"/>
    <n v="7.09"/>
    <n v="0.3201"/>
    <x v="1"/>
    <n v="2"/>
    <x v="1"/>
  </r>
  <r>
    <d v="2004-10-23T00:00:00"/>
    <x v="1"/>
    <x v="2"/>
    <x v="3"/>
    <x v="2"/>
    <n v="4923.04"/>
    <x v="628"/>
    <n v="3421.1"/>
    <n v="0.41"/>
    <x v="2"/>
    <n v="10"/>
    <x v="0"/>
  </r>
  <r>
    <d v="2004-09-02T00:00:00"/>
    <x v="2"/>
    <x v="3"/>
    <x v="1"/>
    <x v="0"/>
    <n v="3759.94"/>
    <x v="629"/>
    <n v="4984.1099999999997"/>
    <n v="0.56999999999999995"/>
    <x v="2"/>
    <n v="9"/>
    <x v="6"/>
  </r>
  <r>
    <d v="2005-02-24T00:00:00"/>
    <x v="0"/>
    <x v="3"/>
    <x v="1"/>
    <x v="1"/>
    <n v="1636.94"/>
    <x v="630"/>
    <n v="2787.21"/>
    <n v="0.63"/>
    <x v="0"/>
    <n v="2"/>
    <x v="1"/>
  </r>
  <r>
    <d v="2004-08-11T00:00:00"/>
    <x v="4"/>
    <x v="3"/>
    <x v="0"/>
    <x v="3"/>
    <n v="748.44"/>
    <x v="631"/>
    <n v="992.12"/>
    <n v="0.56999999999999995"/>
    <x v="2"/>
    <n v="8"/>
    <x v="10"/>
  </r>
  <r>
    <d v="2005-01-04T00:00:00"/>
    <x v="2"/>
    <x v="0"/>
    <x v="2"/>
    <x v="2"/>
    <n v="3442.17"/>
    <x v="632"/>
    <n v="4562.88"/>
    <n v="0.56999999999999995"/>
    <x v="0"/>
    <n v="1"/>
    <x v="2"/>
  </r>
  <r>
    <d v="2006-02-07T00:00:00"/>
    <x v="1"/>
    <x v="3"/>
    <x v="0"/>
    <x v="1"/>
    <n v="2895.18"/>
    <x v="633"/>
    <n v="201.27"/>
    <n v="6.5000000000000002E-2"/>
    <x v="1"/>
    <n v="2"/>
    <x v="1"/>
  </r>
  <r>
    <d v="2005-03-28T00:00:00"/>
    <x v="2"/>
    <x v="1"/>
    <x v="3"/>
    <x v="1"/>
    <n v="5369.48"/>
    <x v="634"/>
    <n v="4393.21"/>
    <n v="0.45"/>
    <x v="0"/>
    <n v="3"/>
    <x v="3"/>
  </r>
  <r>
    <d v="2005-11-24T00:00:00"/>
    <x v="1"/>
    <x v="4"/>
    <x v="0"/>
    <x v="0"/>
    <n v="8476.7199999999993"/>
    <x v="635"/>
    <n v="1155.92"/>
    <n v="0.12"/>
    <x v="0"/>
    <n v="11"/>
    <x v="11"/>
  </r>
  <r>
    <d v="2004-08-28T00:00:00"/>
    <x v="1"/>
    <x v="2"/>
    <x v="2"/>
    <x v="3"/>
    <n v="5363.15"/>
    <x v="636"/>
    <n v="2523.84"/>
    <n v="0.32"/>
    <x v="2"/>
    <n v="8"/>
    <x v="10"/>
  </r>
  <r>
    <d v="2005-05-28T00:00:00"/>
    <x v="5"/>
    <x v="4"/>
    <x v="1"/>
    <x v="0"/>
    <n v="2445.42"/>
    <x v="637"/>
    <n v="4163.8100000000004"/>
    <n v="0.63"/>
    <x v="0"/>
    <n v="5"/>
    <x v="7"/>
  </r>
  <r>
    <d v="2005-11-07T00:00:00"/>
    <x v="3"/>
    <x v="4"/>
    <x v="2"/>
    <x v="3"/>
    <n v="5885.69"/>
    <x v="638"/>
    <n v="4090.06"/>
    <n v="0.41"/>
    <x v="0"/>
    <n v="11"/>
    <x v="11"/>
  </r>
  <r>
    <d v="2004-11-19T00:00:00"/>
    <x v="4"/>
    <x v="0"/>
    <x v="1"/>
    <x v="2"/>
    <n v="4198.0200000000004"/>
    <x v="639"/>
    <n v="2917.27"/>
    <n v="0.41"/>
    <x v="2"/>
    <n v="11"/>
    <x v="11"/>
  </r>
  <r>
    <d v="2004-07-31T00:00:00"/>
    <x v="1"/>
    <x v="0"/>
    <x v="1"/>
    <x v="0"/>
    <n v="6526.04"/>
    <x v="640"/>
    <n v="889.92"/>
    <n v="0.12"/>
    <x v="2"/>
    <n v="7"/>
    <x v="9"/>
  </r>
  <r>
    <d v="2004-09-07T00:00:00"/>
    <x v="5"/>
    <x v="1"/>
    <x v="2"/>
    <x v="3"/>
    <n v="1465.88"/>
    <x v="641"/>
    <n v="1791.62"/>
    <n v="0.55000000000000004"/>
    <x v="2"/>
    <n v="9"/>
    <x v="6"/>
  </r>
  <r>
    <d v="2005-04-12T00:00:00"/>
    <x v="3"/>
    <x v="0"/>
    <x v="2"/>
    <x v="2"/>
    <n v="4296.41"/>
    <x v="642"/>
    <n v="3111.2"/>
    <n v="0.42"/>
    <x v="0"/>
    <n v="4"/>
    <x v="8"/>
  </r>
  <r>
    <d v="2006-05-21T00:00:00"/>
    <x v="1"/>
    <x v="0"/>
    <x v="3"/>
    <x v="3"/>
    <n v="3569.89"/>
    <x v="643"/>
    <n v="486.8"/>
    <n v="0.12"/>
    <x v="1"/>
    <n v="5"/>
    <x v="7"/>
  </r>
  <r>
    <d v="2004-12-19T00:00:00"/>
    <x v="4"/>
    <x v="1"/>
    <x v="2"/>
    <x v="1"/>
    <n v="766.9"/>
    <x v="644"/>
    <n v="555.34"/>
    <n v="0.42"/>
    <x v="2"/>
    <n v="12"/>
    <x v="4"/>
  </r>
  <r>
    <d v="2006-05-01T00:00:00"/>
    <x v="5"/>
    <x v="3"/>
    <x v="2"/>
    <x v="1"/>
    <n v="2081.3000000000002"/>
    <x v="645"/>
    <n v="2758.94"/>
    <n v="0.56999999999999995"/>
    <x v="1"/>
    <n v="5"/>
    <x v="7"/>
  </r>
  <r>
    <d v="2005-05-08T00:00:00"/>
    <x v="3"/>
    <x v="0"/>
    <x v="3"/>
    <x v="3"/>
    <n v="4109.13"/>
    <x v="646"/>
    <n v="5446.99"/>
    <n v="0.56999999999999995"/>
    <x v="0"/>
    <n v="5"/>
    <x v="7"/>
  </r>
  <r>
    <d v="2004-12-18T00:00:00"/>
    <x v="3"/>
    <x v="3"/>
    <x v="2"/>
    <x v="0"/>
    <n v="2692.71"/>
    <x v="647"/>
    <n v="4584.88"/>
    <n v="0.63"/>
    <x v="2"/>
    <n v="12"/>
    <x v="4"/>
  </r>
  <r>
    <d v="2005-09-03T00:00:00"/>
    <x v="2"/>
    <x v="4"/>
    <x v="3"/>
    <x v="0"/>
    <n v="5831.89"/>
    <x v="648"/>
    <n v="4052.67"/>
    <n v="0.41"/>
    <x v="0"/>
    <n v="9"/>
    <x v="6"/>
  </r>
  <r>
    <d v="2004-12-25T00:00:00"/>
    <x v="5"/>
    <x v="4"/>
    <x v="1"/>
    <x v="2"/>
    <n v="2184.31"/>
    <x v="649"/>
    <n v="3719.22"/>
    <n v="0.63"/>
    <x v="2"/>
    <n v="12"/>
    <x v="4"/>
  </r>
  <r>
    <d v="2006-05-09T00:00:00"/>
    <x v="5"/>
    <x v="2"/>
    <x v="1"/>
    <x v="3"/>
    <n v="4285.18"/>
    <x v="650"/>
    <n v="1428.39"/>
    <n v="0.25"/>
    <x v="1"/>
    <n v="5"/>
    <x v="7"/>
  </r>
  <r>
    <d v="2005-05-07T00:00:00"/>
    <x v="5"/>
    <x v="1"/>
    <x v="1"/>
    <x v="2"/>
    <n v="2608.94"/>
    <x v="651"/>
    <n v="355.76"/>
    <n v="0.12"/>
    <x v="0"/>
    <n v="5"/>
    <x v="7"/>
  </r>
  <r>
    <d v="2004-08-17T00:00:00"/>
    <x v="0"/>
    <x v="1"/>
    <x v="2"/>
    <x v="1"/>
    <n v="3418.54"/>
    <x v="652"/>
    <n v="2796.98"/>
    <n v="0.45"/>
    <x v="2"/>
    <n v="8"/>
    <x v="10"/>
  </r>
  <r>
    <d v="2005-06-04T00:00:00"/>
    <x v="4"/>
    <x v="3"/>
    <x v="1"/>
    <x v="2"/>
    <n v="1895.99"/>
    <x v="653"/>
    <n v="1551.27"/>
    <n v="0.45"/>
    <x v="0"/>
    <n v="6"/>
    <x v="5"/>
  </r>
  <r>
    <d v="2004-12-11T00:00:00"/>
    <x v="2"/>
    <x v="0"/>
    <x v="0"/>
    <x v="0"/>
    <n v="3413.63"/>
    <x v="654"/>
    <n v="5812.39"/>
    <n v="0.63"/>
    <x v="2"/>
    <n v="12"/>
    <x v="4"/>
  </r>
  <r>
    <d v="2004-08-22T00:00:00"/>
    <x v="2"/>
    <x v="3"/>
    <x v="0"/>
    <x v="2"/>
    <n v="3448.96"/>
    <x v="655"/>
    <n v="5872.55"/>
    <n v="0.63"/>
    <x v="2"/>
    <n v="8"/>
    <x v="10"/>
  </r>
  <r>
    <d v="2005-06-18T00:00:00"/>
    <x v="5"/>
    <x v="3"/>
    <x v="1"/>
    <x v="1"/>
    <n v="1527.28"/>
    <x v="656"/>
    <n v="1866.68"/>
    <n v="0.55000000000000004"/>
    <x v="0"/>
    <n v="6"/>
    <x v="5"/>
  </r>
  <r>
    <d v="2006-04-28T00:00:00"/>
    <x v="1"/>
    <x v="0"/>
    <x v="3"/>
    <x v="3"/>
    <n v="3290.58"/>
    <x v="657"/>
    <n v="448.72"/>
    <n v="0.12"/>
    <x v="1"/>
    <n v="4"/>
    <x v="8"/>
  </r>
  <r>
    <d v="2005-08-12T00:00:00"/>
    <x v="1"/>
    <x v="1"/>
    <x v="0"/>
    <x v="0"/>
    <n v="6141.74"/>
    <x v="658"/>
    <n v="837.51"/>
    <n v="0.12"/>
    <x v="0"/>
    <n v="8"/>
    <x v="10"/>
  </r>
  <r>
    <d v="2006-03-31T00:00:00"/>
    <x v="5"/>
    <x v="1"/>
    <x v="2"/>
    <x v="2"/>
    <n v="714.16"/>
    <x v="659"/>
    <n v="336.07"/>
    <n v="0.32"/>
    <x v="1"/>
    <n v="3"/>
    <x v="3"/>
  </r>
  <r>
    <d v="2004-10-16T00:00:00"/>
    <x v="0"/>
    <x v="0"/>
    <x v="1"/>
    <x v="2"/>
    <n v="3394.8"/>
    <x v="660"/>
    <n v="4149.21"/>
    <n v="0.55000000000000004"/>
    <x v="2"/>
    <n v="10"/>
    <x v="0"/>
  </r>
  <r>
    <d v="2005-10-24T00:00:00"/>
    <x v="2"/>
    <x v="3"/>
    <x v="0"/>
    <x v="2"/>
    <n v="5543"/>
    <x v="661"/>
    <n v="4013.9"/>
    <n v="0.42"/>
    <x v="0"/>
    <n v="10"/>
    <x v="0"/>
  </r>
  <r>
    <d v="2004-12-09T00:00:00"/>
    <x v="0"/>
    <x v="2"/>
    <x v="0"/>
    <x v="3"/>
    <n v="2935.04"/>
    <x v="662"/>
    <n v="1381.19"/>
    <n v="0.32"/>
    <x v="2"/>
    <n v="12"/>
    <x v="4"/>
  </r>
  <r>
    <d v="2004-09-13T00:00:00"/>
    <x v="3"/>
    <x v="4"/>
    <x v="1"/>
    <x v="2"/>
    <n v="2811.8"/>
    <x v="663"/>
    <n v="4787.6499999999996"/>
    <n v="0.63"/>
    <x v="2"/>
    <n v="9"/>
    <x v="6"/>
  </r>
  <r>
    <d v="2006-01-10T00:00:00"/>
    <x v="0"/>
    <x v="4"/>
    <x v="3"/>
    <x v="1"/>
    <n v="4785.21"/>
    <x v="664"/>
    <n v="3915.17"/>
    <n v="0.45"/>
    <x v="1"/>
    <n v="1"/>
    <x v="2"/>
  </r>
  <r>
    <d v="2006-01-10T00:00:00"/>
    <x v="4"/>
    <x v="4"/>
    <x v="2"/>
    <x v="3"/>
    <n v="5931.35"/>
    <x v="665"/>
    <n v="2791.23"/>
    <n v="0.32"/>
    <x v="1"/>
    <n v="1"/>
    <x v="2"/>
  </r>
  <r>
    <d v="2005-10-07T00:00:00"/>
    <x v="0"/>
    <x v="3"/>
    <x v="1"/>
    <x v="1"/>
    <n v="5117.51"/>
    <x v="666"/>
    <n v="3705.79"/>
    <n v="0.42"/>
    <x v="0"/>
    <n v="10"/>
    <x v="0"/>
  </r>
  <r>
    <d v="2006-02-10T00:00:00"/>
    <x v="5"/>
    <x v="0"/>
    <x v="2"/>
    <x v="3"/>
    <n v="1088.69"/>
    <x v="667"/>
    <n v="1443.15"/>
    <n v="0.56999999999999995"/>
    <x v="1"/>
    <n v="2"/>
    <x v="1"/>
  </r>
  <r>
    <d v="2005-06-27T00:00:00"/>
    <x v="5"/>
    <x v="4"/>
    <x v="3"/>
    <x v="2"/>
    <n v="1074.69"/>
    <x v="668"/>
    <n v="1829.88"/>
    <n v="0.63"/>
    <x v="0"/>
    <n v="6"/>
    <x v="5"/>
  </r>
  <r>
    <d v="2004-07-10T00:00:00"/>
    <x v="3"/>
    <x v="2"/>
    <x v="3"/>
    <x v="2"/>
    <n v="4456.28"/>
    <x v="669"/>
    <n v="5446.56"/>
    <n v="0.55000000000000004"/>
    <x v="2"/>
    <n v="7"/>
    <x v="9"/>
  </r>
  <r>
    <d v="2006-02-06T00:00:00"/>
    <x v="5"/>
    <x v="4"/>
    <x v="1"/>
    <x v="1"/>
    <n v="1297.01"/>
    <x v="670"/>
    <n v="939.22"/>
    <n v="0.42"/>
    <x v="1"/>
    <n v="2"/>
    <x v="1"/>
  </r>
  <r>
    <d v="2005-05-02T00:00:00"/>
    <x v="1"/>
    <x v="0"/>
    <x v="3"/>
    <x v="0"/>
    <n v="4384.42"/>
    <x v="671"/>
    <n v="5358.73"/>
    <n v="0.55000000000000004"/>
    <x v="0"/>
    <n v="5"/>
    <x v="7"/>
  </r>
  <r>
    <d v="2005-02-25T00:00:00"/>
    <x v="1"/>
    <x v="4"/>
    <x v="3"/>
    <x v="1"/>
    <n v="1515.24"/>
    <x v="672"/>
    <n v="2580.0100000000002"/>
    <n v="0.63"/>
    <x v="0"/>
    <n v="2"/>
    <x v="1"/>
  </r>
  <r>
    <d v="2005-02-04T00:00:00"/>
    <x v="3"/>
    <x v="4"/>
    <x v="1"/>
    <x v="3"/>
    <n v="2044.8"/>
    <x v="673"/>
    <n v="962.26"/>
    <n v="0.32"/>
    <x v="0"/>
    <n v="2"/>
    <x v="1"/>
  </r>
  <r>
    <d v="2006-04-09T00:00:00"/>
    <x v="5"/>
    <x v="2"/>
    <x v="1"/>
    <x v="2"/>
    <n v="1786.35"/>
    <x v="674"/>
    <n v="243.59"/>
    <n v="0.12"/>
    <x v="1"/>
    <n v="4"/>
    <x v="8"/>
  </r>
  <r>
    <d v="2004-10-07T00:00:00"/>
    <x v="4"/>
    <x v="1"/>
    <x v="2"/>
    <x v="2"/>
    <n v="3454.68"/>
    <x v="675"/>
    <n v="5882.29"/>
    <n v="0.63"/>
    <x v="2"/>
    <n v="10"/>
    <x v="0"/>
  </r>
  <r>
    <d v="2005-01-05T00:00:00"/>
    <x v="3"/>
    <x v="1"/>
    <x v="2"/>
    <x v="3"/>
    <n v="219.01"/>
    <x v="676"/>
    <n v="103.06"/>
    <n v="0.32"/>
    <x v="0"/>
    <n v="1"/>
    <x v="2"/>
  </r>
  <r>
    <d v="2005-04-25T00:00:00"/>
    <x v="2"/>
    <x v="2"/>
    <x v="0"/>
    <x v="3"/>
    <n v="2700.31"/>
    <x v="677"/>
    <n v="1270.73"/>
    <n v="0.32"/>
    <x v="0"/>
    <n v="4"/>
    <x v="8"/>
  </r>
  <r>
    <d v="2005-04-23T00:00:00"/>
    <x v="0"/>
    <x v="0"/>
    <x v="3"/>
    <x v="2"/>
    <n v="3671.85"/>
    <x v="678"/>
    <n v="6252.08"/>
    <n v="0.63"/>
    <x v="0"/>
    <n v="4"/>
    <x v="8"/>
  </r>
  <r>
    <d v="2004-10-17T00:00:00"/>
    <x v="0"/>
    <x v="3"/>
    <x v="3"/>
    <x v="0"/>
    <n v="4014.81"/>
    <x v="679"/>
    <n v="2907.28"/>
    <n v="0.42"/>
    <x v="2"/>
    <n v="10"/>
    <x v="0"/>
  </r>
  <r>
    <d v="2005-08-16T00:00:00"/>
    <x v="0"/>
    <x v="0"/>
    <x v="1"/>
    <x v="2"/>
    <n v="2190.5300000000002"/>
    <x v="680"/>
    <n v="2903.72"/>
    <n v="0.56999999999999995"/>
    <x v="0"/>
    <n v="8"/>
    <x v="10"/>
  </r>
  <r>
    <d v="2005-02-28T00:00:00"/>
    <x v="1"/>
    <x v="4"/>
    <x v="1"/>
    <x v="3"/>
    <n v="4939.54"/>
    <x v="681"/>
    <n v="1646.51"/>
    <n v="0.25"/>
    <x v="0"/>
    <n v="2"/>
    <x v="1"/>
  </r>
  <r>
    <d v="2004-12-10T00:00:00"/>
    <x v="4"/>
    <x v="0"/>
    <x v="0"/>
    <x v="3"/>
    <n v="3043.75"/>
    <x v="682"/>
    <n v="211.6"/>
    <n v="6.5000000000000002E-2"/>
    <x v="2"/>
    <n v="12"/>
    <x v="4"/>
  </r>
  <r>
    <d v="2005-03-08T00:00:00"/>
    <x v="1"/>
    <x v="1"/>
    <x v="1"/>
    <x v="2"/>
    <n v="62.32"/>
    <x v="683"/>
    <n v="20.78"/>
    <n v="0.25009999999999999"/>
    <x v="0"/>
    <n v="3"/>
    <x v="3"/>
  </r>
  <r>
    <d v="2004-12-01T00:00:00"/>
    <x v="0"/>
    <x v="1"/>
    <x v="1"/>
    <x v="1"/>
    <n v="730.54"/>
    <x v="684"/>
    <n v="507.66"/>
    <n v="0.41"/>
    <x v="2"/>
    <n v="12"/>
    <x v="4"/>
  </r>
  <r>
    <d v="2006-06-08T00:00:00"/>
    <x v="0"/>
    <x v="3"/>
    <x v="0"/>
    <x v="1"/>
    <n v="2605.35"/>
    <x v="685"/>
    <n v="3184.32"/>
    <n v="0.55000000000000004"/>
    <x v="1"/>
    <n v="6"/>
    <x v="5"/>
  </r>
  <r>
    <d v="2006-05-12T00:00:00"/>
    <x v="5"/>
    <x v="2"/>
    <x v="0"/>
    <x v="0"/>
    <n v="1122.26"/>
    <x v="686"/>
    <n v="779.87"/>
    <n v="0.41"/>
    <x v="1"/>
    <n v="5"/>
    <x v="7"/>
  </r>
  <r>
    <d v="2005-05-20T00:00:00"/>
    <x v="4"/>
    <x v="2"/>
    <x v="1"/>
    <x v="0"/>
    <n v="3636.08"/>
    <x v="687"/>
    <n v="2633.03"/>
    <n v="0.42"/>
    <x v="0"/>
    <n v="5"/>
    <x v="7"/>
  </r>
  <r>
    <d v="2006-01-21T00:00:00"/>
    <x v="0"/>
    <x v="4"/>
    <x v="3"/>
    <x v="0"/>
    <n v="1438.4"/>
    <x v="688"/>
    <n v="1176.8800000000001"/>
    <n v="0.45"/>
    <x v="1"/>
    <n v="1"/>
    <x v="2"/>
  </r>
  <r>
    <d v="2005-07-29T00:00:00"/>
    <x v="1"/>
    <x v="4"/>
    <x v="2"/>
    <x v="1"/>
    <n v="3218.32"/>
    <x v="689"/>
    <n v="2633.18"/>
    <n v="0.45"/>
    <x v="0"/>
    <n v="7"/>
    <x v="9"/>
  </r>
  <r>
    <d v="2004-11-01T00:00:00"/>
    <x v="0"/>
    <x v="1"/>
    <x v="3"/>
    <x v="1"/>
    <n v="1283.51"/>
    <x v="690"/>
    <n v="89.23"/>
    <n v="6.5000000000000002E-2"/>
    <x v="2"/>
    <n v="11"/>
    <x v="11"/>
  </r>
  <r>
    <d v="2004-12-27T00:00:00"/>
    <x v="4"/>
    <x v="1"/>
    <x v="0"/>
    <x v="2"/>
    <n v="4638.92"/>
    <x v="691"/>
    <n v="2183.02"/>
    <n v="0.32"/>
    <x v="2"/>
    <n v="12"/>
    <x v="4"/>
  </r>
  <r>
    <d v="2006-05-14T00:00:00"/>
    <x v="1"/>
    <x v="2"/>
    <x v="1"/>
    <x v="2"/>
    <n v="5409.03"/>
    <x v="692"/>
    <n v="3916.88"/>
    <n v="0.42"/>
    <x v="1"/>
    <n v="5"/>
    <x v="7"/>
  </r>
  <r>
    <d v="2006-01-25T00:00:00"/>
    <x v="3"/>
    <x v="0"/>
    <x v="2"/>
    <x v="0"/>
    <n v="517.76"/>
    <x v="693"/>
    <n v="423.63"/>
    <n v="0.45"/>
    <x v="1"/>
    <n v="1"/>
    <x v="2"/>
  </r>
  <r>
    <d v="2005-02-21T00:00:00"/>
    <x v="0"/>
    <x v="4"/>
    <x v="2"/>
    <x v="0"/>
    <n v="131.88"/>
    <x v="694"/>
    <n v="174.81"/>
    <n v="0.56999999999999995"/>
    <x v="0"/>
    <n v="2"/>
    <x v="1"/>
  </r>
  <r>
    <d v="2005-09-03T00:00:00"/>
    <x v="4"/>
    <x v="0"/>
    <x v="3"/>
    <x v="0"/>
    <n v="3514.28"/>
    <x v="695"/>
    <n v="1653.78"/>
    <n v="0.32"/>
    <x v="0"/>
    <n v="9"/>
    <x v="6"/>
  </r>
  <r>
    <d v="2005-12-19T00:00:00"/>
    <x v="4"/>
    <x v="1"/>
    <x v="0"/>
    <x v="0"/>
    <n v="2986.31"/>
    <x v="696"/>
    <n v="1405.32"/>
    <n v="0.32"/>
    <x v="0"/>
    <n v="12"/>
    <x v="4"/>
  </r>
  <r>
    <d v="2005-12-04T00:00:00"/>
    <x v="4"/>
    <x v="0"/>
    <x v="1"/>
    <x v="0"/>
    <n v="2741.01"/>
    <x v="697"/>
    <n v="3350.13"/>
    <n v="0.55000000000000004"/>
    <x v="0"/>
    <n v="12"/>
    <x v="4"/>
  </r>
  <r>
    <d v="2005-01-29T00:00:00"/>
    <x v="3"/>
    <x v="4"/>
    <x v="3"/>
    <x v="2"/>
    <n v="7371.44"/>
    <x v="698"/>
    <n v="2457.15"/>
    <n v="0.25"/>
    <x v="0"/>
    <n v="1"/>
    <x v="2"/>
  </r>
  <r>
    <d v="2005-06-09T00:00:00"/>
    <x v="2"/>
    <x v="4"/>
    <x v="0"/>
    <x v="2"/>
    <n v="5771"/>
    <x v="699"/>
    <n v="4179"/>
    <n v="0.42"/>
    <x v="0"/>
    <n v="6"/>
    <x v="5"/>
  </r>
  <r>
    <d v="2004-10-03T00:00:00"/>
    <x v="1"/>
    <x v="0"/>
    <x v="3"/>
    <x v="1"/>
    <n v="975.03"/>
    <x v="700"/>
    <n v="1292.49"/>
    <n v="0.56999999999999995"/>
    <x v="2"/>
    <n v="10"/>
    <x v="0"/>
  </r>
  <r>
    <d v="2005-02-25T00:00:00"/>
    <x v="4"/>
    <x v="0"/>
    <x v="0"/>
    <x v="1"/>
    <n v="3112.87"/>
    <x v="701"/>
    <n v="1037.6199999999999"/>
    <n v="0.25"/>
    <x v="0"/>
    <n v="2"/>
    <x v="1"/>
  </r>
  <r>
    <d v="2006-01-08T00:00:00"/>
    <x v="3"/>
    <x v="3"/>
    <x v="3"/>
    <x v="3"/>
    <n v="1194.3900000000001"/>
    <x v="702"/>
    <n v="1459.8"/>
    <n v="0.55000000000000004"/>
    <x v="1"/>
    <n v="1"/>
    <x v="2"/>
  </r>
  <r>
    <d v="2004-06-24T00:00:00"/>
    <x v="3"/>
    <x v="1"/>
    <x v="3"/>
    <x v="0"/>
    <n v="1712.08"/>
    <x v="703"/>
    <n v="233.46"/>
    <n v="0.12"/>
    <x v="2"/>
    <n v="6"/>
    <x v="5"/>
  </r>
  <r>
    <d v="2006-05-12T00:00:00"/>
    <x v="2"/>
    <x v="2"/>
    <x v="3"/>
    <x v="3"/>
    <n v="4764.9799999999996"/>
    <x v="704"/>
    <n v="3450.51"/>
    <n v="0.42"/>
    <x v="1"/>
    <n v="5"/>
    <x v="7"/>
  </r>
  <r>
    <d v="2005-05-27T00:00:00"/>
    <x v="1"/>
    <x v="1"/>
    <x v="2"/>
    <x v="2"/>
    <n v="3352.41"/>
    <x v="705"/>
    <n v="5708.17"/>
    <n v="0.63"/>
    <x v="0"/>
    <n v="5"/>
    <x v="7"/>
  </r>
  <r>
    <d v="2004-07-13T00:00:00"/>
    <x v="1"/>
    <x v="2"/>
    <x v="2"/>
    <x v="1"/>
    <n v="690.33"/>
    <x v="706"/>
    <n v="499.9"/>
    <n v="0.42"/>
    <x v="2"/>
    <n v="7"/>
    <x v="9"/>
  </r>
  <r>
    <d v="2005-10-15T00:00:00"/>
    <x v="3"/>
    <x v="0"/>
    <x v="0"/>
    <x v="0"/>
    <n v="1509.89"/>
    <x v="707"/>
    <n v="1235.3699999999999"/>
    <n v="0.45"/>
    <x v="0"/>
    <n v="10"/>
    <x v="0"/>
  </r>
  <r>
    <d v="2006-06-07T00:00:00"/>
    <x v="4"/>
    <x v="2"/>
    <x v="2"/>
    <x v="0"/>
    <n v="1569.51"/>
    <x v="708"/>
    <n v="1090.68"/>
    <n v="0.41"/>
    <x v="1"/>
    <n v="6"/>
    <x v="5"/>
  </r>
  <r>
    <d v="2004-11-29T00:00:00"/>
    <x v="4"/>
    <x v="0"/>
    <x v="3"/>
    <x v="0"/>
    <n v="2962.62"/>
    <x v="709"/>
    <n v="2145.34"/>
    <n v="0.42"/>
    <x v="2"/>
    <n v="11"/>
    <x v="11"/>
  </r>
  <r>
    <d v="2006-03-10T00:00:00"/>
    <x v="3"/>
    <x v="0"/>
    <x v="3"/>
    <x v="2"/>
    <n v="2963.23"/>
    <x v="710"/>
    <n v="5045.51"/>
    <n v="0.63"/>
    <x v="1"/>
    <n v="3"/>
    <x v="3"/>
  </r>
  <r>
    <d v="2005-02-17T00:00:00"/>
    <x v="3"/>
    <x v="3"/>
    <x v="3"/>
    <x v="2"/>
    <n v="2266.8000000000002"/>
    <x v="711"/>
    <n v="3004.82"/>
    <n v="0.56999999999999995"/>
    <x v="0"/>
    <n v="2"/>
    <x v="1"/>
  </r>
  <r>
    <d v="2006-04-26T00:00:00"/>
    <x v="5"/>
    <x v="0"/>
    <x v="2"/>
    <x v="0"/>
    <n v="7054.78"/>
    <x v="712"/>
    <n v="962.01"/>
    <n v="0.12"/>
    <x v="1"/>
    <n v="4"/>
    <x v="8"/>
  </r>
  <r>
    <d v="2005-12-21T00:00:00"/>
    <x v="3"/>
    <x v="0"/>
    <x v="2"/>
    <x v="3"/>
    <n v="2032.72"/>
    <x v="713"/>
    <n v="3461.11"/>
    <n v="0.63"/>
    <x v="0"/>
    <n v="12"/>
    <x v="4"/>
  </r>
  <r>
    <d v="2005-08-02T00:00:00"/>
    <x v="2"/>
    <x v="1"/>
    <x v="3"/>
    <x v="2"/>
    <n v="3695.77"/>
    <x v="714"/>
    <n v="6292.79"/>
    <n v="0.63"/>
    <x v="0"/>
    <n v="8"/>
    <x v="10"/>
  </r>
  <r>
    <d v="2004-09-05T00:00:00"/>
    <x v="3"/>
    <x v="2"/>
    <x v="3"/>
    <x v="2"/>
    <n v="5486.82"/>
    <x v="715"/>
    <n v="381.44"/>
    <n v="6.5000000000000002E-2"/>
    <x v="2"/>
    <n v="9"/>
    <x v="6"/>
  </r>
  <r>
    <d v="2004-11-17T00:00:00"/>
    <x v="4"/>
    <x v="1"/>
    <x v="2"/>
    <x v="2"/>
    <n v="3404.2"/>
    <x v="716"/>
    <n v="464.21"/>
    <n v="0.12"/>
    <x v="2"/>
    <n v="11"/>
    <x v="11"/>
  </r>
  <r>
    <d v="2005-04-27T00:00:00"/>
    <x v="1"/>
    <x v="1"/>
    <x v="3"/>
    <x v="1"/>
    <n v="3027.87"/>
    <x v="717"/>
    <n v="1424.88"/>
    <n v="0.32"/>
    <x v="0"/>
    <n v="4"/>
    <x v="8"/>
  </r>
  <r>
    <d v="2004-06-24T00:00:00"/>
    <x v="5"/>
    <x v="1"/>
    <x v="1"/>
    <x v="3"/>
    <n v="6180.38"/>
    <x v="718"/>
    <n v="429.65"/>
    <n v="6.5000000000000002E-2"/>
    <x v="2"/>
    <n v="6"/>
    <x v="5"/>
  </r>
  <r>
    <d v="2005-07-05T00:00:00"/>
    <x v="1"/>
    <x v="2"/>
    <x v="2"/>
    <x v="2"/>
    <n v="700.9"/>
    <x v="719"/>
    <n v="48.73"/>
    <n v="6.5000000000000002E-2"/>
    <x v="0"/>
    <n v="7"/>
    <x v="9"/>
  </r>
  <r>
    <d v="2006-03-02T00:00:00"/>
    <x v="4"/>
    <x v="0"/>
    <x v="2"/>
    <x v="3"/>
    <n v="2916.71"/>
    <x v="720"/>
    <n v="202.77"/>
    <n v="6.5000000000000002E-2"/>
    <x v="1"/>
    <n v="3"/>
    <x v="3"/>
  </r>
  <r>
    <d v="2005-11-19T00:00:00"/>
    <x v="2"/>
    <x v="4"/>
    <x v="0"/>
    <x v="3"/>
    <n v="5560.98"/>
    <x v="721"/>
    <n v="386.59"/>
    <n v="6.5000000000000002E-2"/>
    <x v="0"/>
    <n v="11"/>
    <x v="11"/>
  </r>
  <r>
    <d v="2005-09-05T00:00:00"/>
    <x v="0"/>
    <x v="0"/>
    <x v="1"/>
    <x v="3"/>
    <n v="3209.38"/>
    <x v="722"/>
    <n v="2230.25"/>
    <n v="0.41"/>
    <x v="0"/>
    <n v="9"/>
    <x v="6"/>
  </r>
  <r>
    <d v="2005-02-16T00:00:00"/>
    <x v="4"/>
    <x v="3"/>
    <x v="1"/>
    <x v="0"/>
    <n v="5085.13"/>
    <x v="723"/>
    <n v="3533.73"/>
    <n v="0.41"/>
    <x v="0"/>
    <n v="2"/>
    <x v="1"/>
  </r>
  <r>
    <d v="2004-09-01T00:00:00"/>
    <x v="1"/>
    <x v="3"/>
    <x v="1"/>
    <x v="3"/>
    <n v="5018.37"/>
    <x v="724"/>
    <n v="2361.59"/>
    <n v="0.32"/>
    <x v="2"/>
    <n v="9"/>
    <x v="6"/>
  </r>
  <r>
    <d v="2004-07-09T00:00:00"/>
    <x v="1"/>
    <x v="0"/>
    <x v="3"/>
    <x v="0"/>
    <n v="3034.39"/>
    <x v="725"/>
    <n v="5166.66"/>
    <n v="0.63"/>
    <x v="2"/>
    <n v="7"/>
    <x v="9"/>
  </r>
  <r>
    <d v="2006-03-18T00:00:00"/>
    <x v="1"/>
    <x v="3"/>
    <x v="1"/>
    <x v="2"/>
    <n v="3495.94"/>
    <x v="726"/>
    <n v="1165.32"/>
    <n v="0.25"/>
    <x v="1"/>
    <n v="3"/>
    <x v="3"/>
  </r>
  <r>
    <d v="2005-02-10T00:00:00"/>
    <x v="1"/>
    <x v="3"/>
    <x v="2"/>
    <x v="2"/>
    <n v="5970.74"/>
    <x v="727"/>
    <n v="814.19"/>
    <n v="0.12"/>
    <x v="0"/>
    <n v="2"/>
    <x v="1"/>
  </r>
  <r>
    <d v="2005-07-13T00:00:00"/>
    <x v="3"/>
    <x v="4"/>
    <x v="3"/>
    <x v="0"/>
    <n v="1612.11"/>
    <x v="728"/>
    <n v="2744.94"/>
    <n v="0.63"/>
    <x v="0"/>
    <n v="7"/>
    <x v="9"/>
  </r>
  <r>
    <d v="2005-01-02T00:00:00"/>
    <x v="3"/>
    <x v="4"/>
    <x v="1"/>
    <x v="2"/>
    <n v="2272.11"/>
    <x v="729"/>
    <n v="3868.72"/>
    <n v="0.63"/>
    <x v="0"/>
    <n v="1"/>
    <x v="2"/>
  </r>
  <r>
    <d v="2005-02-14T00:00:00"/>
    <x v="1"/>
    <x v="3"/>
    <x v="2"/>
    <x v="0"/>
    <n v="5433.78"/>
    <x v="730"/>
    <n v="1811.26"/>
    <n v="0.25"/>
    <x v="0"/>
    <n v="2"/>
    <x v="1"/>
  </r>
  <r>
    <d v="2006-02-10T00:00:00"/>
    <x v="3"/>
    <x v="3"/>
    <x v="0"/>
    <x v="3"/>
    <n v="3235.23"/>
    <x v="731"/>
    <n v="3954.18"/>
    <n v="0.55000000000000004"/>
    <x v="1"/>
    <n v="2"/>
    <x v="1"/>
  </r>
  <r>
    <d v="2005-01-21T00:00:00"/>
    <x v="3"/>
    <x v="2"/>
    <x v="2"/>
    <x v="1"/>
    <n v="1883.75"/>
    <x v="732"/>
    <n v="3207.46"/>
    <n v="0.63"/>
    <x v="0"/>
    <n v="1"/>
    <x v="2"/>
  </r>
  <r>
    <d v="2005-09-21T00:00:00"/>
    <x v="2"/>
    <x v="3"/>
    <x v="0"/>
    <x v="0"/>
    <n v="4252.09"/>
    <x v="733"/>
    <n v="3478.99"/>
    <n v="0.45"/>
    <x v="0"/>
    <n v="9"/>
    <x v="6"/>
  </r>
  <r>
    <d v="2005-09-30T00:00:00"/>
    <x v="3"/>
    <x v="3"/>
    <x v="1"/>
    <x v="0"/>
    <n v="947.32"/>
    <x v="734"/>
    <n v="65.86"/>
    <n v="6.5000000000000002E-2"/>
    <x v="0"/>
    <n v="9"/>
    <x v="6"/>
  </r>
  <r>
    <d v="2005-04-02T00:00:00"/>
    <x v="1"/>
    <x v="0"/>
    <x v="0"/>
    <x v="0"/>
    <n v="3064.09"/>
    <x v="735"/>
    <n v="5217.2299999999996"/>
    <n v="0.63"/>
    <x v="0"/>
    <n v="4"/>
    <x v="8"/>
  </r>
  <r>
    <d v="2005-03-14T00:00:00"/>
    <x v="1"/>
    <x v="3"/>
    <x v="1"/>
    <x v="3"/>
    <n v="3411.82"/>
    <x v="736"/>
    <n v="237.18"/>
    <n v="6.5000000000000002E-2"/>
    <x v="0"/>
    <n v="3"/>
    <x v="3"/>
  </r>
  <r>
    <d v="2004-12-07T00:00:00"/>
    <x v="4"/>
    <x v="3"/>
    <x v="3"/>
    <x v="3"/>
    <n v="4485.4399999999996"/>
    <x v="737"/>
    <n v="311.82"/>
    <n v="6.5000000000000002E-2"/>
    <x v="2"/>
    <n v="12"/>
    <x v="4"/>
  </r>
  <r>
    <d v="2004-12-22T00:00:00"/>
    <x v="3"/>
    <x v="3"/>
    <x v="0"/>
    <x v="1"/>
    <n v="3654.44"/>
    <x v="738"/>
    <n v="498.33"/>
    <n v="0.12"/>
    <x v="2"/>
    <n v="12"/>
    <x v="4"/>
  </r>
  <r>
    <d v="2005-09-17T00:00:00"/>
    <x v="0"/>
    <x v="0"/>
    <x v="3"/>
    <x v="2"/>
    <n v="1660.48"/>
    <x v="739"/>
    <n v="2827.31"/>
    <n v="0.63"/>
    <x v="0"/>
    <n v="9"/>
    <x v="6"/>
  </r>
  <r>
    <d v="2004-10-21T00:00:00"/>
    <x v="3"/>
    <x v="2"/>
    <x v="0"/>
    <x v="3"/>
    <n v="5842.79"/>
    <x v="740"/>
    <n v="2749.55"/>
    <n v="0.32"/>
    <x v="2"/>
    <n v="10"/>
    <x v="0"/>
  </r>
  <r>
    <d v="2004-09-04T00:00:00"/>
    <x v="1"/>
    <x v="0"/>
    <x v="3"/>
    <x v="0"/>
    <n v="2356.79"/>
    <x v="741"/>
    <n v="3124.12"/>
    <n v="0.56999999999999995"/>
    <x v="2"/>
    <n v="9"/>
    <x v="6"/>
  </r>
  <r>
    <d v="2005-03-14T00:00:00"/>
    <x v="2"/>
    <x v="2"/>
    <x v="1"/>
    <x v="2"/>
    <n v="706.1"/>
    <x v="742"/>
    <n v="1202.27"/>
    <n v="0.63"/>
    <x v="0"/>
    <n v="3"/>
    <x v="3"/>
  </r>
  <r>
    <d v="2005-06-27T00:00:00"/>
    <x v="5"/>
    <x v="1"/>
    <x v="0"/>
    <x v="1"/>
    <n v="2180.67"/>
    <x v="743"/>
    <n v="726.89"/>
    <n v="0.25"/>
    <x v="0"/>
    <n v="6"/>
    <x v="5"/>
  </r>
  <r>
    <d v="2005-04-28T00:00:00"/>
    <x v="3"/>
    <x v="2"/>
    <x v="2"/>
    <x v="1"/>
    <n v="6469.43"/>
    <x v="744"/>
    <n v="449.75"/>
    <n v="6.5000000000000002E-2"/>
    <x v="0"/>
    <n v="4"/>
    <x v="8"/>
  </r>
  <r>
    <d v="2005-11-25T00:00:00"/>
    <x v="1"/>
    <x v="3"/>
    <x v="2"/>
    <x v="2"/>
    <n v="4280.79"/>
    <x v="745"/>
    <n v="5674.53"/>
    <n v="0.56999999999999995"/>
    <x v="0"/>
    <n v="11"/>
    <x v="11"/>
  </r>
  <r>
    <d v="2006-01-08T00:00:00"/>
    <x v="3"/>
    <x v="3"/>
    <x v="0"/>
    <x v="1"/>
    <n v="1201.94"/>
    <x v="746"/>
    <n v="1593.28"/>
    <n v="0.56999999999999995"/>
    <x v="1"/>
    <n v="1"/>
    <x v="2"/>
  </r>
  <r>
    <d v="2005-07-27T00:00:00"/>
    <x v="1"/>
    <x v="4"/>
    <x v="3"/>
    <x v="0"/>
    <n v="1468.23"/>
    <x v="747"/>
    <n v="1020.3"/>
    <n v="0.41"/>
    <x v="0"/>
    <n v="7"/>
    <x v="9"/>
  </r>
  <r>
    <d v="2004-06-29T00:00:00"/>
    <x v="5"/>
    <x v="3"/>
    <x v="1"/>
    <x v="3"/>
    <n v="1565.07"/>
    <x v="748"/>
    <n v="1280.52"/>
    <n v="0.45"/>
    <x v="2"/>
    <n v="6"/>
    <x v="5"/>
  </r>
  <r>
    <d v="2006-01-22T00:00:00"/>
    <x v="2"/>
    <x v="3"/>
    <x v="0"/>
    <x v="0"/>
    <n v="1385.9"/>
    <x v="749"/>
    <n v="1693.87"/>
    <n v="0.55000000000000004"/>
    <x v="1"/>
    <n v="1"/>
    <x v="2"/>
  </r>
  <r>
    <d v="2005-08-18T00:00:00"/>
    <x v="0"/>
    <x v="4"/>
    <x v="0"/>
    <x v="1"/>
    <n v="4025.11"/>
    <x v="750"/>
    <n v="548.88"/>
    <n v="0.12"/>
    <x v="0"/>
    <n v="8"/>
    <x v="10"/>
  </r>
  <r>
    <d v="2005-05-09T00:00:00"/>
    <x v="5"/>
    <x v="0"/>
    <x v="1"/>
    <x v="2"/>
    <n v="2723.95"/>
    <x v="751"/>
    <n v="1972.51"/>
    <n v="0.42"/>
    <x v="0"/>
    <n v="5"/>
    <x v="7"/>
  </r>
  <r>
    <d v="2004-10-24T00:00:00"/>
    <x v="0"/>
    <x v="0"/>
    <x v="2"/>
    <x v="1"/>
    <n v="450.47"/>
    <x v="752"/>
    <n v="313.04000000000002"/>
    <n v="0.41"/>
    <x v="2"/>
    <n v="10"/>
    <x v="0"/>
  </r>
  <r>
    <d v="2005-02-12T00:00:00"/>
    <x v="1"/>
    <x v="3"/>
    <x v="2"/>
    <x v="0"/>
    <n v="1100.8900000000001"/>
    <x v="753"/>
    <n v="366.96"/>
    <n v="0.25"/>
    <x v="0"/>
    <n v="2"/>
    <x v="1"/>
  </r>
  <r>
    <d v="2004-08-21T00:00:00"/>
    <x v="0"/>
    <x v="2"/>
    <x v="0"/>
    <x v="2"/>
    <n v="2606.7199999999998"/>
    <x v="754"/>
    <n v="355.46"/>
    <n v="0.12"/>
    <x v="2"/>
    <n v="8"/>
    <x v="10"/>
  </r>
  <r>
    <d v="2005-08-16T00:00:00"/>
    <x v="3"/>
    <x v="2"/>
    <x v="2"/>
    <x v="2"/>
    <n v="1983.9"/>
    <x v="755"/>
    <n v="1436.62"/>
    <n v="0.42"/>
    <x v="0"/>
    <n v="8"/>
    <x v="10"/>
  </r>
  <r>
    <d v="2004-08-28T00:00:00"/>
    <x v="4"/>
    <x v="0"/>
    <x v="3"/>
    <x v="1"/>
    <n v="1901.44"/>
    <x v="756"/>
    <n v="633.82000000000005"/>
    <n v="0.25"/>
    <x v="2"/>
    <n v="8"/>
    <x v="10"/>
  </r>
  <r>
    <d v="2005-06-11T00:00:00"/>
    <x v="4"/>
    <x v="3"/>
    <x v="1"/>
    <x v="0"/>
    <n v="2170.67"/>
    <x v="757"/>
    <n v="2653.05"/>
    <n v="0.55000000000000004"/>
    <x v="0"/>
    <n v="6"/>
    <x v="5"/>
  </r>
  <r>
    <d v="2006-01-10T00:00:00"/>
    <x v="1"/>
    <x v="0"/>
    <x v="1"/>
    <x v="2"/>
    <n v="7176.73"/>
    <x v="758"/>
    <n v="498.92"/>
    <n v="6.5000000000000002E-2"/>
    <x v="1"/>
    <n v="1"/>
    <x v="2"/>
  </r>
  <r>
    <d v="2005-02-06T00:00:00"/>
    <x v="0"/>
    <x v="2"/>
    <x v="3"/>
    <x v="0"/>
    <n v="5322.37"/>
    <x v="759"/>
    <n v="2504.65"/>
    <n v="0.32"/>
    <x v="0"/>
    <n v="2"/>
    <x v="1"/>
  </r>
  <r>
    <d v="2005-11-26T00:00:00"/>
    <x v="5"/>
    <x v="4"/>
    <x v="3"/>
    <x v="1"/>
    <n v="3184.46"/>
    <x v="760"/>
    <n v="4221.2700000000004"/>
    <n v="0.56999999999999995"/>
    <x v="0"/>
    <n v="11"/>
    <x v="11"/>
  </r>
  <r>
    <d v="2004-09-16T00:00:00"/>
    <x v="3"/>
    <x v="4"/>
    <x v="0"/>
    <x v="2"/>
    <n v="828.59"/>
    <x v="761"/>
    <n v="1410.85"/>
    <n v="0.63"/>
    <x v="2"/>
    <n v="9"/>
    <x v="6"/>
  </r>
  <r>
    <d v="2005-11-01T00:00:00"/>
    <x v="1"/>
    <x v="3"/>
    <x v="0"/>
    <x v="1"/>
    <n v="42.48"/>
    <x v="762"/>
    <n v="19.989999999999998"/>
    <n v="0.32"/>
    <x v="0"/>
    <n v="11"/>
    <x v="11"/>
  </r>
  <r>
    <d v="2004-12-30T00:00:00"/>
    <x v="1"/>
    <x v="3"/>
    <x v="1"/>
    <x v="1"/>
    <n v="2150.9699999999998"/>
    <x v="763"/>
    <n v="2851.28"/>
    <n v="0.56999999999999995"/>
    <x v="2"/>
    <n v="12"/>
    <x v="4"/>
  </r>
  <r>
    <d v="2005-06-14T00:00:00"/>
    <x v="3"/>
    <x v="1"/>
    <x v="0"/>
    <x v="1"/>
    <n v="4333.6499999999996"/>
    <x v="764"/>
    <n v="3545.72"/>
    <n v="0.45"/>
    <x v="0"/>
    <n v="6"/>
    <x v="5"/>
  </r>
  <r>
    <d v="2005-01-27T00:00:00"/>
    <x v="2"/>
    <x v="3"/>
    <x v="2"/>
    <x v="2"/>
    <n v="4856.3"/>
    <x v="765"/>
    <n v="337.6"/>
    <n v="6.5000000000000002E-2"/>
    <x v="0"/>
    <n v="1"/>
    <x v="2"/>
  </r>
  <r>
    <d v="2005-04-08T00:00:00"/>
    <x v="0"/>
    <x v="1"/>
    <x v="0"/>
    <x v="0"/>
    <n v="311.57"/>
    <x v="766"/>
    <n v="103.86"/>
    <n v="0.25"/>
    <x v="0"/>
    <n v="4"/>
    <x v="8"/>
  </r>
  <r>
    <d v="2006-03-18T00:00:00"/>
    <x v="1"/>
    <x v="2"/>
    <x v="3"/>
    <x v="2"/>
    <n v="2962.53"/>
    <x v="767"/>
    <n v="1394.13"/>
    <n v="0.32"/>
    <x v="1"/>
    <n v="3"/>
    <x v="3"/>
  </r>
  <r>
    <d v="2006-04-12T00:00:00"/>
    <x v="5"/>
    <x v="3"/>
    <x v="1"/>
    <x v="2"/>
    <n v="751.76"/>
    <x v="768"/>
    <n v="918.81"/>
    <n v="0.55000000000000004"/>
    <x v="1"/>
    <n v="4"/>
    <x v="8"/>
  </r>
  <r>
    <d v="2005-12-03T00:00:00"/>
    <x v="1"/>
    <x v="4"/>
    <x v="2"/>
    <x v="1"/>
    <n v="2044.57"/>
    <x v="769"/>
    <n v="1420.8"/>
    <n v="0.41"/>
    <x v="0"/>
    <n v="12"/>
    <x v="4"/>
  </r>
  <r>
    <d v="2005-12-22T00:00:00"/>
    <x v="3"/>
    <x v="0"/>
    <x v="2"/>
    <x v="2"/>
    <n v="4847.26"/>
    <x v="770"/>
    <n v="3368.44"/>
    <n v="0.41"/>
    <x v="0"/>
    <n v="12"/>
    <x v="4"/>
  </r>
  <r>
    <d v="2006-05-06T00:00:00"/>
    <x v="4"/>
    <x v="4"/>
    <x v="2"/>
    <x v="3"/>
    <n v="3172.06"/>
    <x v="771"/>
    <n v="5401.08"/>
    <n v="0.63"/>
    <x v="1"/>
    <n v="5"/>
    <x v="7"/>
  </r>
  <r>
    <d v="2004-07-10T00:00:00"/>
    <x v="4"/>
    <x v="0"/>
    <x v="2"/>
    <x v="1"/>
    <n v="5100.55"/>
    <x v="772"/>
    <n v="4173.18"/>
    <n v="0.45"/>
    <x v="2"/>
    <n v="7"/>
    <x v="9"/>
  </r>
  <r>
    <d v="2005-02-07T00:00:00"/>
    <x v="4"/>
    <x v="4"/>
    <x v="3"/>
    <x v="0"/>
    <n v="3726.03"/>
    <x v="773"/>
    <n v="259.02999999999997"/>
    <n v="6.5000000000000002E-2"/>
    <x v="0"/>
    <n v="2"/>
    <x v="1"/>
  </r>
  <r>
    <d v="2005-07-30T00:00:00"/>
    <x v="3"/>
    <x v="0"/>
    <x v="0"/>
    <x v="3"/>
    <n v="5237.0200000000004"/>
    <x v="774"/>
    <n v="1745.67"/>
    <n v="0.25"/>
    <x v="0"/>
    <n v="7"/>
    <x v="9"/>
  </r>
  <r>
    <d v="2005-03-21T00:00:00"/>
    <x v="3"/>
    <x v="3"/>
    <x v="3"/>
    <x v="1"/>
    <n v="260.95999999999998"/>
    <x v="775"/>
    <n v="318.95999999999998"/>
    <n v="0.55000000000000004"/>
    <x v="0"/>
    <n v="3"/>
    <x v="3"/>
  </r>
  <r>
    <d v="2004-06-24T00:00:00"/>
    <x v="0"/>
    <x v="1"/>
    <x v="2"/>
    <x v="2"/>
    <n v="4968.84"/>
    <x v="776"/>
    <n v="4065.41"/>
    <n v="0.45"/>
    <x v="2"/>
    <n v="6"/>
    <x v="5"/>
  </r>
  <r>
    <d v="2006-03-22T00:00:00"/>
    <x v="3"/>
    <x v="0"/>
    <x v="0"/>
    <x v="2"/>
    <n v="1547.53"/>
    <x v="777"/>
    <n v="1266.1600000000001"/>
    <n v="0.45"/>
    <x v="1"/>
    <n v="3"/>
    <x v="3"/>
  </r>
  <r>
    <d v="2006-05-19T00:00:00"/>
    <x v="0"/>
    <x v="0"/>
    <x v="0"/>
    <x v="1"/>
    <n v="3908.89"/>
    <x v="778"/>
    <n v="533.03"/>
    <n v="0.12"/>
    <x v="1"/>
    <n v="5"/>
    <x v="7"/>
  </r>
  <r>
    <d v="2005-06-09T00:00:00"/>
    <x v="4"/>
    <x v="3"/>
    <x v="1"/>
    <x v="1"/>
    <n v="3481.28"/>
    <x v="779"/>
    <n v="2520.92"/>
    <n v="0.42"/>
    <x v="0"/>
    <n v="6"/>
    <x v="5"/>
  </r>
  <r>
    <d v="2006-02-09T00:00:00"/>
    <x v="3"/>
    <x v="4"/>
    <x v="3"/>
    <x v="1"/>
    <n v="1140.27"/>
    <x v="780"/>
    <n v="1393.67"/>
    <n v="0.55000000000000004"/>
    <x v="1"/>
    <n v="2"/>
    <x v="1"/>
  </r>
  <r>
    <d v="2005-08-02T00:00:00"/>
    <x v="2"/>
    <x v="0"/>
    <x v="3"/>
    <x v="0"/>
    <n v="4364.4399999999996"/>
    <x v="781"/>
    <n v="303.41000000000003"/>
    <n v="6.5000000000000002E-2"/>
    <x v="0"/>
    <n v="8"/>
    <x v="10"/>
  </r>
  <r>
    <d v="2004-06-19T00:00:00"/>
    <x v="0"/>
    <x v="0"/>
    <x v="0"/>
    <x v="3"/>
    <n v="121.98"/>
    <x v="782"/>
    <n v="149.08000000000001"/>
    <n v="0.55000000000000004"/>
    <x v="2"/>
    <n v="6"/>
    <x v="5"/>
  </r>
  <r>
    <d v="2005-03-28T00:00:00"/>
    <x v="1"/>
    <x v="4"/>
    <x v="1"/>
    <x v="1"/>
    <n v="287.94"/>
    <x v="783"/>
    <n v="235.58"/>
    <n v="0.45"/>
    <x v="0"/>
    <n v="3"/>
    <x v="3"/>
  </r>
  <r>
    <d v="2006-02-06T00:00:00"/>
    <x v="4"/>
    <x v="4"/>
    <x v="1"/>
    <x v="2"/>
    <n v="7334.86"/>
    <x v="784"/>
    <n v="509.91"/>
    <n v="6.5000000000000002E-2"/>
    <x v="1"/>
    <n v="2"/>
    <x v="1"/>
  </r>
  <r>
    <d v="2006-02-28T00:00:00"/>
    <x v="2"/>
    <x v="1"/>
    <x v="3"/>
    <x v="3"/>
    <n v="8702.34"/>
    <x v="785"/>
    <n v="1186.68"/>
    <n v="0.12"/>
    <x v="1"/>
    <n v="2"/>
    <x v="1"/>
  </r>
  <r>
    <d v="2006-05-25T00:00:00"/>
    <x v="0"/>
    <x v="0"/>
    <x v="0"/>
    <x v="1"/>
    <n v="2580.64"/>
    <x v="786"/>
    <n v="4394.0600000000004"/>
    <n v="0.63"/>
    <x v="1"/>
    <n v="5"/>
    <x v="7"/>
  </r>
  <r>
    <d v="2005-07-04T00:00:00"/>
    <x v="1"/>
    <x v="0"/>
    <x v="1"/>
    <x v="1"/>
    <n v="344.94"/>
    <x v="787"/>
    <n v="23.98"/>
    <n v="6.5000000000000002E-2"/>
    <x v="0"/>
    <n v="7"/>
    <x v="9"/>
  </r>
  <r>
    <d v="2006-03-31T00:00:00"/>
    <x v="3"/>
    <x v="4"/>
    <x v="2"/>
    <x v="0"/>
    <n v="892.65"/>
    <x v="788"/>
    <n v="420.07"/>
    <n v="0.32"/>
    <x v="1"/>
    <n v="3"/>
    <x v="3"/>
  </r>
  <r>
    <d v="2005-07-10T00:00:00"/>
    <x v="2"/>
    <x v="1"/>
    <x v="0"/>
    <x v="3"/>
    <n v="4941.51"/>
    <x v="789"/>
    <n v="4043.05"/>
    <n v="0.45"/>
    <x v="0"/>
    <n v="7"/>
    <x v="9"/>
  </r>
  <r>
    <d v="2005-06-23T00:00:00"/>
    <x v="5"/>
    <x v="2"/>
    <x v="0"/>
    <x v="1"/>
    <n v="4777.33"/>
    <x v="790"/>
    <n v="2248.16"/>
    <n v="0.32"/>
    <x v="0"/>
    <n v="6"/>
    <x v="5"/>
  </r>
  <r>
    <d v="2005-07-26T00:00:00"/>
    <x v="4"/>
    <x v="4"/>
    <x v="3"/>
    <x v="0"/>
    <n v="6050.41"/>
    <x v="791"/>
    <n v="2847.25"/>
    <n v="0.32"/>
    <x v="0"/>
    <n v="7"/>
    <x v="9"/>
  </r>
  <r>
    <d v="2006-04-07T00:00:00"/>
    <x v="0"/>
    <x v="0"/>
    <x v="3"/>
    <x v="0"/>
    <n v="2178.09"/>
    <x v="792"/>
    <n v="1513.58"/>
    <n v="0.41"/>
    <x v="1"/>
    <n v="4"/>
    <x v="8"/>
  </r>
  <r>
    <d v="2006-05-01T00:00:00"/>
    <x v="2"/>
    <x v="1"/>
    <x v="3"/>
    <x v="3"/>
    <n v="2347.59"/>
    <x v="793"/>
    <n v="782.53"/>
    <n v="0.25"/>
    <x v="1"/>
    <n v="5"/>
    <x v="7"/>
  </r>
  <r>
    <d v="2005-04-06T00:00:00"/>
    <x v="4"/>
    <x v="3"/>
    <x v="3"/>
    <x v="3"/>
    <n v="7375.16"/>
    <x v="794"/>
    <n v="512.71"/>
    <n v="6.5000000000000002E-2"/>
    <x v="0"/>
    <n v="4"/>
    <x v="8"/>
  </r>
  <r>
    <d v="2005-11-24T00:00:00"/>
    <x v="5"/>
    <x v="0"/>
    <x v="0"/>
    <x v="2"/>
    <n v="744.48"/>
    <x v="795"/>
    <n v="350.35"/>
    <n v="0.32"/>
    <x v="0"/>
    <n v="11"/>
    <x v="11"/>
  </r>
  <r>
    <d v="2005-11-04T00:00:00"/>
    <x v="4"/>
    <x v="1"/>
    <x v="3"/>
    <x v="1"/>
    <n v="6525.3"/>
    <x v="796"/>
    <n v="2175.1"/>
    <n v="0.25"/>
    <x v="0"/>
    <n v="11"/>
    <x v="11"/>
  </r>
  <r>
    <d v="2005-10-21T00:00:00"/>
    <x v="4"/>
    <x v="2"/>
    <x v="3"/>
    <x v="2"/>
    <n v="8114.07"/>
    <x v="797"/>
    <n v="564.08000000000004"/>
    <n v="6.5000000000000002E-2"/>
    <x v="0"/>
    <n v="10"/>
    <x v="0"/>
  </r>
  <r>
    <d v="2005-03-26T00:00:00"/>
    <x v="4"/>
    <x v="3"/>
    <x v="1"/>
    <x v="2"/>
    <n v="578.61"/>
    <x v="798"/>
    <n v="402.08"/>
    <n v="0.41"/>
    <x v="0"/>
    <n v="3"/>
    <x v="3"/>
  </r>
  <r>
    <d v="2005-11-02T00:00:00"/>
    <x v="2"/>
    <x v="1"/>
    <x v="3"/>
    <x v="2"/>
    <n v="5180.1400000000003"/>
    <x v="799"/>
    <n v="2437.71"/>
    <n v="0.32"/>
    <x v="0"/>
    <n v="11"/>
    <x v="11"/>
  </r>
  <r>
    <d v="2004-12-09T00:00:00"/>
    <x v="3"/>
    <x v="1"/>
    <x v="1"/>
    <x v="2"/>
    <n v="6029.98"/>
    <x v="800"/>
    <n v="2010"/>
    <n v="0.25"/>
    <x v="2"/>
    <n v="12"/>
    <x v="4"/>
  </r>
  <r>
    <d v="2006-04-06T00:00:00"/>
    <x v="2"/>
    <x v="3"/>
    <x v="0"/>
    <x v="3"/>
    <n v="4686.96"/>
    <x v="801"/>
    <n v="3834.78"/>
    <n v="0.45"/>
    <x v="1"/>
    <n v="4"/>
    <x v="8"/>
  </r>
  <r>
    <d v="2004-09-06T00:00:00"/>
    <x v="2"/>
    <x v="3"/>
    <x v="2"/>
    <x v="2"/>
    <n v="2808.36"/>
    <x v="802"/>
    <n v="1951.57"/>
    <n v="0.41"/>
    <x v="2"/>
    <n v="9"/>
    <x v="6"/>
  </r>
  <r>
    <d v="2005-09-14T00:00:00"/>
    <x v="3"/>
    <x v="3"/>
    <x v="1"/>
    <x v="1"/>
    <n v="3607.24"/>
    <x v="803"/>
    <n v="2951.38"/>
    <n v="0.45"/>
    <x v="0"/>
    <n v="9"/>
    <x v="6"/>
  </r>
  <r>
    <d v="2006-05-29T00:00:00"/>
    <x v="4"/>
    <x v="4"/>
    <x v="2"/>
    <x v="1"/>
    <n v="295.79000000000002"/>
    <x v="804"/>
    <n v="40.33"/>
    <n v="0.12"/>
    <x v="1"/>
    <n v="5"/>
    <x v="7"/>
  </r>
  <r>
    <d v="2005-09-13T00:00:00"/>
    <x v="1"/>
    <x v="3"/>
    <x v="3"/>
    <x v="0"/>
    <n v="2306.5700000000002"/>
    <x v="805"/>
    <n v="3927.4"/>
    <n v="0.63"/>
    <x v="0"/>
    <n v="9"/>
    <x v="6"/>
  </r>
  <r>
    <d v="2005-03-21T00:00:00"/>
    <x v="1"/>
    <x v="4"/>
    <x v="1"/>
    <x v="3"/>
    <n v="4189.1400000000003"/>
    <x v="806"/>
    <n v="5553.05"/>
    <n v="0.56999999999999995"/>
    <x v="0"/>
    <n v="3"/>
    <x v="3"/>
  </r>
  <r>
    <d v="2006-05-01T00:00:00"/>
    <x v="5"/>
    <x v="3"/>
    <x v="0"/>
    <x v="2"/>
    <n v="3650.9"/>
    <x v="807"/>
    <n v="1718.07"/>
    <n v="0.32"/>
    <x v="1"/>
    <n v="5"/>
    <x v="7"/>
  </r>
  <r>
    <d v="2005-07-21T00:00:00"/>
    <x v="0"/>
    <x v="1"/>
    <x v="1"/>
    <x v="3"/>
    <n v="1641.61"/>
    <x v="808"/>
    <n v="223.86"/>
    <n v="0.12"/>
    <x v="0"/>
    <n v="7"/>
    <x v="9"/>
  </r>
  <r>
    <d v="2005-08-01T00:00:00"/>
    <x v="4"/>
    <x v="0"/>
    <x v="0"/>
    <x v="1"/>
    <n v="7010.27"/>
    <x v="809"/>
    <n v="2336.7600000000002"/>
    <n v="0.25"/>
    <x v="0"/>
    <n v="8"/>
    <x v="10"/>
  </r>
  <r>
    <d v="2005-11-11T00:00:00"/>
    <x v="2"/>
    <x v="2"/>
    <x v="2"/>
    <x v="0"/>
    <n v="1803.84"/>
    <x v="810"/>
    <n v="3071.4"/>
    <n v="0.63"/>
    <x v="0"/>
    <n v="11"/>
    <x v="11"/>
  </r>
  <r>
    <d v="2005-12-15T00:00:00"/>
    <x v="5"/>
    <x v="3"/>
    <x v="1"/>
    <x v="0"/>
    <n v="5964"/>
    <x v="811"/>
    <n v="1988"/>
    <n v="0.25"/>
    <x v="0"/>
    <n v="12"/>
    <x v="4"/>
  </r>
  <r>
    <d v="2005-09-24T00:00:00"/>
    <x v="1"/>
    <x v="0"/>
    <x v="1"/>
    <x v="2"/>
    <n v="3337.16"/>
    <x v="812"/>
    <n v="1112.3900000000001"/>
    <n v="0.25"/>
    <x v="0"/>
    <n v="9"/>
    <x v="6"/>
  </r>
  <r>
    <d v="2005-09-08T00:00:00"/>
    <x v="4"/>
    <x v="3"/>
    <x v="0"/>
    <x v="3"/>
    <n v="3285.99"/>
    <x v="813"/>
    <n v="228.44"/>
    <n v="6.5000000000000002E-2"/>
    <x v="0"/>
    <n v="9"/>
    <x v="6"/>
  </r>
  <r>
    <d v="2005-07-11T00:00:00"/>
    <x v="5"/>
    <x v="1"/>
    <x v="1"/>
    <x v="2"/>
    <n v="3107.28"/>
    <x v="814"/>
    <n v="4118.95"/>
    <n v="0.56999999999999995"/>
    <x v="0"/>
    <n v="7"/>
    <x v="9"/>
  </r>
  <r>
    <d v="2006-01-05T00:00:00"/>
    <x v="1"/>
    <x v="2"/>
    <x v="2"/>
    <x v="2"/>
    <n v="9284.3799999999992"/>
    <x v="815"/>
    <n v="645.44000000000005"/>
    <n v="6.5000000000000002E-2"/>
    <x v="1"/>
    <n v="1"/>
    <x v="2"/>
  </r>
  <r>
    <d v="2005-01-05T00:00:00"/>
    <x v="4"/>
    <x v="0"/>
    <x v="2"/>
    <x v="2"/>
    <n v="644.47"/>
    <x v="816"/>
    <n v="447.85"/>
    <n v="0.41"/>
    <x v="0"/>
    <n v="1"/>
    <x v="2"/>
  </r>
  <r>
    <d v="2006-03-27T00:00:00"/>
    <x v="1"/>
    <x v="1"/>
    <x v="3"/>
    <x v="0"/>
    <n v="5943.56"/>
    <x v="817"/>
    <n v="810.48"/>
    <n v="0.12"/>
    <x v="1"/>
    <n v="3"/>
    <x v="3"/>
  </r>
  <r>
    <d v="2005-01-14T00:00:00"/>
    <x v="4"/>
    <x v="3"/>
    <x v="3"/>
    <x v="3"/>
    <n v="6385.73"/>
    <x v="818"/>
    <n v="443.93"/>
    <n v="6.5000000000000002E-2"/>
    <x v="0"/>
    <n v="1"/>
    <x v="2"/>
  </r>
  <r>
    <d v="2005-01-04T00:00:00"/>
    <x v="0"/>
    <x v="4"/>
    <x v="1"/>
    <x v="2"/>
    <n v="2681.84"/>
    <x v="819"/>
    <n v="1942.02"/>
    <n v="0.42"/>
    <x v="0"/>
    <n v="1"/>
    <x v="2"/>
  </r>
  <r>
    <d v="2005-12-25T00:00:00"/>
    <x v="1"/>
    <x v="2"/>
    <x v="2"/>
    <x v="2"/>
    <n v="3106.86"/>
    <x v="820"/>
    <n v="1035.6199999999999"/>
    <n v="0.25"/>
    <x v="0"/>
    <n v="12"/>
    <x v="4"/>
  </r>
  <r>
    <d v="2005-02-06T00:00:00"/>
    <x v="2"/>
    <x v="1"/>
    <x v="2"/>
    <x v="2"/>
    <n v="1615.62"/>
    <x v="821"/>
    <n v="2141.63"/>
    <n v="0.56999999999999995"/>
    <x v="0"/>
    <n v="2"/>
    <x v="1"/>
  </r>
  <r>
    <d v="2005-11-15T00:00:00"/>
    <x v="1"/>
    <x v="3"/>
    <x v="2"/>
    <x v="2"/>
    <n v="2345.62"/>
    <x v="822"/>
    <n v="163.06"/>
    <n v="6.5000000000000002E-2"/>
    <x v="0"/>
    <n v="11"/>
    <x v="11"/>
  </r>
  <r>
    <d v="2004-12-09T00:00:00"/>
    <x v="3"/>
    <x v="3"/>
    <x v="0"/>
    <x v="1"/>
    <n v="1918.2"/>
    <x v="823"/>
    <n v="1332.98"/>
    <n v="0.41"/>
    <x v="2"/>
    <n v="12"/>
    <x v="4"/>
  </r>
  <r>
    <d v="2006-03-29T00:00:00"/>
    <x v="0"/>
    <x v="2"/>
    <x v="0"/>
    <x v="0"/>
    <n v="525.55999999999995"/>
    <x v="824"/>
    <n v="380.58"/>
    <n v="0.42"/>
    <x v="1"/>
    <n v="3"/>
    <x v="3"/>
  </r>
  <r>
    <d v="2005-07-29T00:00:00"/>
    <x v="5"/>
    <x v="4"/>
    <x v="1"/>
    <x v="2"/>
    <n v="2259.48"/>
    <x v="825"/>
    <n v="1636.17"/>
    <n v="0.42"/>
    <x v="0"/>
    <n v="7"/>
    <x v="9"/>
  </r>
  <r>
    <d v="2006-02-12T00:00:00"/>
    <x v="3"/>
    <x v="0"/>
    <x v="1"/>
    <x v="1"/>
    <n v="5925.92"/>
    <x v="826"/>
    <n v="1975.3"/>
    <n v="0.25"/>
    <x v="1"/>
    <n v="2"/>
    <x v="1"/>
  </r>
  <r>
    <d v="2004-12-19T00:00:00"/>
    <x v="2"/>
    <x v="2"/>
    <x v="3"/>
    <x v="1"/>
    <n v="5867.66"/>
    <x v="827"/>
    <n v="4077.52"/>
    <n v="0.41"/>
    <x v="2"/>
    <n v="12"/>
    <x v="4"/>
  </r>
  <r>
    <d v="2005-11-16T00:00:00"/>
    <x v="0"/>
    <x v="4"/>
    <x v="3"/>
    <x v="1"/>
    <n v="816.17"/>
    <x v="828"/>
    <n v="591.02"/>
    <n v="0.42"/>
    <x v="0"/>
    <n v="11"/>
    <x v="11"/>
  </r>
  <r>
    <d v="2004-08-29T00:00:00"/>
    <x v="4"/>
    <x v="0"/>
    <x v="1"/>
    <x v="3"/>
    <n v="3729.2"/>
    <x v="829"/>
    <n v="1243.07"/>
    <n v="0.25"/>
    <x v="2"/>
    <n v="8"/>
    <x v="10"/>
  </r>
  <r>
    <d v="2005-05-20T00:00:00"/>
    <x v="0"/>
    <x v="4"/>
    <x v="3"/>
    <x v="1"/>
    <n v="3633.72"/>
    <x v="830"/>
    <n v="4816.8"/>
    <n v="0.56999999999999995"/>
    <x v="0"/>
    <n v="5"/>
    <x v="7"/>
  </r>
  <r>
    <d v="2005-09-12T00:00:00"/>
    <x v="4"/>
    <x v="0"/>
    <x v="2"/>
    <x v="3"/>
    <n v="974.26"/>
    <x v="831"/>
    <n v="1190.77"/>
    <n v="0.55000000000000004"/>
    <x v="0"/>
    <n v="9"/>
    <x v="6"/>
  </r>
  <r>
    <d v="2005-12-31T00:00:00"/>
    <x v="5"/>
    <x v="1"/>
    <x v="0"/>
    <x v="2"/>
    <n v="8192.4699999999993"/>
    <x v="832"/>
    <n v="1117.1500000000001"/>
    <n v="0.12"/>
    <x v="0"/>
    <n v="12"/>
    <x v="4"/>
  </r>
  <r>
    <d v="2006-03-02T00:00:00"/>
    <x v="5"/>
    <x v="4"/>
    <x v="2"/>
    <x v="0"/>
    <n v="3802.89"/>
    <x v="833"/>
    <n v="2753.81"/>
    <n v="0.42"/>
    <x v="1"/>
    <n v="3"/>
    <x v="3"/>
  </r>
  <r>
    <d v="2006-01-28T00:00:00"/>
    <x v="3"/>
    <x v="0"/>
    <x v="3"/>
    <x v="0"/>
    <n v="3479.96"/>
    <x v="834"/>
    <n v="474.54"/>
    <n v="0.12"/>
    <x v="1"/>
    <n v="1"/>
    <x v="2"/>
  </r>
  <r>
    <d v="2004-06-18T00:00:00"/>
    <x v="5"/>
    <x v="0"/>
    <x v="0"/>
    <x v="2"/>
    <n v="3852.53"/>
    <x v="835"/>
    <n v="4708.6400000000003"/>
    <n v="0.55000000000000004"/>
    <x v="2"/>
    <n v="6"/>
    <x v="5"/>
  </r>
  <r>
    <d v="2005-03-28T00:00:00"/>
    <x v="1"/>
    <x v="2"/>
    <x v="2"/>
    <x v="3"/>
    <n v="4341.22"/>
    <x v="836"/>
    <n v="3143.65"/>
    <n v="0.42"/>
    <x v="0"/>
    <n v="3"/>
    <x v="3"/>
  </r>
  <r>
    <d v="2005-10-03T00:00:00"/>
    <x v="4"/>
    <x v="0"/>
    <x v="3"/>
    <x v="3"/>
    <n v="9189.7800000000007"/>
    <x v="837"/>
    <n v="638.86"/>
    <n v="6.5000000000000002E-2"/>
    <x v="0"/>
    <n v="10"/>
    <x v="0"/>
  </r>
  <r>
    <d v="2004-12-02T00:00:00"/>
    <x v="4"/>
    <x v="2"/>
    <x v="0"/>
    <x v="3"/>
    <n v="2965.04"/>
    <x v="838"/>
    <n v="3930.4"/>
    <n v="0.56999999999999995"/>
    <x v="2"/>
    <n v="12"/>
    <x v="4"/>
  </r>
  <r>
    <d v="2006-05-18T00:00:00"/>
    <x v="2"/>
    <x v="2"/>
    <x v="2"/>
    <x v="0"/>
    <n v="2442.52"/>
    <x v="839"/>
    <n v="4158.88"/>
    <n v="0.63"/>
    <x v="1"/>
    <n v="5"/>
    <x v="7"/>
  </r>
  <r>
    <d v="2005-06-07T00:00:00"/>
    <x v="5"/>
    <x v="1"/>
    <x v="3"/>
    <x v="2"/>
    <n v="3612.19"/>
    <x v="840"/>
    <n v="1699.86"/>
    <n v="0.32"/>
    <x v="0"/>
    <n v="6"/>
    <x v="5"/>
  </r>
  <r>
    <d v="2006-04-18T00:00:00"/>
    <x v="3"/>
    <x v="4"/>
    <x v="1"/>
    <x v="1"/>
    <n v="3239.99"/>
    <x v="841"/>
    <n v="225.24"/>
    <n v="6.5000000000000002E-2"/>
    <x v="1"/>
    <n v="4"/>
    <x v="8"/>
  </r>
  <r>
    <d v="2006-01-26T00:00:00"/>
    <x v="1"/>
    <x v="0"/>
    <x v="3"/>
    <x v="2"/>
    <n v="6053.6"/>
    <x v="842"/>
    <n v="2017.86"/>
    <n v="0.25"/>
    <x v="1"/>
    <n v="1"/>
    <x v="2"/>
  </r>
  <r>
    <d v="2006-05-11T00:00:00"/>
    <x v="3"/>
    <x v="2"/>
    <x v="2"/>
    <x v="2"/>
    <n v="2293.84"/>
    <x v="843"/>
    <n v="764.62"/>
    <n v="0.25"/>
    <x v="1"/>
    <n v="5"/>
    <x v="7"/>
  </r>
  <r>
    <d v="2004-07-01T00:00:00"/>
    <x v="0"/>
    <x v="1"/>
    <x v="1"/>
    <x v="3"/>
    <n v="105.4"/>
    <x v="844"/>
    <n v="179.47"/>
    <n v="0.63"/>
    <x v="2"/>
    <n v="7"/>
    <x v="9"/>
  </r>
  <r>
    <d v="2005-01-29T00:00:00"/>
    <x v="0"/>
    <x v="4"/>
    <x v="2"/>
    <x v="0"/>
    <n v="5831.52"/>
    <x v="845"/>
    <n v="4052.41"/>
    <n v="0.41"/>
    <x v="0"/>
    <n v="1"/>
    <x v="2"/>
  </r>
  <r>
    <d v="2005-12-29T00:00:00"/>
    <x v="5"/>
    <x v="0"/>
    <x v="1"/>
    <x v="2"/>
    <n v="687.21"/>
    <x v="846"/>
    <n v="562.26"/>
    <n v="0.45"/>
    <x v="0"/>
    <n v="12"/>
    <x v="4"/>
  </r>
  <r>
    <d v="2004-09-21T00:00:00"/>
    <x v="0"/>
    <x v="0"/>
    <x v="3"/>
    <x v="3"/>
    <n v="2177.0100000000002"/>
    <x v="847"/>
    <n v="3706.79"/>
    <n v="0.63"/>
    <x v="2"/>
    <n v="9"/>
    <x v="6"/>
  </r>
  <r>
    <d v="2005-08-23T00:00:00"/>
    <x v="1"/>
    <x v="3"/>
    <x v="0"/>
    <x v="2"/>
    <n v="3975.27"/>
    <x v="848"/>
    <n v="1325.09"/>
    <n v="0.25"/>
    <x v="0"/>
    <n v="8"/>
    <x v="10"/>
  </r>
  <r>
    <d v="2005-12-01T00:00:00"/>
    <x v="0"/>
    <x v="3"/>
    <x v="3"/>
    <x v="1"/>
    <n v="3436.89"/>
    <x v="849"/>
    <n v="1145.6300000000001"/>
    <n v="0.25"/>
    <x v="0"/>
    <n v="12"/>
    <x v="4"/>
  </r>
  <r>
    <d v="2004-06-28T00:00:00"/>
    <x v="3"/>
    <x v="0"/>
    <x v="0"/>
    <x v="3"/>
    <n v="2043.56"/>
    <x v="850"/>
    <n v="2708.9"/>
    <n v="0.56999999999999995"/>
    <x v="2"/>
    <n v="6"/>
    <x v="5"/>
  </r>
  <r>
    <d v="2005-01-18T00:00:00"/>
    <x v="3"/>
    <x v="1"/>
    <x v="3"/>
    <x v="1"/>
    <n v="404.3"/>
    <x v="851"/>
    <n v="134.77000000000001"/>
    <n v="0.25"/>
    <x v="0"/>
    <n v="1"/>
    <x v="2"/>
  </r>
  <r>
    <d v="2004-09-04T00:00:00"/>
    <x v="0"/>
    <x v="2"/>
    <x v="2"/>
    <x v="0"/>
    <n v="5157.05"/>
    <x v="852"/>
    <n v="4219.3999999999996"/>
    <n v="0.45"/>
    <x v="2"/>
    <n v="9"/>
    <x v="6"/>
  </r>
  <r>
    <d v="2005-09-16T00:00:00"/>
    <x v="2"/>
    <x v="4"/>
    <x v="1"/>
    <x v="0"/>
    <n v="4240.1000000000004"/>
    <x v="853"/>
    <n v="5620.59"/>
    <n v="0.56999999999999995"/>
    <x v="0"/>
    <n v="9"/>
    <x v="6"/>
  </r>
  <r>
    <d v="2005-02-25T00:00:00"/>
    <x v="1"/>
    <x v="3"/>
    <x v="0"/>
    <x v="1"/>
    <n v="8385.2800000000007"/>
    <x v="854"/>
    <n v="1143.45"/>
    <n v="0.12"/>
    <x v="0"/>
    <n v="2"/>
    <x v="1"/>
  </r>
  <r>
    <d v="2005-08-20T00:00:00"/>
    <x v="4"/>
    <x v="1"/>
    <x v="1"/>
    <x v="1"/>
    <n v="196.46"/>
    <x v="855"/>
    <n v="260.42"/>
    <n v="0.56999999999999995"/>
    <x v="0"/>
    <n v="8"/>
    <x v="10"/>
  </r>
  <r>
    <d v="2006-04-29T00:00:00"/>
    <x v="2"/>
    <x v="1"/>
    <x v="1"/>
    <x v="0"/>
    <n v="195.22"/>
    <x v="856"/>
    <n v="238.6"/>
    <n v="0.55000000000000004"/>
    <x v="1"/>
    <n v="4"/>
    <x v="8"/>
  </r>
  <r>
    <d v="2004-08-06T00:00:00"/>
    <x v="3"/>
    <x v="0"/>
    <x v="1"/>
    <x v="0"/>
    <n v="3617.08"/>
    <x v="857"/>
    <n v="4794.7299999999996"/>
    <n v="0.56999999999999995"/>
    <x v="2"/>
    <n v="8"/>
    <x v="10"/>
  </r>
  <r>
    <d v="2005-04-21T00:00:00"/>
    <x v="0"/>
    <x v="0"/>
    <x v="0"/>
    <x v="3"/>
    <n v="731.82"/>
    <x v="858"/>
    <n v="1246.07"/>
    <n v="0.63"/>
    <x v="0"/>
    <n v="4"/>
    <x v="8"/>
  </r>
  <r>
    <d v="2006-01-18T00:00:00"/>
    <x v="4"/>
    <x v="1"/>
    <x v="1"/>
    <x v="1"/>
    <n v="3651.71"/>
    <x v="859"/>
    <n v="4840.6400000000003"/>
    <n v="0.56999999999999995"/>
    <x v="1"/>
    <n v="1"/>
    <x v="2"/>
  </r>
  <r>
    <d v="2005-01-20T00:00:00"/>
    <x v="4"/>
    <x v="2"/>
    <x v="2"/>
    <x v="1"/>
    <n v="5085.3100000000004"/>
    <x v="860"/>
    <n v="1695.1"/>
    <n v="0.25"/>
    <x v="0"/>
    <n v="1"/>
    <x v="2"/>
  </r>
  <r>
    <d v="2006-04-07T00:00:00"/>
    <x v="1"/>
    <x v="3"/>
    <x v="3"/>
    <x v="3"/>
    <n v="913.3"/>
    <x v="861"/>
    <n v="661.36"/>
    <n v="0.42"/>
    <x v="1"/>
    <n v="4"/>
    <x v="8"/>
  </r>
  <r>
    <d v="2005-12-26T00:00:00"/>
    <x v="5"/>
    <x v="2"/>
    <x v="3"/>
    <x v="1"/>
    <n v="5533.4"/>
    <x v="862"/>
    <n v="384.68"/>
    <n v="6.5000000000000002E-2"/>
    <x v="0"/>
    <n v="12"/>
    <x v="4"/>
  </r>
  <r>
    <d v="2005-03-26T00:00:00"/>
    <x v="5"/>
    <x v="1"/>
    <x v="3"/>
    <x v="3"/>
    <n v="6043.74"/>
    <x v="863"/>
    <n v="2014.58"/>
    <n v="0.25"/>
    <x v="0"/>
    <n v="3"/>
    <x v="3"/>
  </r>
  <r>
    <d v="2005-04-05T00:00:00"/>
    <x v="5"/>
    <x v="2"/>
    <x v="1"/>
    <x v="0"/>
    <n v="4007.99"/>
    <x v="864"/>
    <n v="546.54"/>
    <n v="0.12"/>
    <x v="0"/>
    <n v="4"/>
    <x v="8"/>
  </r>
  <r>
    <d v="2005-10-22T00:00:00"/>
    <x v="5"/>
    <x v="4"/>
    <x v="2"/>
    <x v="0"/>
    <n v="819.24"/>
    <x v="865"/>
    <n v="385.52"/>
    <n v="0.32"/>
    <x v="0"/>
    <n v="10"/>
    <x v="0"/>
  </r>
  <r>
    <d v="2006-06-13T00:00:00"/>
    <x v="2"/>
    <x v="0"/>
    <x v="1"/>
    <x v="3"/>
    <n v="2187.71"/>
    <x v="866"/>
    <n v="1584.21"/>
    <n v="0.42"/>
    <x v="1"/>
    <n v="6"/>
    <x v="5"/>
  </r>
  <r>
    <d v="2004-09-30T00:00:00"/>
    <x v="0"/>
    <x v="2"/>
    <x v="2"/>
    <x v="3"/>
    <n v="2844.61"/>
    <x v="867"/>
    <n v="4843.53"/>
    <n v="0.63"/>
    <x v="2"/>
    <n v="9"/>
    <x v="6"/>
  </r>
  <r>
    <d v="2004-09-12T00:00:00"/>
    <x v="0"/>
    <x v="0"/>
    <x v="1"/>
    <x v="2"/>
    <n v="3673.27"/>
    <x v="868"/>
    <n v="500.9"/>
    <n v="0.12"/>
    <x v="2"/>
    <n v="9"/>
    <x v="6"/>
  </r>
  <r>
    <d v="2006-04-16T00:00:00"/>
    <x v="2"/>
    <x v="3"/>
    <x v="2"/>
    <x v="1"/>
    <n v="2521.9499999999998"/>
    <x v="869"/>
    <n v="3343.06"/>
    <n v="0.56999999999999995"/>
    <x v="1"/>
    <n v="4"/>
    <x v="8"/>
  </r>
  <r>
    <d v="2004-07-08T00:00:00"/>
    <x v="4"/>
    <x v="4"/>
    <x v="0"/>
    <x v="1"/>
    <n v="3708.54"/>
    <x v="870"/>
    <n v="1236.18"/>
    <n v="0.25"/>
    <x v="2"/>
    <n v="7"/>
    <x v="9"/>
  </r>
  <r>
    <d v="2005-04-07T00:00:00"/>
    <x v="1"/>
    <x v="4"/>
    <x v="3"/>
    <x v="0"/>
    <n v="5761.58"/>
    <x v="871"/>
    <n v="400.54"/>
    <n v="6.5000000000000002E-2"/>
    <x v="0"/>
    <n v="4"/>
    <x v="8"/>
  </r>
  <r>
    <d v="2005-11-15T00:00:00"/>
    <x v="5"/>
    <x v="1"/>
    <x v="1"/>
    <x v="2"/>
    <n v="4854.34"/>
    <x v="872"/>
    <n v="2284.39"/>
    <n v="0.32"/>
    <x v="0"/>
    <n v="11"/>
    <x v="11"/>
  </r>
  <r>
    <d v="2005-09-14T00:00:00"/>
    <x v="3"/>
    <x v="0"/>
    <x v="0"/>
    <x v="0"/>
    <n v="4949.87"/>
    <x v="873"/>
    <n v="1649.96"/>
    <n v="0.25"/>
    <x v="0"/>
    <n v="9"/>
    <x v="6"/>
  </r>
  <r>
    <d v="2005-01-26T00:00:00"/>
    <x v="4"/>
    <x v="0"/>
    <x v="3"/>
    <x v="3"/>
    <n v="916.59"/>
    <x v="874"/>
    <n v="305.52999999999997"/>
    <n v="0.25"/>
    <x v="0"/>
    <n v="1"/>
    <x v="2"/>
  </r>
  <r>
    <d v="2006-05-26T00:00:00"/>
    <x v="0"/>
    <x v="3"/>
    <x v="2"/>
    <x v="0"/>
    <n v="3631.51"/>
    <x v="875"/>
    <n v="2523.6"/>
    <n v="0.41"/>
    <x v="1"/>
    <n v="5"/>
    <x v="7"/>
  </r>
  <r>
    <d v="2005-11-03T00:00:00"/>
    <x v="5"/>
    <x v="3"/>
    <x v="2"/>
    <x v="2"/>
    <n v="1380.91"/>
    <x v="876"/>
    <n v="2351.27"/>
    <n v="0.63"/>
    <x v="0"/>
    <n v="11"/>
    <x v="11"/>
  </r>
  <r>
    <d v="2005-07-25T00:00:00"/>
    <x v="2"/>
    <x v="0"/>
    <x v="2"/>
    <x v="0"/>
    <n v="1394.72"/>
    <x v="877"/>
    <n v="1848.82"/>
    <n v="0.56999999999999995"/>
    <x v="0"/>
    <n v="7"/>
    <x v="9"/>
  </r>
  <r>
    <d v="2006-01-20T00:00:00"/>
    <x v="1"/>
    <x v="3"/>
    <x v="3"/>
    <x v="1"/>
    <n v="2790.65"/>
    <x v="878"/>
    <n v="2020.82"/>
    <n v="0.42"/>
    <x v="1"/>
    <n v="1"/>
    <x v="2"/>
  </r>
  <r>
    <d v="2005-09-23T00:00:00"/>
    <x v="4"/>
    <x v="2"/>
    <x v="3"/>
    <x v="2"/>
    <n v="2421.2399999999998"/>
    <x v="879"/>
    <n v="1139.4100000000001"/>
    <n v="0.32"/>
    <x v="0"/>
    <n v="9"/>
    <x v="6"/>
  </r>
  <r>
    <d v="2005-12-22T00:00:00"/>
    <x v="3"/>
    <x v="4"/>
    <x v="1"/>
    <x v="0"/>
    <n v="2974.3"/>
    <x v="880"/>
    <n v="206.77"/>
    <n v="6.5000000000000002E-2"/>
    <x v="0"/>
    <n v="12"/>
    <x v="4"/>
  </r>
  <r>
    <d v="2004-11-21T00:00:00"/>
    <x v="2"/>
    <x v="0"/>
    <x v="3"/>
    <x v="0"/>
    <n v="3386.79"/>
    <x v="881"/>
    <n v="2771.01"/>
    <n v="0.45"/>
    <x v="2"/>
    <n v="11"/>
    <x v="11"/>
  </r>
  <r>
    <d v="2005-11-09T00:00:00"/>
    <x v="0"/>
    <x v="2"/>
    <x v="0"/>
    <x v="0"/>
    <n v="2245.15"/>
    <x v="882"/>
    <n v="1056.54"/>
    <n v="0.32"/>
    <x v="0"/>
    <n v="11"/>
    <x v="11"/>
  </r>
  <r>
    <d v="2005-05-04T00:00:00"/>
    <x v="4"/>
    <x v="3"/>
    <x v="1"/>
    <x v="3"/>
    <n v="1018.35"/>
    <x v="883"/>
    <n v="833.19"/>
    <n v="0.45"/>
    <x v="0"/>
    <n v="5"/>
    <x v="7"/>
  </r>
  <r>
    <d v="2006-02-08T00:00:00"/>
    <x v="2"/>
    <x v="4"/>
    <x v="0"/>
    <x v="2"/>
    <n v="2764.69"/>
    <x v="884"/>
    <n v="4707.45"/>
    <n v="0.63"/>
    <x v="1"/>
    <n v="2"/>
    <x v="1"/>
  </r>
  <r>
    <d v="2004-08-23T00:00:00"/>
    <x v="4"/>
    <x v="2"/>
    <x v="3"/>
    <x v="1"/>
    <n v="8622.15"/>
    <x v="885"/>
    <n v="599.4"/>
    <n v="6.5000000000000002E-2"/>
    <x v="2"/>
    <n v="8"/>
    <x v="10"/>
  </r>
  <r>
    <d v="2004-07-23T00:00:00"/>
    <x v="0"/>
    <x v="4"/>
    <x v="3"/>
    <x v="3"/>
    <n v="1152.17"/>
    <x v="886"/>
    <n v="1961.8"/>
    <n v="0.63"/>
    <x v="2"/>
    <n v="7"/>
    <x v="9"/>
  </r>
  <r>
    <d v="2004-07-08T00:00:00"/>
    <x v="1"/>
    <x v="0"/>
    <x v="1"/>
    <x v="3"/>
    <n v="1829.65"/>
    <x v="887"/>
    <n v="249.5"/>
    <n v="0.12"/>
    <x v="2"/>
    <n v="7"/>
    <x v="9"/>
  </r>
  <r>
    <d v="2006-05-19T00:00:00"/>
    <x v="1"/>
    <x v="1"/>
    <x v="1"/>
    <x v="2"/>
    <n v="1854.61"/>
    <x v="888"/>
    <n v="2458.4299999999998"/>
    <n v="0.56999999999999995"/>
    <x v="1"/>
    <n v="5"/>
    <x v="7"/>
  </r>
  <r>
    <d v="2006-01-28T00:00:00"/>
    <x v="2"/>
    <x v="0"/>
    <x v="3"/>
    <x v="1"/>
    <n v="6513.69"/>
    <x v="889"/>
    <n v="2171.23"/>
    <n v="0.25"/>
    <x v="1"/>
    <n v="1"/>
    <x v="2"/>
  </r>
  <r>
    <d v="2006-02-04T00:00:00"/>
    <x v="5"/>
    <x v="0"/>
    <x v="2"/>
    <x v="1"/>
    <n v="4114.41"/>
    <x v="890"/>
    <n v="5453.98"/>
    <n v="0.56999999999999995"/>
    <x v="1"/>
    <n v="2"/>
    <x v="1"/>
  </r>
  <r>
    <d v="2006-06-07T00:00:00"/>
    <x v="4"/>
    <x v="2"/>
    <x v="2"/>
    <x v="0"/>
    <n v="5395.13"/>
    <x v="891"/>
    <n v="4414.1899999999996"/>
    <n v="0.45"/>
    <x v="1"/>
    <n v="6"/>
    <x v="5"/>
  </r>
  <r>
    <d v="2005-11-06T00:00:00"/>
    <x v="5"/>
    <x v="0"/>
    <x v="1"/>
    <x v="3"/>
    <n v="2922.29"/>
    <x v="892"/>
    <n v="4975.78"/>
    <n v="0.63"/>
    <x v="0"/>
    <n v="11"/>
    <x v="11"/>
  </r>
  <r>
    <d v="2004-12-14T00:00:00"/>
    <x v="3"/>
    <x v="4"/>
    <x v="0"/>
    <x v="3"/>
    <n v="699.7"/>
    <x v="893"/>
    <n v="506.68"/>
    <n v="0.42"/>
    <x v="2"/>
    <n v="12"/>
    <x v="4"/>
  </r>
  <r>
    <d v="2006-05-28T00:00:00"/>
    <x v="3"/>
    <x v="4"/>
    <x v="2"/>
    <x v="2"/>
    <n v="5262.21"/>
    <x v="894"/>
    <n v="4305.4399999999996"/>
    <n v="0.45"/>
    <x v="1"/>
    <n v="5"/>
    <x v="7"/>
  </r>
  <r>
    <d v="2005-08-06T00:00:00"/>
    <x v="0"/>
    <x v="3"/>
    <x v="1"/>
    <x v="0"/>
    <n v="607.65"/>
    <x v="895"/>
    <n v="440.02"/>
    <n v="0.42"/>
    <x v="0"/>
    <n v="8"/>
    <x v="10"/>
  </r>
  <r>
    <d v="2004-07-17T00:00:00"/>
    <x v="5"/>
    <x v="4"/>
    <x v="0"/>
    <x v="3"/>
    <n v="782.73"/>
    <x v="896"/>
    <n v="640.41999999999996"/>
    <n v="0.45"/>
    <x v="2"/>
    <n v="7"/>
    <x v="9"/>
  </r>
  <r>
    <d v="2006-04-04T00:00:00"/>
    <x v="5"/>
    <x v="1"/>
    <x v="2"/>
    <x v="0"/>
    <n v="1070.95"/>
    <x v="897"/>
    <n v="744.22"/>
    <n v="0.41"/>
    <x v="1"/>
    <n v="4"/>
    <x v="8"/>
  </r>
  <r>
    <d v="2005-10-17T00:00:00"/>
    <x v="1"/>
    <x v="2"/>
    <x v="1"/>
    <x v="1"/>
    <n v="2487.83"/>
    <x v="898"/>
    <n v="172.95"/>
    <n v="6.5000000000000002E-2"/>
    <x v="0"/>
    <n v="10"/>
    <x v="0"/>
  </r>
  <r>
    <d v="2004-08-30T00:00:00"/>
    <x v="0"/>
    <x v="3"/>
    <x v="1"/>
    <x v="0"/>
    <n v="4482.8"/>
    <x v="899"/>
    <n v="2109.5500000000002"/>
    <n v="0.32"/>
    <x v="2"/>
    <n v="8"/>
    <x v="10"/>
  </r>
  <r>
    <d v="2005-12-13T00:00:00"/>
    <x v="0"/>
    <x v="0"/>
    <x v="1"/>
    <x v="2"/>
    <n v="1191.24"/>
    <x v="900"/>
    <n v="862.63"/>
    <n v="0.42"/>
    <x v="0"/>
    <n v="12"/>
    <x v="4"/>
  </r>
  <r>
    <d v="2005-01-06T00:00:00"/>
    <x v="3"/>
    <x v="0"/>
    <x v="1"/>
    <x v="3"/>
    <n v="2795.46"/>
    <x v="901"/>
    <n v="1942.61"/>
    <n v="0.41"/>
    <x v="0"/>
    <n v="1"/>
    <x v="2"/>
  </r>
  <r>
    <d v="2004-07-08T00:00:00"/>
    <x v="4"/>
    <x v="3"/>
    <x v="3"/>
    <x v="1"/>
    <n v="2226.67"/>
    <x v="902"/>
    <n v="154.79"/>
    <n v="6.5000000000000002E-2"/>
    <x v="2"/>
    <n v="7"/>
    <x v="9"/>
  </r>
  <r>
    <d v="2004-12-04T00:00:00"/>
    <x v="4"/>
    <x v="3"/>
    <x v="1"/>
    <x v="2"/>
    <n v="3906.99"/>
    <x v="903"/>
    <n v="4775.2"/>
    <n v="0.55000000000000004"/>
    <x v="2"/>
    <n v="12"/>
    <x v="4"/>
  </r>
  <r>
    <d v="2006-06-07T00:00:00"/>
    <x v="5"/>
    <x v="0"/>
    <x v="2"/>
    <x v="3"/>
    <n v="3084.57"/>
    <x v="904"/>
    <n v="2143.52"/>
    <n v="0.41"/>
    <x v="1"/>
    <n v="6"/>
    <x v="5"/>
  </r>
  <r>
    <d v="2005-09-16T00:00:00"/>
    <x v="4"/>
    <x v="3"/>
    <x v="3"/>
    <x v="2"/>
    <n v="1805.73"/>
    <x v="905"/>
    <n v="3074.62"/>
    <n v="0.63"/>
    <x v="0"/>
    <n v="9"/>
    <x v="6"/>
  </r>
  <r>
    <d v="2004-10-29T00:00:00"/>
    <x v="1"/>
    <x v="3"/>
    <x v="1"/>
    <x v="0"/>
    <n v="3180.62"/>
    <x v="906"/>
    <n v="2303.21"/>
    <n v="0.42"/>
    <x v="2"/>
    <n v="10"/>
    <x v="0"/>
  </r>
  <r>
    <d v="2006-05-22T00:00:00"/>
    <x v="3"/>
    <x v="2"/>
    <x v="1"/>
    <x v="0"/>
    <n v="4441.38"/>
    <x v="907"/>
    <n v="2090.06"/>
    <n v="0.32"/>
    <x v="1"/>
    <n v="5"/>
    <x v="7"/>
  </r>
  <r>
    <d v="2004-10-07T00:00:00"/>
    <x v="1"/>
    <x v="3"/>
    <x v="3"/>
    <x v="2"/>
    <n v="4574.79"/>
    <x v="908"/>
    <n v="2152.84"/>
    <n v="0.32"/>
    <x v="2"/>
    <n v="10"/>
    <x v="0"/>
  </r>
  <r>
    <d v="2004-12-14T00:00:00"/>
    <x v="5"/>
    <x v="3"/>
    <x v="2"/>
    <x v="3"/>
    <n v="2046.63"/>
    <x v="909"/>
    <n v="2501.44"/>
    <n v="0.55000000000000004"/>
    <x v="2"/>
    <n v="12"/>
    <x v="4"/>
  </r>
  <r>
    <d v="2005-09-18T00:00:00"/>
    <x v="5"/>
    <x v="4"/>
    <x v="1"/>
    <x v="0"/>
    <n v="5347.43"/>
    <x v="910"/>
    <n v="4375.17"/>
    <n v="0.45"/>
    <x v="0"/>
    <n v="9"/>
    <x v="6"/>
  </r>
  <r>
    <d v="2005-04-27T00:00:00"/>
    <x v="1"/>
    <x v="4"/>
    <x v="3"/>
    <x v="3"/>
    <n v="2387.4499999999998"/>
    <x v="911"/>
    <n v="165.97"/>
    <n v="6.5000000000000002E-2"/>
    <x v="0"/>
    <n v="4"/>
    <x v="8"/>
  </r>
  <r>
    <d v="2006-03-22T00:00:00"/>
    <x v="1"/>
    <x v="1"/>
    <x v="1"/>
    <x v="1"/>
    <n v="899.54"/>
    <x v="912"/>
    <n v="625.1"/>
    <n v="0.41"/>
    <x v="1"/>
    <n v="3"/>
    <x v="3"/>
  </r>
  <r>
    <d v="2005-04-14T00:00:00"/>
    <x v="2"/>
    <x v="0"/>
    <x v="3"/>
    <x v="2"/>
    <n v="447.35"/>
    <x v="913"/>
    <n v="761.7"/>
    <n v="0.63"/>
    <x v="0"/>
    <n v="4"/>
    <x v="8"/>
  </r>
  <r>
    <d v="2004-11-06T00:00:00"/>
    <x v="2"/>
    <x v="3"/>
    <x v="3"/>
    <x v="2"/>
    <n v="563.55999999999995"/>
    <x v="914"/>
    <n v="461.1"/>
    <n v="0.45"/>
    <x v="2"/>
    <n v="11"/>
    <x v="11"/>
  </r>
  <r>
    <d v="2005-01-27T00:00:00"/>
    <x v="1"/>
    <x v="1"/>
    <x v="0"/>
    <x v="1"/>
    <n v="4695.75"/>
    <x v="915"/>
    <n v="2209.7600000000002"/>
    <n v="0.32"/>
    <x v="0"/>
    <n v="1"/>
    <x v="2"/>
  </r>
  <r>
    <d v="2005-04-14T00:00:00"/>
    <x v="4"/>
    <x v="0"/>
    <x v="0"/>
    <x v="3"/>
    <n v="7994.14"/>
    <x v="916"/>
    <n v="555.74"/>
    <n v="6.5000000000000002E-2"/>
    <x v="0"/>
    <n v="4"/>
    <x v="8"/>
  </r>
  <r>
    <d v="2006-03-23T00:00:00"/>
    <x v="4"/>
    <x v="0"/>
    <x v="3"/>
    <x v="2"/>
    <n v="1283.26"/>
    <x v="917"/>
    <n v="2185.02"/>
    <n v="0.63"/>
    <x v="1"/>
    <n v="3"/>
    <x v="3"/>
  </r>
  <r>
    <d v="2005-09-15T00:00:00"/>
    <x v="4"/>
    <x v="2"/>
    <x v="2"/>
    <x v="3"/>
    <n v="3251.36"/>
    <x v="918"/>
    <n v="1083.79"/>
    <n v="0.25"/>
    <x v="0"/>
    <n v="9"/>
    <x v="6"/>
  </r>
  <r>
    <d v="2004-12-11T00:00:00"/>
    <x v="2"/>
    <x v="2"/>
    <x v="0"/>
    <x v="3"/>
    <n v="6585.66"/>
    <x v="919"/>
    <n v="2195.2199999999998"/>
    <n v="0.25"/>
    <x v="2"/>
    <n v="12"/>
    <x v="4"/>
  </r>
  <r>
    <d v="2005-07-25T00:00:00"/>
    <x v="2"/>
    <x v="2"/>
    <x v="0"/>
    <x v="2"/>
    <n v="6673.35"/>
    <x v="920"/>
    <n v="910"/>
    <n v="0.12"/>
    <x v="0"/>
    <n v="7"/>
    <x v="9"/>
  </r>
  <r>
    <d v="2006-03-21T00:00:00"/>
    <x v="4"/>
    <x v="4"/>
    <x v="1"/>
    <x v="1"/>
    <n v="4071.14"/>
    <x v="921"/>
    <n v="2948.06"/>
    <n v="0.42"/>
    <x v="1"/>
    <n v="3"/>
    <x v="3"/>
  </r>
  <r>
    <d v="2005-12-13T00:00:00"/>
    <x v="4"/>
    <x v="2"/>
    <x v="3"/>
    <x v="1"/>
    <n v="3799.84"/>
    <x v="922"/>
    <n v="5036.99"/>
    <n v="0.56999999999999995"/>
    <x v="0"/>
    <n v="12"/>
    <x v="4"/>
  </r>
  <r>
    <d v="2005-07-25T00:00:00"/>
    <x v="4"/>
    <x v="1"/>
    <x v="1"/>
    <x v="1"/>
    <n v="3287.61"/>
    <x v="923"/>
    <n v="2689.87"/>
    <n v="0.45"/>
    <x v="0"/>
    <n v="7"/>
    <x v="9"/>
  </r>
  <r>
    <d v="2004-08-01T00:00:00"/>
    <x v="2"/>
    <x v="2"/>
    <x v="1"/>
    <x v="0"/>
    <n v="2222.2600000000002"/>
    <x v="924"/>
    <n v="303.02999999999997"/>
    <n v="0.12"/>
    <x v="2"/>
    <n v="8"/>
    <x v="10"/>
  </r>
  <r>
    <d v="2005-01-16T00:00:00"/>
    <x v="4"/>
    <x v="0"/>
    <x v="0"/>
    <x v="3"/>
    <n v="516.01"/>
    <x v="925"/>
    <n v="358.59"/>
    <n v="0.41"/>
    <x v="0"/>
    <n v="1"/>
    <x v="2"/>
  </r>
  <r>
    <d v="2006-03-29T00:00:00"/>
    <x v="2"/>
    <x v="1"/>
    <x v="3"/>
    <x v="0"/>
    <n v="1746.54"/>
    <x v="926"/>
    <n v="1264.74"/>
    <n v="0.42"/>
    <x v="1"/>
    <n v="3"/>
    <x v="3"/>
  </r>
  <r>
    <d v="2006-04-05T00:00:00"/>
    <x v="2"/>
    <x v="3"/>
    <x v="3"/>
    <x v="3"/>
    <n v="3135.61"/>
    <x v="927"/>
    <n v="5339.01"/>
    <n v="0.63"/>
    <x v="1"/>
    <n v="4"/>
    <x v="8"/>
  </r>
  <r>
    <d v="2004-07-30T00:00:00"/>
    <x v="4"/>
    <x v="4"/>
    <x v="3"/>
    <x v="3"/>
    <n v="6831.51"/>
    <x v="928"/>
    <n v="474.92"/>
    <n v="6.5000000000000002E-2"/>
    <x v="2"/>
    <n v="7"/>
    <x v="9"/>
  </r>
  <r>
    <d v="2005-04-25T00:00:00"/>
    <x v="5"/>
    <x v="3"/>
    <x v="2"/>
    <x v="3"/>
    <n v="8208.34"/>
    <x v="929"/>
    <n v="1119.32"/>
    <n v="0.12"/>
    <x v="0"/>
    <n v="4"/>
    <x v="8"/>
  </r>
  <r>
    <d v="2004-11-21T00:00:00"/>
    <x v="3"/>
    <x v="0"/>
    <x v="3"/>
    <x v="3"/>
    <n v="5029.8999999999996"/>
    <x v="930"/>
    <n v="3495.35"/>
    <n v="0.41"/>
    <x v="2"/>
    <n v="11"/>
    <x v="11"/>
  </r>
  <r>
    <d v="2006-05-13T00:00:00"/>
    <x v="1"/>
    <x v="0"/>
    <x v="0"/>
    <x v="2"/>
    <n v="2666.14"/>
    <x v="931"/>
    <n v="4539.6400000000003"/>
    <n v="0.63"/>
    <x v="1"/>
    <n v="5"/>
    <x v="7"/>
  </r>
  <r>
    <d v="2005-01-30T00:00:00"/>
    <x v="1"/>
    <x v="4"/>
    <x v="2"/>
    <x v="1"/>
    <n v="5989.48"/>
    <x v="932"/>
    <n v="816.75"/>
    <n v="0.12"/>
    <x v="0"/>
    <n v="1"/>
    <x v="2"/>
  </r>
  <r>
    <d v="2004-07-16T00:00:00"/>
    <x v="0"/>
    <x v="1"/>
    <x v="1"/>
    <x v="3"/>
    <n v="5269.95"/>
    <x v="933"/>
    <n v="4311.7700000000004"/>
    <n v="0.45"/>
    <x v="2"/>
    <n v="7"/>
    <x v="9"/>
  </r>
  <r>
    <d v="2006-01-01T00:00:00"/>
    <x v="3"/>
    <x v="0"/>
    <x v="0"/>
    <x v="3"/>
    <n v="727.48"/>
    <x v="934"/>
    <n v="964.34"/>
    <n v="0.56999999999999995"/>
    <x v="1"/>
    <n v="1"/>
    <x v="2"/>
  </r>
  <r>
    <d v="2005-01-31T00:00:00"/>
    <x v="5"/>
    <x v="2"/>
    <x v="3"/>
    <x v="1"/>
    <n v="3331.05"/>
    <x v="935"/>
    <n v="1567.55"/>
    <n v="0.32"/>
    <x v="0"/>
    <n v="1"/>
    <x v="2"/>
  </r>
  <r>
    <d v="2004-10-09T00:00:00"/>
    <x v="5"/>
    <x v="4"/>
    <x v="1"/>
    <x v="2"/>
    <n v="5723.32"/>
    <x v="936"/>
    <n v="2693.33"/>
    <n v="0.32"/>
    <x v="2"/>
    <n v="10"/>
    <x v="0"/>
  </r>
  <r>
    <d v="2006-06-03T00:00:00"/>
    <x v="2"/>
    <x v="1"/>
    <x v="2"/>
    <x v="3"/>
    <n v="3317.46"/>
    <x v="937"/>
    <n v="5648.65"/>
    <n v="0.63"/>
    <x v="1"/>
    <n v="6"/>
    <x v="5"/>
  </r>
  <r>
    <d v="2004-11-10T00:00:00"/>
    <x v="1"/>
    <x v="2"/>
    <x v="1"/>
    <x v="1"/>
    <n v="4171.4399999999996"/>
    <x v="938"/>
    <n v="1963.03"/>
    <n v="0.32"/>
    <x v="2"/>
    <n v="11"/>
    <x v="11"/>
  </r>
  <r>
    <d v="2005-03-06T00:00:00"/>
    <x v="2"/>
    <x v="4"/>
    <x v="2"/>
    <x v="1"/>
    <n v="3154.71"/>
    <x v="939"/>
    <n v="2192.25"/>
    <n v="0.41"/>
    <x v="0"/>
    <n v="3"/>
    <x v="3"/>
  </r>
  <r>
    <d v="2005-02-03T00:00:00"/>
    <x v="2"/>
    <x v="3"/>
    <x v="1"/>
    <x v="0"/>
    <n v="5162.8500000000004"/>
    <x v="940"/>
    <n v="358.91"/>
    <n v="6.5000000000000002E-2"/>
    <x v="0"/>
    <n v="2"/>
    <x v="1"/>
  </r>
  <r>
    <d v="2005-10-21T00:00:00"/>
    <x v="5"/>
    <x v="3"/>
    <x v="2"/>
    <x v="1"/>
    <n v="1139.56"/>
    <x v="941"/>
    <n v="155.4"/>
    <n v="0.12"/>
    <x v="0"/>
    <n v="10"/>
    <x v="0"/>
  </r>
  <r>
    <d v="2004-09-02T00:00:00"/>
    <x v="4"/>
    <x v="2"/>
    <x v="3"/>
    <x v="1"/>
    <n v="1514.09"/>
    <x v="942"/>
    <n v="2578.04"/>
    <n v="0.63"/>
    <x v="2"/>
    <n v="9"/>
    <x v="6"/>
  </r>
  <r>
    <d v="2004-12-25T00:00:00"/>
    <x v="0"/>
    <x v="0"/>
    <x v="0"/>
    <x v="1"/>
    <n v="3344"/>
    <x v="943"/>
    <n v="4087.1"/>
    <n v="0.55000000000000004"/>
    <x v="2"/>
    <n v="12"/>
    <x v="4"/>
  </r>
  <r>
    <d v="2005-09-06T00:00:00"/>
    <x v="4"/>
    <x v="2"/>
    <x v="1"/>
    <x v="2"/>
    <n v="3853.06"/>
    <x v="944"/>
    <n v="267.86"/>
    <n v="6.5000000000000002E-2"/>
    <x v="0"/>
    <n v="9"/>
    <x v="6"/>
  </r>
  <r>
    <d v="2004-11-29T00:00:00"/>
    <x v="2"/>
    <x v="3"/>
    <x v="1"/>
    <x v="0"/>
    <n v="4756.4399999999996"/>
    <x v="945"/>
    <n v="2238.33"/>
    <n v="0.32"/>
    <x v="2"/>
    <n v="11"/>
    <x v="11"/>
  </r>
  <r>
    <d v="2004-09-07T00:00:00"/>
    <x v="5"/>
    <x v="4"/>
    <x v="2"/>
    <x v="1"/>
    <n v="5047.3500000000004"/>
    <x v="946"/>
    <n v="350.88"/>
    <n v="6.5000000000000002E-2"/>
    <x v="2"/>
    <n v="9"/>
    <x v="6"/>
  </r>
  <r>
    <d v="2006-03-12T00:00:00"/>
    <x v="0"/>
    <x v="0"/>
    <x v="2"/>
    <x v="1"/>
    <n v="4265.7"/>
    <x v="947"/>
    <n v="581.69000000000005"/>
    <n v="0.12"/>
    <x v="1"/>
    <n v="3"/>
    <x v="3"/>
  </r>
  <r>
    <d v="2004-07-29T00:00:00"/>
    <x v="0"/>
    <x v="3"/>
    <x v="1"/>
    <x v="2"/>
    <n v="3961.17"/>
    <x v="948"/>
    <n v="2752.67"/>
    <n v="0.41"/>
    <x v="2"/>
    <n v="7"/>
    <x v="9"/>
  </r>
  <r>
    <d v="2006-03-02T00:00:00"/>
    <x v="5"/>
    <x v="3"/>
    <x v="1"/>
    <x v="2"/>
    <n v="2779.36"/>
    <x v="949"/>
    <n v="193.22"/>
    <n v="6.5000000000000002E-2"/>
    <x v="1"/>
    <n v="3"/>
    <x v="3"/>
  </r>
  <r>
    <d v="2005-12-29T00:00:00"/>
    <x v="0"/>
    <x v="3"/>
    <x v="0"/>
    <x v="3"/>
    <n v="5622.97"/>
    <x v="950"/>
    <n v="3907.49"/>
    <n v="0.41"/>
    <x v="0"/>
    <n v="12"/>
    <x v="4"/>
  </r>
  <r>
    <d v="2005-01-11T00:00:00"/>
    <x v="4"/>
    <x v="1"/>
    <x v="0"/>
    <x v="1"/>
    <n v="5217.1899999999996"/>
    <x v="951"/>
    <n v="711.43"/>
    <n v="0.12"/>
    <x v="0"/>
    <n v="1"/>
    <x v="2"/>
  </r>
  <r>
    <d v="2006-05-29T00:00:00"/>
    <x v="0"/>
    <x v="3"/>
    <x v="0"/>
    <x v="2"/>
    <n v="4263.18"/>
    <x v="952"/>
    <n v="2006.2"/>
    <n v="0.32"/>
    <x v="1"/>
    <n v="5"/>
    <x v="7"/>
  </r>
  <r>
    <d v="2006-03-20T00:00:00"/>
    <x v="0"/>
    <x v="1"/>
    <x v="2"/>
    <x v="3"/>
    <n v="3175.61"/>
    <x v="953"/>
    <n v="1494.41"/>
    <n v="0.32"/>
    <x v="1"/>
    <n v="3"/>
    <x v="3"/>
  </r>
  <r>
    <d v="2005-12-27T00:00:00"/>
    <x v="3"/>
    <x v="3"/>
    <x v="3"/>
    <x v="0"/>
    <n v="1390.59"/>
    <x v="954"/>
    <n v="96.67"/>
    <n v="6.5000000000000002E-2"/>
    <x v="0"/>
    <n v="12"/>
    <x v="4"/>
  </r>
  <r>
    <d v="2006-03-05T00:00:00"/>
    <x v="5"/>
    <x v="4"/>
    <x v="3"/>
    <x v="2"/>
    <n v="4802.71"/>
    <x v="955"/>
    <n v="3477.83"/>
    <n v="0.42"/>
    <x v="1"/>
    <n v="3"/>
    <x v="3"/>
  </r>
  <r>
    <d v="2004-12-05T00:00:00"/>
    <x v="4"/>
    <x v="3"/>
    <x v="0"/>
    <x v="2"/>
    <n v="505.12"/>
    <x v="956"/>
    <n v="168.38"/>
    <n v="0.25"/>
    <x v="2"/>
    <n v="12"/>
    <x v="4"/>
  </r>
  <r>
    <d v="2005-12-03T00:00:00"/>
    <x v="4"/>
    <x v="0"/>
    <x v="3"/>
    <x v="2"/>
    <n v="2650.34"/>
    <x v="957"/>
    <n v="3513.24"/>
    <n v="0.56999999999999995"/>
    <x v="0"/>
    <n v="12"/>
    <x v="4"/>
  </r>
  <r>
    <d v="2005-11-25T00:00:00"/>
    <x v="0"/>
    <x v="1"/>
    <x v="3"/>
    <x v="1"/>
    <n v="3202.85"/>
    <x v="958"/>
    <n v="2319.31"/>
    <n v="0.42"/>
    <x v="0"/>
    <n v="11"/>
    <x v="11"/>
  </r>
  <r>
    <d v="2005-05-27T00:00:00"/>
    <x v="2"/>
    <x v="1"/>
    <x v="0"/>
    <x v="2"/>
    <n v="2116.4"/>
    <x v="959"/>
    <n v="2805.46"/>
    <n v="0.56999999999999995"/>
    <x v="0"/>
    <n v="5"/>
    <x v="7"/>
  </r>
  <r>
    <d v="2005-11-13T00:00:00"/>
    <x v="1"/>
    <x v="1"/>
    <x v="3"/>
    <x v="0"/>
    <n v="3653.64"/>
    <x v="960"/>
    <n v="6221.05"/>
    <n v="0.63"/>
    <x v="0"/>
    <n v="11"/>
    <x v="11"/>
  </r>
  <r>
    <d v="2006-04-21T00:00:00"/>
    <x v="2"/>
    <x v="0"/>
    <x v="3"/>
    <x v="3"/>
    <n v="3627.81"/>
    <x v="961"/>
    <n v="4433.99"/>
    <n v="0.55000000000000004"/>
    <x v="1"/>
    <n v="4"/>
    <x v="8"/>
  </r>
  <r>
    <d v="2005-03-14T00:00:00"/>
    <x v="3"/>
    <x v="0"/>
    <x v="1"/>
    <x v="3"/>
    <n v="5525.39"/>
    <x v="962"/>
    <n v="4001.14"/>
    <n v="0.42"/>
    <x v="0"/>
    <n v="3"/>
    <x v="3"/>
  </r>
  <r>
    <d v="2005-08-23T00:00:00"/>
    <x v="0"/>
    <x v="3"/>
    <x v="2"/>
    <x v="0"/>
    <n v="2798.04"/>
    <x v="963"/>
    <n v="2026.16"/>
    <n v="0.42"/>
    <x v="0"/>
    <n v="8"/>
    <x v="10"/>
  </r>
  <r>
    <d v="2004-09-07T00:00:00"/>
    <x v="1"/>
    <x v="1"/>
    <x v="2"/>
    <x v="0"/>
    <n v="1864.67"/>
    <x v="964"/>
    <n v="877.49"/>
    <n v="0.32"/>
    <x v="2"/>
    <n v="9"/>
    <x v="6"/>
  </r>
  <r>
    <d v="2004-08-04T00:00:00"/>
    <x v="3"/>
    <x v="1"/>
    <x v="0"/>
    <x v="0"/>
    <n v="839.19"/>
    <x v="965"/>
    <n v="1025.67"/>
    <n v="0.55000000000000004"/>
    <x v="2"/>
    <n v="8"/>
    <x v="10"/>
  </r>
  <r>
    <d v="2005-10-29T00:00:00"/>
    <x v="1"/>
    <x v="0"/>
    <x v="1"/>
    <x v="0"/>
    <n v="1712.97"/>
    <x v="966"/>
    <n v="2270.67"/>
    <n v="0.56999999999999995"/>
    <x v="0"/>
    <n v="10"/>
    <x v="0"/>
  </r>
  <r>
    <d v="2005-03-01T00:00:00"/>
    <x v="2"/>
    <x v="3"/>
    <x v="3"/>
    <x v="0"/>
    <n v="1679.89"/>
    <x v="967"/>
    <n v="2860.36"/>
    <n v="0.63"/>
    <x v="0"/>
    <n v="3"/>
    <x v="3"/>
  </r>
  <r>
    <d v="2004-07-31T00:00:00"/>
    <x v="0"/>
    <x v="2"/>
    <x v="0"/>
    <x v="0"/>
    <n v="962.92"/>
    <x v="968"/>
    <n v="787.85"/>
    <n v="0.45"/>
    <x v="2"/>
    <n v="7"/>
    <x v="9"/>
  </r>
  <r>
    <d v="2005-07-28T00:00:00"/>
    <x v="4"/>
    <x v="4"/>
    <x v="0"/>
    <x v="2"/>
    <n v="3967.77"/>
    <x v="969"/>
    <n v="1322.59"/>
    <n v="0.25"/>
    <x v="0"/>
    <n v="7"/>
    <x v="9"/>
  </r>
  <r>
    <d v="2006-05-22T00:00:00"/>
    <x v="2"/>
    <x v="0"/>
    <x v="1"/>
    <x v="3"/>
    <n v="2827.52"/>
    <x v="970"/>
    <n v="1964.88"/>
    <n v="0.41"/>
    <x v="1"/>
    <n v="5"/>
    <x v="7"/>
  </r>
  <r>
    <d v="2005-11-10T00:00:00"/>
    <x v="2"/>
    <x v="1"/>
    <x v="0"/>
    <x v="3"/>
    <n v="4551.28"/>
    <x v="971"/>
    <n v="3723.78"/>
    <n v="0.45"/>
    <x v="0"/>
    <n v="11"/>
    <x v="11"/>
  </r>
  <r>
    <d v="2004-10-15T00:00:00"/>
    <x v="5"/>
    <x v="2"/>
    <x v="3"/>
    <x v="1"/>
    <n v="2989.34"/>
    <x v="972"/>
    <n v="3653.63"/>
    <n v="0.55000000000000004"/>
    <x v="2"/>
    <n v="10"/>
    <x v="0"/>
  </r>
  <r>
    <d v="2005-03-12T00:00:00"/>
    <x v="3"/>
    <x v="2"/>
    <x v="2"/>
    <x v="3"/>
    <n v="2181.61"/>
    <x v="973"/>
    <n v="3714.62"/>
    <n v="0.63"/>
    <x v="0"/>
    <n v="3"/>
    <x v="3"/>
  </r>
  <r>
    <d v="2004-07-25T00:00:00"/>
    <x v="4"/>
    <x v="3"/>
    <x v="3"/>
    <x v="2"/>
    <n v="2898.57"/>
    <x v="974"/>
    <n v="3842.29"/>
    <n v="0.56999999999999995"/>
    <x v="2"/>
    <n v="7"/>
    <x v="9"/>
  </r>
  <r>
    <d v="2004-07-23T00:00:00"/>
    <x v="2"/>
    <x v="0"/>
    <x v="0"/>
    <x v="3"/>
    <n v="829.33"/>
    <x v="975"/>
    <n v="113.09"/>
    <n v="0.12"/>
    <x v="2"/>
    <n v="7"/>
    <x v="9"/>
  </r>
  <r>
    <d v="2006-01-09T00:00:00"/>
    <x v="0"/>
    <x v="1"/>
    <x v="0"/>
    <x v="1"/>
    <n v="7340.29"/>
    <x v="976"/>
    <n v="510.29"/>
    <n v="6.5000000000000002E-2"/>
    <x v="1"/>
    <n v="1"/>
    <x v="2"/>
  </r>
  <r>
    <d v="2005-06-11T00:00:00"/>
    <x v="2"/>
    <x v="4"/>
    <x v="3"/>
    <x v="2"/>
    <n v="3079"/>
    <x v="977"/>
    <n v="3763.23"/>
    <n v="0.55000000000000004"/>
    <x v="0"/>
    <n v="6"/>
    <x v="5"/>
  </r>
  <r>
    <d v="2004-06-24T00:00:00"/>
    <x v="5"/>
    <x v="0"/>
    <x v="1"/>
    <x v="1"/>
    <n v="2019.56"/>
    <x v="978"/>
    <n v="1403.43"/>
    <n v="0.41"/>
    <x v="2"/>
    <n v="6"/>
    <x v="5"/>
  </r>
  <r>
    <d v="2004-11-24T00:00:00"/>
    <x v="4"/>
    <x v="3"/>
    <x v="1"/>
    <x v="3"/>
    <n v="2308.66"/>
    <x v="979"/>
    <n v="1671.79"/>
    <n v="0.42"/>
    <x v="2"/>
    <n v="11"/>
    <x v="11"/>
  </r>
  <r>
    <d v="2005-08-19T00:00:00"/>
    <x v="5"/>
    <x v="4"/>
    <x v="1"/>
    <x v="2"/>
    <n v="7772.23"/>
    <x v="980"/>
    <n v="540.32000000000005"/>
    <n v="6.5000000000000002E-2"/>
    <x v="0"/>
    <n v="8"/>
    <x v="10"/>
  </r>
  <r>
    <d v="2005-12-17T00:00:00"/>
    <x v="1"/>
    <x v="3"/>
    <x v="0"/>
    <x v="3"/>
    <n v="1496.06"/>
    <x v="981"/>
    <n v="204.01"/>
    <n v="0.12"/>
    <x v="0"/>
    <n v="12"/>
    <x v="4"/>
  </r>
  <r>
    <d v="2005-07-02T00:00:00"/>
    <x v="2"/>
    <x v="4"/>
    <x v="0"/>
    <x v="3"/>
    <n v="2249.06"/>
    <x v="982"/>
    <n v="306.69"/>
    <n v="0.12"/>
    <x v="0"/>
    <n v="7"/>
    <x v="9"/>
  </r>
  <r>
    <d v="2004-10-14T00:00:00"/>
    <x v="0"/>
    <x v="3"/>
    <x v="3"/>
    <x v="0"/>
    <n v="4442.57"/>
    <x v="983"/>
    <n v="605.80999999999995"/>
    <n v="0.12"/>
    <x v="2"/>
    <n v="10"/>
    <x v="0"/>
  </r>
  <r>
    <d v="2006-01-04T00:00:00"/>
    <x v="3"/>
    <x v="1"/>
    <x v="0"/>
    <x v="2"/>
    <n v="3864.64"/>
    <x v="984"/>
    <n v="2798.54"/>
    <n v="0.42"/>
    <x v="1"/>
    <n v="1"/>
    <x v="2"/>
  </r>
  <r>
    <d v="2005-04-15T00:00:00"/>
    <x v="1"/>
    <x v="0"/>
    <x v="3"/>
    <x v="2"/>
    <n v="2393.19"/>
    <x v="985"/>
    <n v="326.33999999999997"/>
    <n v="0.12"/>
    <x v="0"/>
    <n v="4"/>
    <x v="8"/>
  </r>
  <r>
    <d v="2004-07-19T00:00:00"/>
    <x v="2"/>
    <x v="3"/>
    <x v="3"/>
    <x v="0"/>
    <n v="5542.54"/>
    <x v="986"/>
    <n v="4013.57"/>
    <n v="0.42"/>
    <x v="2"/>
    <n v="7"/>
    <x v="9"/>
  </r>
  <r>
    <d v="2005-12-30T00:00:00"/>
    <x v="0"/>
    <x v="0"/>
    <x v="3"/>
    <x v="3"/>
    <n v="5338.44"/>
    <x v="987"/>
    <n v="1779.48"/>
    <n v="0.25"/>
    <x v="0"/>
    <n v="12"/>
    <x v="4"/>
  </r>
  <r>
    <d v="2005-06-06T00:00:00"/>
    <x v="2"/>
    <x v="0"/>
    <x v="3"/>
    <x v="3"/>
    <n v="1802.87"/>
    <x v="988"/>
    <n v="245.85"/>
    <n v="0.12"/>
    <x v="0"/>
    <n v="6"/>
    <x v="5"/>
  </r>
  <r>
    <d v="2005-07-20T00:00:00"/>
    <x v="3"/>
    <x v="4"/>
    <x v="3"/>
    <x v="1"/>
    <n v="1118.22"/>
    <x v="989"/>
    <n v="777.07"/>
    <n v="0.41"/>
    <x v="0"/>
    <n v="7"/>
    <x v="9"/>
  </r>
  <r>
    <d v="2005-03-21T00:00:00"/>
    <x v="2"/>
    <x v="4"/>
    <x v="3"/>
    <x v="3"/>
    <n v="5079.6099999999997"/>
    <x v="990"/>
    <n v="4156.05"/>
    <n v="0.45"/>
    <x v="0"/>
    <n v="3"/>
    <x v="3"/>
  </r>
  <r>
    <d v="2004-08-16T00:00:00"/>
    <x v="5"/>
    <x v="1"/>
    <x v="0"/>
    <x v="3"/>
    <n v="2095.9"/>
    <x v="991"/>
    <n v="986.31"/>
    <n v="0.32"/>
    <x v="2"/>
    <n v="8"/>
    <x v="10"/>
  </r>
  <r>
    <d v="2004-09-07T00:00:00"/>
    <x v="4"/>
    <x v="3"/>
    <x v="0"/>
    <x v="0"/>
    <n v="7884.27"/>
    <x v="992"/>
    <n v="548.1"/>
    <n v="6.5000000000000002E-2"/>
    <x v="2"/>
    <n v="9"/>
    <x v="6"/>
  </r>
  <r>
    <d v="2005-12-18T00:00:00"/>
    <x v="3"/>
    <x v="2"/>
    <x v="0"/>
    <x v="0"/>
    <n v="4920.12"/>
    <x v="993"/>
    <n v="3562.85"/>
    <n v="0.42"/>
    <x v="0"/>
    <n v="12"/>
    <x v="4"/>
  </r>
  <r>
    <d v="2004-09-30T00:00:00"/>
    <x v="1"/>
    <x v="0"/>
    <x v="1"/>
    <x v="1"/>
    <n v="3236.73"/>
    <x v="994"/>
    <n v="5511.2"/>
    <n v="0.63"/>
    <x v="2"/>
    <n v="9"/>
    <x v="6"/>
  </r>
  <r>
    <d v="2005-11-24T00:00:00"/>
    <x v="0"/>
    <x v="4"/>
    <x v="0"/>
    <x v="0"/>
    <n v="3276.4"/>
    <x v="995"/>
    <n v="227.77"/>
    <n v="6.5000000000000002E-2"/>
    <x v="0"/>
    <n v="11"/>
    <x v="11"/>
  </r>
  <r>
    <d v="2005-09-06T00:00:00"/>
    <x v="3"/>
    <x v="2"/>
    <x v="2"/>
    <x v="0"/>
    <n v="3619.67"/>
    <x v="996"/>
    <n v="6163.21"/>
    <n v="0.63"/>
    <x v="0"/>
    <n v="9"/>
    <x v="6"/>
  </r>
  <r>
    <d v="2004-12-14T00:00:00"/>
    <x v="4"/>
    <x v="0"/>
    <x v="0"/>
    <x v="2"/>
    <n v="4676.4399999999996"/>
    <x v="997"/>
    <n v="3386.39"/>
    <n v="0.42"/>
    <x v="2"/>
    <n v="12"/>
    <x v="4"/>
  </r>
  <r>
    <d v="2004-06-17T00:00:00"/>
    <x v="0"/>
    <x v="0"/>
    <x v="3"/>
    <x v="3"/>
    <n v="5773.2"/>
    <x v="998"/>
    <n v="2716.8"/>
    <n v="0.32"/>
    <x v="2"/>
    <n v="6"/>
    <x v="5"/>
  </r>
  <r>
    <d v="2005-09-03T00:00:00"/>
    <x v="3"/>
    <x v="2"/>
    <x v="0"/>
    <x v="0"/>
    <n v="986.93"/>
    <x v="999"/>
    <n v="1206.25"/>
    <n v="0.55000000000000004"/>
    <x v="0"/>
    <n v="9"/>
    <x v="6"/>
  </r>
  <r>
    <d v="2004-06-22T00:00:00"/>
    <x v="5"/>
    <x v="1"/>
    <x v="3"/>
    <x v="2"/>
    <n v="2687.97"/>
    <x v="1000"/>
    <n v="1946.46"/>
    <n v="0.42"/>
    <x v="2"/>
    <n v="6"/>
    <x v="5"/>
  </r>
  <r>
    <d v="2005-03-16T00:00:00"/>
    <x v="4"/>
    <x v="3"/>
    <x v="0"/>
    <x v="0"/>
    <n v="605.97"/>
    <x v="1001"/>
    <n v="495.8"/>
    <n v="0.45"/>
    <x v="0"/>
    <n v="3"/>
    <x v="3"/>
  </r>
  <r>
    <d v="2004-11-11T00:00:00"/>
    <x v="1"/>
    <x v="2"/>
    <x v="3"/>
    <x v="1"/>
    <n v="1819.99"/>
    <x v="1002"/>
    <n v="2224.4299999999998"/>
    <n v="0.55000000000000004"/>
    <x v="2"/>
    <n v="11"/>
    <x v="11"/>
  </r>
  <r>
    <d v="2006-02-05T00:00:00"/>
    <x v="2"/>
    <x v="0"/>
    <x v="3"/>
    <x v="3"/>
    <n v="375.85"/>
    <x v="1003"/>
    <n v="639.96"/>
    <n v="0.63"/>
    <x v="1"/>
    <n v="2"/>
    <x v="1"/>
  </r>
  <r>
    <d v="2005-09-14T00:00:00"/>
    <x v="4"/>
    <x v="3"/>
    <x v="3"/>
    <x v="0"/>
    <n v="8115.05"/>
    <x v="1004"/>
    <n v="564.15"/>
    <n v="6.5000000000000002E-2"/>
    <x v="0"/>
    <n v="9"/>
    <x v="6"/>
  </r>
  <r>
    <d v="2006-06-01T00:00:00"/>
    <x v="4"/>
    <x v="2"/>
    <x v="0"/>
    <x v="2"/>
    <n v="296.60000000000002"/>
    <x v="1005"/>
    <n v="242.67"/>
    <n v="0.45"/>
    <x v="1"/>
    <n v="6"/>
    <x v="5"/>
  </r>
  <r>
    <d v="2005-10-31T00:00:00"/>
    <x v="2"/>
    <x v="2"/>
    <x v="2"/>
    <x v="0"/>
    <n v="5670.66"/>
    <x v="1006"/>
    <n v="3940.62"/>
    <n v="0.41"/>
    <x v="0"/>
    <n v="10"/>
    <x v="0"/>
  </r>
  <r>
    <d v="2006-05-13T00:00:00"/>
    <x v="0"/>
    <x v="4"/>
    <x v="0"/>
    <x v="1"/>
    <n v="927.62"/>
    <x v="1007"/>
    <n v="1579.47"/>
    <n v="0.63"/>
    <x v="1"/>
    <n v="5"/>
    <x v="7"/>
  </r>
  <r>
    <d v="2006-02-25T00:00:00"/>
    <x v="4"/>
    <x v="3"/>
    <x v="2"/>
    <x v="3"/>
    <n v="2306.77"/>
    <x v="1008"/>
    <n v="3927.74"/>
    <n v="0.63"/>
    <x v="1"/>
    <n v="2"/>
    <x v="1"/>
  </r>
  <r>
    <d v="2005-01-16T00:00:00"/>
    <x v="3"/>
    <x v="0"/>
    <x v="3"/>
    <x v="1"/>
    <n v="2476.4"/>
    <x v="1009"/>
    <n v="3282.66"/>
    <n v="0.56999999999999995"/>
    <x v="0"/>
    <n v="1"/>
    <x v="2"/>
  </r>
  <r>
    <d v="2006-04-13T00:00:00"/>
    <x v="1"/>
    <x v="3"/>
    <x v="3"/>
    <x v="0"/>
    <n v="5416.99"/>
    <x v="1010"/>
    <n v="376.58"/>
    <n v="6.5000000000000002E-2"/>
    <x v="1"/>
    <n v="4"/>
    <x v="8"/>
  </r>
  <r>
    <d v="2005-03-05T00:00:00"/>
    <x v="4"/>
    <x v="3"/>
    <x v="1"/>
    <x v="2"/>
    <n v="796.03"/>
    <x v="1011"/>
    <n v="651.29"/>
    <n v="0.45"/>
    <x v="0"/>
    <n v="3"/>
    <x v="3"/>
  </r>
  <r>
    <d v="2006-02-16T00:00:00"/>
    <x v="2"/>
    <x v="3"/>
    <x v="2"/>
    <x v="0"/>
    <n v="83.82"/>
    <x v="1012"/>
    <n v="11.43"/>
    <n v="0.12"/>
    <x v="1"/>
    <n v="2"/>
    <x v="1"/>
  </r>
  <r>
    <d v="2006-02-01T00:00:00"/>
    <x v="0"/>
    <x v="3"/>
    <x v="2"/>
    <x v="0"/>
    <n v="2812.14"/>
    <x v="1013"/>
    <n v="383.47"/>
    <n v="0.12"/>
    <x v="1"/>
    <n v="2"/>
    <x v="1"/>
  </r>
  <r>
    <d v="2004-10-30T00:00:00"/>
    <x v="2"/>
    <x v="0"/>
    <x v="0"/>
    <x v="0"/>
    <n v="1438.47"/>
    <x v="1014"/>
    <n v="196.16"/>
    <n v="0.12"/>
    <x v="2"/>
    <n v="10"/>
    <x v="0"/>
  </r>
  <r>
    <d v="2004-12-14T00:00:00"/>
    <x v="4"/>
    <x v="4"/>
    <x v="0"/>
    <x v="1"/>
    <n v="5300.66"/>
    <x v="1015"/>
    <n v="368.5"/>
    <n v="6.5000000000000002E-2"/>
    <x v="2"/>
    <n v="12"/>
    <x v="4"/>
  </r>
  <r>
    <d v="2006-03-23T00:00:00"/>
    <x v="0"/>
    <x v="2"/>
    <x v="2"/>
    <x v="0"/>
    <n v="5256.5"/>
    <x v="1016"/>
    <n v="3652.83"/>
    <n v="0.41"/>
    <x v="1"/>
    <n v="3"/>
    <x v="3"/>
  </r>
  <r>
    <d v="2005-06-09T00:00:00"/>
    <x v="4"/>
    <x v="1"/>
    <x v="0"/>
    <x v="1"/>
    <n v="1201.18"/>
    <x v="1017"/>
    <n v="2045.26"/>
    <n v="0.63"/>
    <x v="0"/>
    <n v="6"/>
    <x v="5"/>
  </r>
  <r>
    <d v="2004-06-21T00:00:00"/>
    <x v="4"/>
    <x v="0"/>
    <x v="0"/>
    <x v="1"/>
    <n v="285.08"/>
    <x v="1018"/>
    <n v="377.89"/>
    <n v="0.56999999999999995"/>
    <x v="2"/>
    <n v="6"/>
    <x v="5"/>
  </r>
  <r>
    <d v="2005-12-07T00:00:00"/>
    <x v="1"/>
    <x v="1"/>
    <x v="2"/>
    <x v="2"/>
    <n v="1857.5"/>
    <x v="1019"/>
    <n v="1290.8"/>
    <n v="0.41"/>
    <x v="0"/>
    <n v="12"/>
    <x v="4"/>
  </r>
  <r>
    <d v="2005-08-03T00:00:00"/>
    <x v="1"/>
    <x v="2"/>
    <x v="3"/>
    <x v="3"/>
    <n v="8814.57"/>
    <x v="1020"/>
    <n v="612.78"/>
    <n v="6.5000000000000002E-2"/>
    <x v="0"/>
    <n v="8"/>
    <x v="10"/>
  </r>
  <r>
    <d v="2006-05-25T00:00:00"/>
    <x v="4"/>
    <x v="3"/>
    <x v="1"/>
    <x v="2"/>
    <n v="1259.07"/>
    <x v="1021"/>
    <n v="1669.01"/>
    <n v="0.56999999999999995"/>
    <x v="1"/>
    <n v="5"/>
    <x v="7"/>
  </r>
  <r>
    <d v="2005-04-12T00:00:00"/>
    <x v="3"/>
    <x v="4"/>
    <x v="2"/>
    <x v="2"/>
    <n v="7061.43"/>
    <x v="1022"/>
    <n v="490.9"/>
    <n v="6.5000000000000002E-2"/>
    <x v="0"/>
    <n v="4"/>
    <x v="8"/>
  </r>
  <r>
    <d v="2004-12-29T00:00:00"/>
    <x v="5"/>
    <x v="3"/>
    <x v="2"/>
    <x v="0"/>
    <n v="6379.41"/>
    <x v="1023"/>
    <n v="443.49"/>
    <n v="6.5000000000000002E-2"/>
    <x v="2"/>
    <n v="12"/>
    <x v="4"/>
  </r>
  <r>
    <d v="2005-06-02T00:00:00"/>
    <x v="4"/>
    <x v="4"/>
    <x v="3"/>
    <x v="2"/>
    <n v="4484.8999999999996"/>
    <x v="1024"/>
    <n v="611.58000000000004"/>
    <n v="0.12"/>
    <x v="0"/>
    <n v="6"/>
    <x v="5"/>
  </r>
  <r>
    <d v="2005-07-17T00:00:00"/>
    <x v="1"/>
    <x v="3"/>
    <x v="1"/>
    <x v="1"/>
    <n v="5375.15"/>
    <x v="1025"/>
    <n v="732.97"/>
    <n v="0.12"/>
    <x v="0"/>
    <n v="7"/>
    <x v="9"/>
  </r>
  <r>
    <d v="2004-09-30T00:00:00"/>
    <x v="5"/>
    <x v="4"/>
    <x v="3"/>
    <x v="0"/>
    <n v="6348.09"/>
    <x v="1026"/>
    <n v="441.31"/>
    <n v="6.5000000000000002E-2"/>
    <x v="2"/>
    <n v="9"/>
    <x v="6"/>
  </r>
  <r>
    <d v="2005-11-19T00:00:00"/>
    <x v="4"/>
    <x v="3"/>
    <x v="0"/>
    <x v="3"/>
    <n v="399.95"/>
    <x v="1027"/>
    <n v="133.32"/>
    <n v="0.25"/>
    <x v="0"/>
    <n v="11"/>
    <x v="11"/>
  </r>
  <r>
    <d v="2006-01-23T00:00:00"/>
    <x v="1"/>
    <x v="1"/>
    <x v="3"/>
    <x v="2"/>
    <n v="6394.51"/>
    <x v="1028"/>
    <n v="3009.18"/>
    <n v="0.32"/>
    <x v="1"/>
    <n v="1"/>
    <x v="2"/>
  </r>
  <r>
    <d v="2005-01-20T00:00:00"/>
    <x v="2"/>
    <x v="0"/>
    <x v="0"/>
    <x v="1"/>
    <n v="466.65"/>
    <x v="1029"/>
    <n v="618.58000000000004"/>
    <n v="0.56999999999999995"/>
    <x v="0"/>
    <n v="1"/>
    <x v="2"/>
  </r>
  <r>
    <d v="2005-01-16T00:00:00"/>
    <x v="4"/>
    <x v="0"/>
    <x v="2"/>
    <x v="3"/>
    <n v="3468.34"/>
    <x v="1030"/>
    <n v="2837.74"/>
    <n v="0.45"/>
    <x v="0"/>
    <n v="1"/>
    <x v="2"/>
  </r>
  <r>
    <d v="2006-04-21T00:00:00"/>
    <x v="1"/>
    <x v="4"/>
    <x v="3"/>
    <x v="2"/>
    <n v="3303.2"/>
    <x v="1031"/>
    <n v="4378.66"/>
    <n v="0.56999999999999995"/>
    <x v="1"/>
    <n v="4"/>
    <x v="8"/>
  </r>
  <r>
    <d v="2005-07-12T00:00:00"/>
    <x v="5"/>
    <x v="1"/>
    <x v="0"/>
    <x v="3"/>
    <n v="287.64999999999998"/>
    <x v="1032"/>
    <n v="39.229999999999997"/>
    <n v="0.12"/>
    <x v="0"/>
    <n v="7"/>
    <x v="9"/>
  </r>
  <r>
    <d v="2005-07-17T00:00:00"/>
    <x v="2"/>
    <x v="0"/>
    <x v="3"/>
    <x v="3"/>
    <n v="1869.81"/>
    <x v="1033"/>
    <n v="3183.73"/>
    <n v="0.63"/>
    <x v="0"/>
    <n v="7"/>
    <x v="9"/>
  </r>
  <r>
    <d v="2005-12-20T00:00:00"/>
    <x v="1"/>
    <x v="1"/>
    <x v="0"/>
    <x v="0"/>
    <n v="2212.8200000000002"/>
    <x v="1034"/>
    <n v="2933.28"/>
    <n v="0.56999999999999995"/>
    <x v="0"/>
    <n v="12"/>
    <x v="4"/>
  </r>
  <r>
    <d v="2004-07-17T00:00:00"/>
    <x v="1"/>
    <x v="4"/>
    <x v="1"/>
    <x v="0"/>
    <n v="1210.3399999999999"/>
    <x v="1035"/>
    <n v="403.45"/>
    <n v="0.25"/>
    <x v="2"/>
    <n v="7"/>
    <x v="9"/>
  </r>
  <r>
    <d v="2005-05-21T00:00:00"/>
    <x v="2"/>
    <x v="4"/>
    <x v="2"/>
    <x v="3"/>
    <n v="1886.9"/>
    <x v="1036"/>
    <n v="3212.84"/>
    <n v="0.63"/>
    <x v="0"/>
    <n v="5"/>
    <x v="7"/>
  </r>
  <r>
    <d v="2006-04-12T00:00:00"/>
    <x v="2"/>
    <x v="4"/>
    <x v="3"/>
    <x v="0"/>
    <n v="5261.61"/>
    <x v="1037"/>
    <n v="3656.37"/>
    <n v="0.41"/>
    <x v="1"/>
    <n v="4"/>
    <x v="8"/>
  </r>
  <r>
    <d v="2004-12-18T00:00:00"/>
    <x v="1"/>
    <x v="1"/>
    <x v="1"/>
    <x v="2"/>
    <n v="331.26"/>
    <x v="1038"/>
    <n v="230.2"/>
    <n v="0.41"/>
    <x v="2"/>
    <n v="12"/>
    <x v="4"/>
  </r>
  <r>
    <d v="2006-05-20T00:00:00"/>
    <x v="0"/>
    <x v="0"/>
    <x v="1"/>
    <x v="1"/>
    <n v="2950.44"/>
    <x v="1039"/>
    <n v="5023.7299999999996"/>
    <n v="0.63"/>
    <x v="1"/>
    <n v="5"/>
    <x v="7"/>
  </r>
  <r>
    <d v="2006-02-23T00:00:00"/>
    <x v="3"/>
    <x v="2"/>
    <x v="2"/>
    <x v="3"/>
    <n v="1776.6"/>
    <x v="1040"/>
    <n v="592.20000000000005"/>
    <n v="0.25"/>
    <x v="1"/>
    <n v="2"/>
    <x v="1"/>
  </r>
  <r>
    <d v="2005-10-13T00:00:00"/>
    <x v="5"/>
    <x v="3"/>
    <x v="3"/>
    <x v="2"/>
    <n v="18.07"/>
    <x v="1041"/>
    <n v="13.09"/>
    <n v="0.42009999999999997"/>
    <x v="0"/>
    <n v="10"/>
    <x v="0"/>
  </r>
  <r>
    <d v="2005-12-19T00:00:00"/>
    <x v="1"/>
    <x v="3"/>
    <x v="2"/>
    <x v="0"/>
    <n v="5848.91"/>
    <x v="1042"/>
    <n v="1949.64"/>
    <n v="0.25"/>
    <x v="0"/>
    <n v="12"/>
    <x v="4"/>
  </r>
  <r>
    <d v="2006-02-07T00:00:00"/>
    <x v="1"/>
    <x v="4"/>
    <x v="1"/>
    <x v="1"/>
    <n v="297.94"/>
    <x v="1043"/>
    <n v="507.29"/>
    <n v="0.63"/>
    <x v="1"/>
    <n v="2"/>
    <x v="1"/>
  </r>
  <r>
    <d v="2005-04-04T00:00:00"/>
    <x v="0"/>
    <x v="2"/>
    <x v="0"/>
    <x v="2"/>
    <n v="1455"/>
    <x v="1044"/>
    <n v="1190.45"/>
    <n v="0.45"/>
    <x v="0"/>
    <n v="4"/>
    <x v="8"/>
  </r>
  <r>
    <d v="2004-09-24T00:00:00"/>
    <x v="5"/>
    <x v="2"/>
    <x v="2"/>
    <x v="3"/>
    <n v="112.8"/>
    <x v="1045"/>
    <n v="15.38"/>
    <n v="0.12"/>
    <x v="2"/>
    <n v="9"/>
    <x v="6"/>
  </r>
  <r>
    <d v="2004-09-19T00:00:00"/>
    <x v="3"/>
    <x v="4"/>
    <x v="2"/>
    <x v="1"/>
    <n v="115.35"/>
    <x v="1046"/>
    <n v="94.38"/>
    <n v="0.45"/>
    <x v="2"/>
    <n v="9"/>
    <x v="6"/>
  </r>
  <r>
    <d v="2006-02-11T00:00:00"/>
    <x v="3"/>
    <x v="1"/>
    <x v="1"/>
    <x v="2"/>
    <n v="2623.23"/>
    <x v="1047"/>
    <n v="4466.59"/>
    <n v="0.63"/>
    <x v="1"/>
    <n v="2"/>
    <x v="1"/>
  </r>
  <r>
    <d v="2004-10-04T00:00:00"/>
    <x v="0"/>
    <x v="2"/>
    <x v="1"/>
    <x v="3"/>
    <n v="4398.0600000000004"/>
    <x v="1048"/>
    <n v="2069.6799999999998"/>
    <n v="0.32"/>
    <x v="2"/>
    <n v="10"/>
    <x v="0"/>
  </r>
  <r>
    <d v="2005-04-07T00:00:00"/>
    <x v="2"/>
    <x v="3"/>
    <x v="2"/>
    <x v="3"/>
    <n v="4155.8999999999996"/>
    <x v="1049"/>
    <n v="1955.72"/>
    <n v="0.32"/>
    <x v="0"/>
    <n v="4"/>
    <x v="8"/>
  </r>
  <r>
    <d v="2006-01-17T00:00:00"/>
    <x v="4"/>
    <x v="1"/>
    <x v="3"/>
    <x v="0"/>
    <n v="259.3"/>
    <x v="1050"/>
    <n v="212.15"/>
    <n v="0.45"/>
    <x v="1"/>
    <n v="1"/>
    <x v="2"/>
  </r>
  <r>
    <d v="2005-06-07T00:00:00"/>
    <x v="3"/>
    <x v="3"/>
    <x v="3"/>
    <x v="0"/>
    <n v="3387.08"/>
    <x v="1051"/>
    <n v="4139.7700000000004"/>
    <n v="0.55000000000000004"/>
    <x v="0"/>
    <n v="6"/>
    <x v="5"/>
  </r>
  <r>
    <d v="2006-01-06T00:00:00"/>
    <x v="3"/>
    <x v="0"/>
    <x v="1"/>
    <x v="3"/>
    <n v="124.46"/>
    <x v="1052"/>
    <n v="101.83"/>
    <n v="0.45"/>
    <x v="1"/>
    <n v="1"/>
    <x v="2"/>
  </r>
  <r>
    <d v="2005-05-04T00:00:00"/>
    <x v="1"/>
    <x v="2"/>
    <x v="2"/>
    <x v="3"/>
    <n v="2880.66"/>
    <x v="1053"/>
    <n v="4904.8999999999996"/>
    <n v="0.63"/>
    <x v="0"/>
    <n v="5"/>
    <x v="7"/>
  </r>
  <r>
    <d v="2004-07-18T00:00:00"/>
    <x v="4"/>
    <x v="1"/>
    <x v="3"/>
    <x v="3"/>
    <n v="5438.64"/>
    <x v="1054"/>
    <n v="4449.79"/>
    <n v="0.45"/>
    <x v="2"/>
    <n v="7"/>
    <x v="9"/>
  </r>
  <r>
    <d v="2005-02-27T00:00:00"/>
    <x v="2"/>
    <x v="1"/>
    <x v="1"/>
    <x v="3"/>
    <n v="582.67999999999995"/>
    <x v="1055"/>
    <n v="772.4"/>
    <n v="0.56999999999999995"/>
    <x v="0"/>
    <n v="2"/>
    <x v="1"/>
  </r>
  <r>
    <d v="2005-01-15T00:00:00"/>
    <x v="0"/>
    <x v="0"/>
    <x v="3"/>
    <x v="0"/>
    <n v="1559.61"/>
    <x v="1056"/>
    <n v="733.94"/>
    <n v="0.32"/>
    <x v="0"/>
    <n v="1"/>
    <x v="2"/>
  </r>
  <r>
    <d v="2005-09-19T00:00:00"/>
    <x v="5"/>
    <x v="3"/>
    <x v="2"/>
    <x v="3"/>
    <n v="6886.34"/>
    <x v="1057"/>
    <n v="939.05"/>
    <n v="0.12"/>
    <x v="0"/>
    <n v="9"/>
    <x v="6"/>
  </r>
  <r>
    <d v="2005-07-10T00:00:00"/>
    <x v="2"/>
    <x v="3"/>
    <x v="3"/>
    <x v="2"/>
    <n v="3381.07"/>
    <x v="1058"/>
    <n v="5756.97"/>
    <n v="0.63"/>
    <x v="0"/>
    <n v="7"/>
    <x v="9"/>
  </r>
  <r>
    <d v="2006-03-06T00:00:00"/>
    <x v="5"/>
    <x v="3"/>
    <x v="2"/>
    <x v="0"/>
    <n v="925.96"/>
    <x v="1059"/>
    <n v="1131.73"/>
    <n v="0.55000000000000004"/>
    <x v="1"/>
    <n v="3"/>
    <x v="3"/>
  </r>
  <r>
    <d v="2005-05-08T00:00:00"/>
    <x v="2"/>
    <x v="4"/>
    <x v="2"/>
    <x v="3"/>
    <n v="814.52"/>
    <x v="1060"/>
    <n v="995.52"/>
    <n v="0.55000000000000004"/>
    <x v="0"/>
    <n v="5"/>
    <x v="7"/>
  </r>
  <r>
    <d v="2006-05-15T00:00:00"/>
    <x v="0"/>
    <x v="0"/>
    <x v="2"/>
    <x v="1"/>
    <n v="3605.04"/>
    <x v="1061"/>
    <n v="2949.58"/>
    <n v="0.45"/>
    <x v="1"/>
    <n v="5"/>
    <x v="7"/>
  </r>
  <r>
    <d v="2004-09-01T00:00:00"/>
    <x v="4"/>
    <x v="4"/>
    <x v="2"/>
    <x v="0"/>
    <n v="425.44"/>
    <x v="1062"/>
    <n v="29.58"/>
    <n v="6.5000000000000002E-2"/>
    <x v="2"/>
    <n v="9"/>
    <x v="6"/>
  </r>
  <r>
    <d v="2005-01-21T00:00:00"/>
    <x v="4"/>
    <x v="0"/>
    <x v="1"/>
    <x v="1"/>
    <n v="1476.29"/>
    <x v="1063"/>
    <n v="2513.6799999999998"/>
    <n v="0.63"/>
    <x v="0"/>
    <n v="1"/>
    <x v="2"/>
  </r>
  <r>
    <d v="2005-12-25T00:00:00"/>
    <x v="0"/>
    <x v="2"/>
    <x v="2"/>
    <x v="1"/>
    <n v="1812.14"/>
    <x v="1064"/>
    <n v="604.04999999999995"/>
    <n v="0.25"/>
    <x v="0"/>
    <n v="12"/>
    <x v="4"/>
  </r>
  <r>
    <d v="2005-03-22T00:00:00"/>
    <x v="3"/>
    <x v="0"/>
    <x v="0"/>
    <x v="3"/>
    <n v="4231.2299999999996"/>
    <x v="1065"/>
    <n v="3063.99"/>
    <n v="0.42"/>
    <x v="0"/>
    <n v="3"/>
    <x v="3"/>
  </r>
  <r>
    <d v="2005-10-29T00:00:00"/>
    <x v="3"/>
    <x v="2"/>
    <x v="1"/>
    <x v="0"/>
    <n v="1879.08"/>
    <x v="1066"/>
    <n v="1360.71"/>
    <n v="0.42"/>
    <x v="0"/>
    <n v="10"/>
    <x v="0"/>
  </r>
  <r>
    <d v="2005-12-04T00:00:00"/>
    <x v="5"/>
    <x v="2"/>
    <x v="3"/>
    <x v="2"/>
    <n v="3171.6"/>
    <x v="1067"/>
    <n v="2203.9899999999998"/>
    <n v="0.41"/>
    <x v="0"/>
    <n v="12"/>
    <x v="4"/>
  </r>
  <r>
    <d v="2005-08-19T00:00:00"/>
    <x v="1"/>
    <x v="1"/>
    <x v="1"/>
    <x v="2"/>
    <n v="4217.72"/>
    <x v="1068"/>
    <n v="5590.92"/>
    <n v="0.56999999999999995"/>
    <x v="0"/>
    <n v="8"/>
    <x v="10"/>
  </r>
  <r>
    <d v="2004-06-22T00:00:00"/>
    <x v="4"/>
    <x v="3"/>
    <x v="0"/>
    <x v="1"/>
    <n v="1007.75"/>
    <x v="761"/>
    <n v="1231.69"/>
    <n v="0.55000000000000004"/>
    <x v="2"/>
    <n v="6"/>
    <x v="5"/>
  </r>
  <r>
    <d v="2005-07-14T00:00:00"/>
    <x v="1"/>
    <x v="4"/>
    <x v="2"/>
    <x v="2"/>
    <n v="2178.79"/>
    <x v="1069"/>
    <n v="2888.17"/>
    <n v="0.56999999999999995"/>
    <x v="0"/>
    <n v="7"/>
    <x v="9"/>
  </r>
  <r>
    <d v="2005-10-13T00:00:00"/>
    <x v="5"/>
    <x v="0"/>
    <x v="3"/>
    <x v="0"/>
    <n v="2395.25"/>
    <x v="1070"/>
    <n v="4078.39"/>
    <n v="0.63"/>
    <x v="0"/>
    <n v="10"/>
    <x v="0"/>
  </r>
  <r>
    <d v="2005-08-25T00:00:00"/>
    <x v="3"/>
    <x v="1"/>
    <x v="2"/>
    <x v="1"/>
    <n v="4355.79"/>
    <x v="1071"/>
    <n v="3026.91"/>
    <n v="0.41"/>
    <x v="0"/>
    <n v="8"/>
    <x v="10"/>
  </r>
  <r>
    <d v="2004-10-08T00:00:00"/>
    <x v="1"/>
    <x v="3"/>
    <x v="3"/>
    <x v="2"/>
    <n v="7750.48"/>
    <x v="1072"/>
    <n v="1056.8800000000001"/>
    <n v="0.12"/>
    <x v="2"/>
    <n v="10"/>
    <x v="0"/>
  </r>
  <r>
    <d v="2005-03-16T00:00:00"/>
    <x v="1"/>
    <x v="0"/>
    <x v="2"/>
    <x v="3"/>
    <n v="4363.18"/>
    <x v="1073"/>
    <n v="3032.04"/>
    <n v="0.41"/>
    <x v="0"/>
    <n v="3"/>
    <x v="3"/>
  </r>
  <r>
    <d v="2005-11-22T00:00:00"/>
    <x v="2"/>
    <x v="2"/>
    <x v="0"/>
    <x v="1"/>
    <n v="1014.32"/>
    <x v="1074"/>
    <n v="734.51"/>
    <n v="0.42"/>
    <x v="0"/>
    <n v="11"/>
    <x v="11"/>
  </r>
  <r>
    <d v="2006-05-27T00:00:00"/>
    <x v="0"/>
    <x v="2"/>
    <x v="3"/>
    <x v="2"/>
    <n v="1067.1600000000001"/>
    <x v="1075"/>
    <n v="741.59"/>
    <n v="0.41"/>
    <x v="1"/>
    <n v="5"/>
    <x v="7"/>
  </r>
  <r>
    <d v="2006-06-09T00:00:00"/>
    <x v="3"/>
    <x v="0"/>
    <x v="2"/>
    <x v="3"/>
    <n v="4426.8999999999996"/>
    <x v="1076"/>
    <n v="3076.32"/>
    <n v="0.41"/>
    <x v="1"/>
    <n v="6"/>
    <x v="5"/>
  </r>
  <r>
    <d v="2004-09-14T00:00:00"/>
    <x v="1"/>
    <x v="1"/>
    <x v="2"/>
    <x v="0"/>
    <n v="3229.12"/>
    <x v="1077"/>
    <n v="224.48"/>
    <n v="6.5000000000000002E-2"/>
    <x v="2"/>
    <n v="9"/>
    <x v="6"/>
  </r>
  <r>
    <d v="2005-02-25T00:00:00"/>
    <x v="3"/>
    <x v="1"/>
    <x v="0"/>
    <x v="3"/>
    <n v="2947.35"/>
    <x v="1078"/>
    <n v="204.9"/>
    <n v="6.5000000000000002E-2"/>
    <x v="0"/>
    <n v="2"/>
    <x v="1"/>
  </r>
  <r>
    <d v="2005-08-27T00:00:00"/>
    <x v="2"/>
    <x v="3"/>
    <x v="1"/>
    <x v="0"/>
    <n v="3424.92"/>
    <x v="1079"/>
    <n v="2802.2"/>
    <n v="0.45"/>
    <x v="0"/>
    <n v="8"/>
    <x v="10"/>
  </r>
  <r>
    <d v="2004-11-26T00:00:00"/>
    <x v="4"/>
    <x v="1"/>
    <x v="0"/>
    <x v="2"/>
    <n v="3950.35"/>
    <x v="1080"/>
    <n v="538.67999999999995"/>
    <n v="0.12"/>
    <x v="2"/>
    <n v="11"/>
    <x v="11"/>
  </r>
  <r>
    <d v="2005-04-28T00:00:00"/>
    <x v="5"/>
    <x v="3"/>
    <x v="0"/>
    <x v="0"/>
    <n v="3493.05"/>
    <x v="1081"/>
    <n v="4630.33"/>
    <n v="0.56999999999999995"/>
    <x v="0"/>
    <n v="4"/>
    <x v="8"/>
  </r>
  <r>
    <d v="2005-08-18T00:00:00"/>
    <x v="3"/>
    <x v="3"/>
    <x v="1"/>
    <x v="0"/>
    <n v="5147.4399999999996"/>
    <x v="1082"/>
    <n v="3727.45"/>
    <n v="0.42"/>
    <x v="0"/>
    <n v="8"/>
    <x v="10"/>
  </r>
  <r>
    <d v="2005-06-25T00:00:00"/>
    <x v="5"/>
    <x v="1"/>
    <x v="0"/>
    <x v="1"/>
    <n v="3282.32"/>
    <x v="1083"/>
    <n v="4011.73"/>
    <n v="0.55000000000000004"/>
    <x v="0"/>
    <n v="6"/>
    <x v="5"/>
  </r>
  <r>
    <d v="2005-10-29T00:00:00"/>
    <x v="5"/>
    <x v="3"/>
    <x v="1"/>
    <x v="1"/>
    <n v="2365.79"/>
    <x v="1084"/>
    <n v="322.61"/>
    <n v="0.12"/>
    <x v="0"/>
    <n v="10"/>
    <x v="0"/>
  </r>
  <r>
    <d v="2004-09-30T00:00:00"/>
    <x v="0"/>
    <x v="1"/>
    <x v="2"/>
    <x v="3"/>
    <n v="3523.64"/>
    <x v="1085"/>
    <n v="5999.71"/>
    <n v="0.63"/>
    <x v="2"/>
    <n v="9"/>
    <x v="6"/>
  </r>
  <r>
    <d v="2005-08-04T00:00:00"/>
    <x v="1"/>
    <x v="3"/>
    <x v="2"/>
    <x v="3"/>
    <n v="4911.25"/>
    <x v="1086"/>
    <n v="341.42"/>
    <n v="6.5000000000000002E-2"/>
    <x v="0"/>
    <n v="8"/>
    <x v="10"/>
  </r>
  <r>
    <d v="2004-07-14T00:00:00"/>
    <x v="5"/>
    <x v="4"/>
    <x v="3"/>
    <x v="2"/>
    <n v="4413.68"/>
    <x v="1087"/>
    <n v="5394.5"/>
    <n v="0.55000000000000004"/>
    <x v="2"/>
    <n v="7"/>
    <x v="9"/>
  </r>
  <r>
    <d v="2005-11-16T00:00:00"/>
    <x v="5"/>
    <x v="3"/>
    <x v="2"/>
    <x v="2"/>
    <n v="4919.22"/>
    <x v="1088"/>
    <n v="4024.82"/>
    <n v="0.45"/>
    <x v="0"/>
    <n v="11"/>
    <x v="11"/>
  </r>
  <r>
    <d v="2006-03-26T00:00:00"/>
    <x v="5"/>
    <x v="0"/>
    <x v="2"/>
    <x v="1"/>
    <n v="2736.15"/>
    <x v="1089"/>
    <n v="1901.4"/>
    <n v="0.41"/>
    <x v="1"/>
    <n v="3"/>
    <x v="3"/>
  </r>
  <r>
    <d v="2006-06-01T00:00:00"/>
    <x v="3"/>
    <x v="1"/>
    <x v="0"/>
    <x v="2"/>
    <n v="1276.1600000000001"/>
    <x v="1090"/>
    <n v="425.38"/>
    <n v="0.25"/>
    <x v="1"/>
    <n v="6"/>
    <x v="5"/>
  </r>
  <r>
    <d v="2004-07-05T00:00:00"/>
    <x v="1"/>
    <x v="1"/>
    <x v="2"/>
    <x v="0"/>
    <n v="746.3"/>
    <x v="1091"/>
    <n v="610.6"/>
    <n v="0.45"/>
    <x v="2"/>
    <n v="7"/>
    <x v="9"/>
  </r>
  <r>
    <d v="2005-08-06T00:00:00"/>
    <x v="3"/>
    <x v="1"/>
    <x v="1"/>
    <x v="0"/>
    <n v="4509.16"/>
    <x v="1092"/>
    <n v="2121.96"/>
    <n v="0.32"/>
    <x v="0"/>
    <n v="8"/>
    <x v="10"/>
  </r>
  <r>
    <d v="2004-08-11T00:00:00"/>
    <x v="0"/>
    <x v="0"/>
    <x v="1"/>
    <x v="0"/>
    <n v="4044.87"/>
    <x v="1093"/>
    <n v="3309.44"/>
    <n v="0.45"/>
    <x v="2"/>
    <n v="8"/>
    <x v="10"/>
  </r>
  <r>
    <d v="2005-10-02T00:00:00"/>
    <x v="4"/>
    <x v="3"/>
    <x v="3"/>
    <x v="2"/>
    <n v="1844.19"/>
    <x v="1094"/>
    <n v="3140.12"/>
    <n v="0.63"/>
    <x v="0"/>
    <n v="10"/>
    <x v="0"/>
  </r>
  <r>
    <d v="2005-01-24T00:00:00"/>
    <x v="5"/>
    <x v="3"/>
    <x v="2"/>
    <x v="2"/>
    <n v="1091.1400000000001"/>
    <x v="1095"/>
    <n v="1446.39"/>
    <n v="0.56999999999999995"/>
    <x v="0"/>
    <n v="1"/>
    <x v="2"/>
  </r>
  <r>
    <d v="2005-10-29T00:00:00"/>
    <x v="2"/>
    <x v="2"/>
    <x v="0"/>
    <x v="2"/>
    <n v="6204.57"/>
    <x v="1096"/>
    <n v="2919.8"/>
    <n v="0.32"/>
    <x v="0"/>
    <n v="10"/>
    <x v="0"/>
  </r>
  <r>
    <d v="2004-12-22T00:00:00"/>
    <x v="1"/>
    <x v="3"/>
    <x v="2"/>
    <x v="0"/>
    <n v="3786.89"/>
    <x v="1097"/>
    <n v="516.39"/>
    <n v="0.12"/>
    <x v="2"/>
    <n v="12"/>
    <x v="4"/>
  </r>
  <r>
    <d v="2006-03-24T00:00:00"/>
    <x v="3"/>
    <x v="0"/>
    <x v="0"/>
    <x v="1"/>
    <n v="4901.43"/>
    <x v="1098"/>
    <n v="3549.31"/>
    <n v="0.42"/>
    <x v="1"/>
    <n v="3"/>
    <x v="3"/>
  </r>
  <r>
    <d v="2005-02-22T00:00:00"/>
    <x v="3"/>
    <x v="1"/>
    <x v="1"/>
    <x v="1"/>
    <n v="7872.32"/>
    <x v="1099"/>
    <n v="1073.5"/>
    <n v="0.12"/>
    <x v="0"/>
    <n v="2"/>
    <x v="1"/>
  </r>
  <r>
    <d v="2006-02-19T00:00:00"/>
    <x v="5"/>
    <x v="0"/>
    <x v="2"/>
    <x v="0"/>
    <n v="949.52"/>
    <x v="1100"/>
    <n v="1160.52"/>
    <n v="0.55000000000000004"/>
    <x v="1"/>
    <n v="2"/>
    <x v="1"/>
  </r>
  <r>
    <d v="2005-11-01T00:00:00"/>
    <x v="4"/>
    <x v="0"/>
    <x v="2"/>
    <x v="2"/>
    <n v="4805.8900000000003"/>
    <x v="1101"/>
    <n v="2261.59"/>
    <n v="0.32"/>
    <x v="0"/>
    <n v="11"/>
    <x v="11"/>
  </r>
  <r>
    <d v="2006-02-28T00:00:00"/>
    <x v="5"/>
    <x v="1"/>
    <x v="0"/>
    <x v="0"/>
    <n v="125.9"/>
    <x v="1102"/>
    <n v="214.37"/>
    <n v="0.63"/>
    <x v="1"/>
    <n v="2"/>
    <x v="1"/>
  </r>
  <r>
    <d v="2004-08-09T00:00:00"/>
    <x v="4"/>
    <x v="3"/>
    <x v="0"/>
    <x v="2"/>
    <n v="1950.72"/>
    <x v="1103"/>
    <n v="266.01"/>
    <n v="0.12"/>
    <x v="2"/>
    <n v="8"/>
    <x v="10"/>
  </r>
  <r>
    <d v="2005-07-01T00:00:00"/>
    <x v="3"/>
    <x v="4"/>
    <x v="0"/>
    <x v="3"/>
    <n v="5412.79"/>
    <x v="1104"/>
    <n v="2547.19"/>
    <n v="0.32"/>
    <x v="0"/>
    <n v="7"/>
    <x v="9"/>
  </r>
  <r>
    <d v="2005-11-24T00:00:00"/>
    <x v="4"/>
    <x v="3"/>
    <x v="1"/>
    <x v="2"/>
    <n v="2959.1"/>
    <x v="1105"/>
    <n v="2142.79"/>
    <n v="0.42"/>
    <x v="0"/>
    <n v="11"/>
    <x v="11"/>
  </r>
  <r>
    <d v="2005-01-24T00:00:00"/>
    <x v="4"/>
    <x v="2"/>
    <x v="3"/>
    <x v="1"/>
    <n v="331.15"/>
    <x v="1106"/>
    <n v="563.86"/>
    <n v="0.63"/>
    <x v="0"/>
    <n v="1"/>
    <x v="2"/>
  </r>
  <r>
    <d v="2005-06-16T00:00:00"/>
    <x v="4"/>
    <x v="0"/>
    <x v="1"/>
    <x v="3"/>
    <n v="4949.54"/>
    <x v="1107"/>
    <n v="1649.84"/>
    <n v="0.25"/>
    <x v="0"/>
    <n v="6"/>
    <x v="5"/>
  </r>
  <r>
    <d v="2004-08-22T00:00:00"/>
    <x v="2"/>
    <x v="3"/>
    <x v="0"/>
    <x v="0"/>
    <n v="3539.22"/>
    <x v="1108"/>
    <n v="6026.23"/>
    <n v="0.63"/>
    <x v="2"/>
    <n v="8"/>
    <x v="10"/>
  </r>
  <r>
    <d v="2005-05-18T00:00:00"/>
    <x v="2"/>
    <x v="4"/>
    <x v="2"/>
    <x v="3"/>
    <n v="3795.61"/>
    <x v="1109"/>
    <n v="2637.62"/>
    <n v="0.41"/>
    <x v="0"/>
    <n v="5"/>
    <x v="7"/>
  </r>
  <r>
    <d v="2005-09-17T00:00:00"/>
    <x v="3"/>
    <x v="2"/>
    <x v="2"/>
    <x v="3"/>
    <n v="2918.63"/>
    <x v="1110"/>
    <n v="3567.21"/>
    <n v="0.55000000000000004"/>
    <x v="0"/>
    <n v="9"/>
    <x v="6"/>
  </r>
  <r>
    <d v="2004-10-20T00:00:00"/>
    <x v="0"/>
    <x v="0"/>
    <x v="3"/>
    <x v="1"/>
    <n v="6882.57"/>
    <x v="1111"/>
    <n v="938.53"/>
    <n v="0.12"/>
    <x v="2"/>
    <n v="10"/>
    <x v="0"/>
  </r>
  <r>
    <d v="2006-01-09T00:00:00"/>
    <x v="3"/>
    <x v="1"/>
    <x v="0"/>
    <x v="1"/>
    <n v="1222.6199999999999"/>
    <x v="1112"/>
    <n v="407.54"/>
    <n v="0.25"/>
    <x v="1"/>
    <n v="1"/>
    <x v="2"/>
  </r>
  <r>
    <d v="2004-11-09T00:00:00"/>
    <x v="5"/>
    <x v="1"/>
    <x v="3"/>
    <x v="2"/>
    <n v="3374.21"/>
    <x v="1113"/>
    <n v="4472.78"/>
    <n v="0.56999999999999995"/>
    <x v="2"/>
    <n v="11"/>
    <x v="11"/>
  </r>
  <r>
    <d v="2004-09-05T00:00:00"/>
    <x v="1"/>
    <x v="0"/>
    <x v="1"/>
    <x v="3"/>
    <n v="965.33"/>
    <x v="1114"/>
    <n v="1279.6300000000001"/>
    <n v="0.56999999999999995"/>
    <x v="2"/>
    <n v="9"/>
    <x v="6"/>
  </r>
  <r>
    <d v="2005-10-15T00:00:00"/>
    <x v="3"/>
    <x v="1"/>
    <x v="1"/>
    <x v="2"/>
    <n v="3219.61"/>
    <x v="1115"/>
    <n v="5482.03"/>
    <n v="0.63"/>
    <x v="0"/>
    <n v="10"/>
    <x v="0"/>
  </r>
  <r>
    <d v="2005-06-17T00:00:00"/>
    <x v="5"/>
    <x v="1"/>
    <x v="3"/>
    <x v="1"/>
    <n v="676.91"/>
    <x v="1116"/>
    <n v="470.39"/>
    <n v="0.41"/>
    <x v="0"/>
    <n v="6"/>
    <x v="5"/>
  </r>
  <r>
    <d v="2005-11-21T00:00:00"/>
    <x v="2"/>
    <x v="1"/>
    <x v="2"/>
    <x v="0"/>
    <n v="396.9"/>
    <x v="1117"/>
    <n v="675.79"/>
    <n v="0.63"/>
    <x v="0"/>
    <n v="11"/>
    <x v="11"/>
  </r>
  <r>
    <d v="2006-05-08T00:00:00"/>
    <x v="5"/>
    <x v="3"/>
    <x v="0"/>
    <x v="0"/>
    <n v="6255.5"/>
    <x v="1118"/>
    <n v="2085.16"/>
    <n v="0.25"/>
    <x v="1"/>
    <n v="5"/>
    <x v="7"/>
  </r>
  <r>
    <d v="2005-04-17T00:00:00"/>
    <x v="1"/>
    <x v="1"/>
    <x v="0"/>
    <x v="0"/>
    <n v="1486.28"/>
    <x v="1119"/>
    <n v="103.32"/>
    <n v="6.5000000000000002E-2"/>
    <x v="0"/>
    <n v="4"/>
    <x v="8"/>
  </r>
  <r>
    <d v="2006-06-07T00:00:00"/>
    <x v="0"/>
    <x v="4"/>
    <x v="2"/>
    <x v="0"/>
    <n v="304.81"/>
    <x v="1120"/>
    <n v="21.19"/>
    <n v="6.5000000000000002E-2"/>
    <x v="1"/>
    <n v="6"/>
    <x v="5"/>
  </r>
  <r>
    <d v="2004-09-20T00:00:00"/>
    <x v="2"/>
    <x v="3"/>
    <x v="3"/>
    <x v="3"/>
    <n v="939.33"/>
    <x v="1121"/>
    <n v="442.04"/>
    <n v="0.32"/>
    <x v="2"/>
    <n v="9"/>
    <x v="6"/>
  </r>
  <r>
    <d v="2004-06-25T00:00:00"/>
    <x v="4"/>
    <x v="2"/>
    <x v="3"/>
    <x v="1"/>
    <n v="2357.4299999999998"/>
    <x v="1122"/>
    <n v="163.89"/>
    <n v="6.5000000000000002E-2"/>
    <x v="2"/>
    <n v="6"/>
    <x v="5"/>
  </r>
  <r>
    <d v="2005-06-07T00:00:00"/>
    <x v="0"/>
    <x v="4"/>
    <x v="0"/>
    <x v="2"/>
    <n v="5256.06"/>
    <x v="1123"/>
    <n v="4300.42"/>
    <n v="0.45"/>
    <x v="0"/>
    <n v="6"/>
    <x v="5"/>
  </r>
  <r>
    <d v="2006-01-20T00:00:00"/>
    <x v="0"/>
    <x v="0"/>
    <x v="3"/>
    <x v="0"/>
    <n v="871.22"/>
    <x v="1124"/>
    <n v="118.8"/>
    <n v="0.12"/>
    <x v="1"/>
    <n v="1"/>
    <x v="2"/>
  </r>
  <r>
    <d v="2005-02-19T00:00:00"/>
    <x v="2"/>
    <x v="3"/>
    <x v="1"/>
    <x v="3"/>
    <n v="3523.01"/>
    <x v="1125"/>
    <n v="5998.64"/>
    <n v="0.63"/>
    <x v="0"/>
    <n v="2"/>
    <x v="1"/>
  </r>
  <r>
    <d v="2005-01-14T00:00:00"/>
    <x v="5"/>
    <x v="1"/>
    <x v="1"/>
    <x v="2"/>
    <n v="2876.21"/>
    <x v="1126"/>
    <n v="3812.65"/>
    <n v="0.56999999999999995"/>
    <x v="0"/>
    <n v="1"/>
    <x v="2"/>
  </r>
  <r>
    <d v="2004-10-28T00:00:00"/>
    <x v="3"/>
    <x v="3"/>
    <x v="2"/>
    <x v="1"/>
    <n v="1701.03"/>
    <x v="1127"/>
    <n v="118.25"/>
    <n v="6.5000000000000002E-2"/>
    <x v="2"/>
    <n v="10"/>
    <x v="0"/>
  </r>
  <r>
    <d v="2005-08-24T00:00:00"/>
    <x v="0"/>
    <x v="0"/>
    <x v="0"/>
    <x v="3"/>
    <n v="4633.1400000000003"/>
    <x v="1128"/>
    <n v="3355.04"/>
    <n v="0.42"/>
    <x v="0"/>
    <n v="8"/>
    <x v="10"/>
  </r>
  <r>
    <d v="2005-03-21T00:00:00"/>
    <x v="1"/>
    <x v="1"/>
    <x v="1"/>
    <x v="3"/>
    <n v="2729.76"/>
    <x v="1129"/>
    <n v="4647.9799999999996"/>
    <n v="0.63"/>
    <x v="0"/>
    <n v="3"/>
    <x v="3"/>
  </r>
  <r>
    <d v="2005-07-28T00:00:00"/>
    <x v="5"/>
    <x v="3"/>
    <x v="3"/>
    <x v="3"/>
    <n v="500.22"/>
    <x v="1130"/>
    <n v="68.209999999999994"/>
    <n v="0.12"/>
    <x v="0"/>
    <n v="7"/>
    <x v="9"/>
  </r>
  <r>
    <d v="2006-04-09T00:00:00"/>
    <x v="0"/>
    <x v="1"/>
    <x v="2"/>
    <x v="2"/>
    <n v="2647.43"/>
    <x v="1131"/>
    <n v="1917.11"/>
    <n v="0.42"/>
    <x v="1"/>
    <n v="4"/>
    <x v="8"/>
  </r>
  <r>
    <d v="2005-05-14T00:00:00"/>
    <x v="4"/>
    <x v="0"/>
    <x v="3"/>
    <x v="2"/>
    <n v="4811.76"/>
    <x v="1132"/>
    <n v="3484.37"/>
    <n v="0.42"/>
    <x v="0"/>
    <n v="5"/>
    <x v="7"/>
  </r>
  <r>
    <d v="2005-11-09T00:00:00"/>
    <x v="5"/>
    <x v="4"/>
    <x v="3"/>
    <x v="1"/>
    <n v="3090.4"/>
    <x v="1133"/>
    <n v="2237.87"/>
    <n v="0.42"/>
    <x v="0"/>
    <n v="11"/>
    <x v="11"/>
  </r>
  <r>
    <d v="2004-09-09T00:00:00"/>
    <x v="2"/>
    <x v="4"/>
    <x v="3"/>
    <x v="0"/>
    <n v="4665.41"/>
    <x v="1134"/>
    <n v="324.33"/>
    <n v="6.5000000000000002E-2"/>
    <x v="2"/>
    <n v="9"/>
    <x v="6"/>
  </r>
  <r>
    <d v="2005-08-07T00:00:00"/>
    <x v="3"/>
    <x v="0"/>
    <x v="2"/>
    <x v="1"/>
    <n v="8482.25"/>
    <x v="1135"/>
    <n v="589.66999999999996"/>
    <n v="6.5000000000000002E-2"/>
    <x v="0"/>
    <n v="8"/>
    <x v="10"/>
  </r>
  <r>
    <d v="2004-08-31T00:00:00"/>
    <x v="0"/>
    <x v="4"/>
    <x v="0"/>
    <x v="1"/>
    <n v="2393.5500000000002"/>
    <x v="1136"/>
    <n v="1126.3699999999999"/>
    <n v="0.32"/>
    <x v="2"/>
    <n v="8"/>
    <x v="10"/>
  </r>
  <r>
    <d v="2005-06-10T00:00:00"/>
    <x v="0"/>
    <x v="0"/>
    <x v="1"/>
    <x v="2"/>
    <n v="3657.63"/>
    <x v="1137"/>
    <n v="4848.49"/>
    <n v="0.56999999999999995"/>
    <x v="0"/>
    <n v="6"/>
    <x v="5"/>
  </r>
  <r>
    <d v="2006-03-21T00:00:00"/>
    <x v="2"/>
    <x v="2"/>
    <x v="2"/>
    <x v="1"/>
    <n v="4823.6899999999996"/>
    <x v="1138"/>
    <n v="3946.65"/>
    <n v="0.45"/>
    <x v="1"/>
    <n v="3"/>
    <x v="3"/>
  </r>
  <r>
    <d v="2006-02-01T00:00:00"/>
    <x v="1"/>
    <x v="3"/>
    <x v="3"/>
    <x v="1"/>
    <n v="4422.45"/>
    <x v="1139"/>
    <n v="2081.16"/>
    <n v="0.32"/>
    <x v="1"/>
    <n v="2"/>
    <x v="1"/>
  </r>
  <r>
    <d v="2004-07-22T00:00:00"/>
    <x v="0"/>
    <x v="4"/>
    <x v="3"/>
    <x v="0"/>
    <n v="704.27"/>
    <x v="1140"/>
    <n v="509.99"/>
    <n v="0.42"/>
    <x v="2"/>
    <n v="7"/>
    <x v="9"/>
  </r>
  <r>
    <d v="2005-09-27T00:00:00"/>
    <x v="0"/>
    <x v="3"/>
    <x v="3"/>
    <x v="2"/>
    <n v="2648.42"/>
    <x v="1141"/>
    <n v="1246.32"/>
    <n v="0.32"/>
    <x v="0"/>
    <n v="9"/>
    <x v="6"/>
  </r>
  <r>
    <d v="2005-09-17T00:00:00"/>
    <x v="2"/>
    <x v="2"/>
    <x v="2"/>
    <x v="2"/>
    <n v="1575.67"/>
    <x v="1142"/>
    <n v="1289.19"/>
    <n v="0.45"/>
    <x v="0"/>
    <n v="9"/>
    <x v="6"/>
  </r>
  <r>
    <d v="2004-08-16T00:00:00"/>
    <x v="3"/>
    <x v="4"/>
    <x v="0"/>
    <x v="1"/>
    <n v="5014.3599999999997"/>
    <x v="1143"/>
    <n v="683.78"/>
    <n v="0.12"/>
    <x v="2"/>
    <n v="8"/>
    <x v="10"/>
  </r>
  <r>
    <d v="2004-12-14T00:00:00"/>
    <x v="4"/>
    <x v="0"/>
    <x v="2"/>
    <x v="2"/>
    <n v="6245.37"/>
    <x v="1144"/>
    <n v="2939"/>
    <n v="0.32"/>
    <x v="2"/>
    <n v="12"/>
    <x v="4"/>
  </r>
  <r>
    <d v="2004-11-25T00:00:00"/>
    <x v="1"/>
    <x v="1"/>
    <x v="0"/>
    <x v="0"/>
    <n v="3066.81"/>
    <x v="1145"/>
    <n v="5221.8599999999997"/>
    <n v="0.63"/>
    <x v="2"/>
    <n v="11"/>
    <x v="11"/>
  </r>
  <r>
    <d v="2005-05-19T00:00:00"/>
    <x v="2"/>
    <x v="4"/>
    <x v="1"/>
    <x v="3"/>
    <n v="1319.85"/>
    <x v="1146"/>
    <n v="1079.8699999999999"/>
    <n v="0.45"/>
    <x v="0"/>
    <n v="5"/>
    <x v="7"/>
  </r>
  <r>
    <d v="2006-06-12T00:00:00"/>
    <x v="1"/>
    <x v="3"/>
    <x v="1"/>
    <x v="1"/>
    <n v="2292.2199999999998"/>
    <x v="1147"/>
    <n v="3038.53"/>
    <n v="0.56999999999999995"/>
    <x v="1"/>
    <n v="6"/>
    <x v="5"/>
  </r>
  <r>
    <d v="2004-07-14T00:00:00"/>
    <x v="0"/>
    <x v="2"/>
    <x v="1"/>
    <x v="1"/>
    <n v="1143.3499999999999"/>
    <x v="1148"/>
    <n v="827.94"/>
    <n v="0.42"/>
    <x v="2"/>
    <n v="7"/>
    <x v="9"/>
  </r>
  <r>
    <d v="2004-09-24T00:00:00"/>
    <x v="1"/>
    <x v="4"/>
    <x v="0"/>
    <x v="1"/>
    <n v="2872.72"/>
    <x v="1149"/>
    <n v="957.57"/>
    <n v="0.25"/>
    <x v="2"/>
    <n v="9"/>
    <x v="6"/>
  </r>
  <r>
    <d v="2005-01-23T00:00:00"/>
    <x v="5"/>
    <x v="1"/>
    <x v="3"/>
    <x v="2"/>
    <n v="4448.4399999999996"/>
    <x v="1150"/>
    <n v="2093.38"/>
    <n v="0.32"/>
    <x v="0"/>
    <n v="1"/>
    <x v="2"/>
  </r>
  <r>
    <d v="2005-01-07T00:00:00"/>
    <x v="2"/>
    <x v="1"/>
    <x v="1"/>
    <x v="2"/>
    <n v="1406.34"/>
    <x v="1151"/>
    <n v="1718.86"/>
    <n v="0.55000000000000004"/>
    <x v="0"/>
    <n v="1"/>
    <x v="2"/>
  </r>
  <r>
    <d v="2005-04-10T00:00:00"/>
    <x v="3"/>
    <x v="1"/>
    <x v="0"/>
    <x v="1"/>
    <n v="2771.37"/>
    <x v="1152"/>
    <n v="3673.68"/>
    <n v="0.56999999999999995"/>
    <x v="0"/>
    <n v="4"/>
    <x v="8"/>
  </r>
  <r>
    <d v="2004-06-30T00:00:00"/>
    <x v="4"/>
    <x v="3"/>
    <x v="0"/>
    <x v="3"/>
    <n v="5122.01"/>
    <x v="1153"/>
    <n v="356.08"/>
    <n v="6.5000000000000002E-2"/>
    <x v="2"/>
    <n v="6"/>
    <x v="5"/>
  </r>
  <r>
    <d v="2006-01-02T00:00:00"/>
    <x v="4"/>
    <x v="0"/>
    <x v="3"/>
    <x v="3"/>
    <n v="3217.34"/>
    <x v="1154"/>
    <n v="3932.31"/>
    <n v="0.55000000000000004"/>
    <x v="1"/>
    <n v="1"/>
    <x v="2"/>
  </r>
  <r>
    <d v="2005-12-20T00:00:00"/>
    <x v="3"/>
    <x v="3"/>
    <x v="3"/>
    <x v="2"/>
    <n v="5489.84"/>
    <x v="1155"/>
    <n v="748.61"/>
    <n v="0.12"/>
    <x v="0"/>
    <n v="12"/>
    <x v="4"/>
  </r>
  <r>
    <d v="2006-03-10T00:00:00"/>
    <x v="2"/>
    <x v="1"/>
    <x v="2"/>
    <x v="0"/>
    <n v="4264.1000000000004"/>
    <x v="1156"/>
    <n v="5652.41"/>
    <n v="0.56999999999999995"/>
    <x v="1"/>
    <n v="3"/>
    <x v="3"/>
  </r>
  <r>
    <d v="2004-09-30T00:00:00"/>
    <x v="4"/>
    <x v="4"/>
    <x v="2"/>
    <x v="0"/>
    <n v="500.89"/>
    <x v="1157"/>
    <n v="852.86"/>
    <n v="0.63"/>
    <x v="2"/>
    <n v="9"/>
    <x v="6"/>
  </r>
  <r>
    <d v="2005-06-18T00:00:00"/>
    <x v="2"/>
    <x v="0"/>
    <x v="1"/>
    <x v="1"/>
    <n v="175.8"/>
    <x v="1158"/>
    <n v="122.16"/>
    <n v="0.41"/>
    <x v="0"/>
    <n v="6"/>
    <x v="5"/>
  </r>
  <r>
    <d v="2004-12-29T00:00:00"/>
    <x v="5"/>
    <x v="4"/>
    <x v="0"/>
    <x v="1"/>
    <n v="2767.93"/>
    <x v="1159"/>
    <n v="377.45"/>
    <n v="0.12"/>
    <x v="2"/>
    <n v="12"/>
    <x v="4"/>
  </r>
  <r>
    <d v="2004-12-27T00:00:00"/>
    <x v="5"/>
    <x v="4"/>
    <x v="3"/>
    <x v="2"/>
    <n v="1919"/>
    <x v="1160"/>
    <n v="1333.54"/>
    <n v="0.41"/>
    <x v="2"/>
    <n v="12"/>
    <x v="4"/>
  </r>
  <r>
    <d v="2005-07-09T00:00:00"/>
    <x v="1"/>
    <x v="3"/>
    <x v="1"/>
    <x v="3"/>
    <n v="2437.02"/>
    <x v="1161"/>
    <n v="4149.51"/>
    <n v="0.63"/>
    <x v="0"/>
    <n v="7"/>
    <x v="9"/>
  </r>
  <r>
    <d v="2006-04-16T00:00:00"/>
    <x v="0"/>
    <x v="3"/>
    <x v="3"/>
    <x v="3"/>
    <n v="4473.25"/>
    <x v="1162"/>
    <n v="1491.08"/>
    <n v="0.25"/>
    <x v="1"/>
    <n v="4"/>
    <x v="8"/>
  </r>
  <r>
    <d v="2005-06-17T00:00:00"/>
    <x v="5"/>
    <x v="0"/>
    <x v="1"/>
    <x v="1"/>
    <n v="6311.32"/>
    <x v="1163"/>
    <n v="2970.03"/>
    <n v="0.32"/>
    <x v="0"/>
    <n v="6"/>
    <x v="5"/>
  </r>
  <r>
    <d v="2005-04-19T00:00:00"/>
    <x v="2"/>
    <x v="4"/>
    <x v="3"/>
    <x v="3"/>
    <n v="231.83"/>
    <x v="1164"/>
    <n v="167.87"/>
    <n v="0.42"/>
    <x v="0"/>
    <n v="4"/>
    <x v="8"/>
  </r>
  <r>
    <d v="2006-02-14T00:00:00"/>
    <x v="4"/>
    <x v="3"/>
    <x v="1"/>
    <x v="2"/>
    <n v="4800.8900000000003"/>
    <x v="1165"/>
    <n v="2259.2399999999998"/>
    <n v="0.32"/>
    <x v="1"/>
    <n v="2"/>
    <x v="1"/>
  </r>
  <r>
    <d v="2005-09-06T00:00:00"/>
    <x v="3"/>
    <x v="1"/>
    <x v="2"/>
    <x v="3"/>
    <n v="1421.21"/>
    <x v="1166"/>
    <n v="1883.94"/>
    <n v="0.56999999999999995"/>
    <x v="0"/>
    <n v="9"/>
    <x v="6"/>
  </r>
  <r>
    <d v="2005-08-10T00:00:00"/>
    <x v="2"/>
    <x v="4"/>
    <x v="2"/>
    <x v="3"/>
    <n v="944.34"/>
    <x v="1167"/>
    <n v="1607.94"/>
    <n v="0.63"/>
    <x v="0"/>
    <n v="8"/>
    <x v="10"/>
  </r>
  <r>
    <d v="2004-12-22T00:00:00"/>
    <x v="4"/>
    <x v="3"/>
    <x v="2"/>
    <x v="0"/>
    <n v="3727.46"/>
    <x v="1168"/>
    <n v="259.13"/>
    <n v="6.5000000000000002E-2"/>
    <x v="2"/>
    <n v="12"/>
    <x v="4"/>
  </r>
  <r>
    <d v="2006-04-13T00:00:00"/>
    <x v="0"/>
    <x v="1"/>
    <x v="0"/>
    <x v="2"/>
    <n v="3293.43"/>
    <x v="1169"/>
    <n v="2384.89"/>
    <n v="0.42"/>
    <x v="1"/>
    <n v="4"/>
    <x v="8"/>
  </r>
  <r>
    <d v="2005-12-23T00:00:00"/>
    <x v="2"/>
    <x v="0"/>
    <x v="1"/>
    <x v="1"/>
    <n v="1609.96"/>
    <x v="1170"/>
    <n v="1967.72"/>
    <n v="0.55000000000000004"/>
    <x v="0"/>
    <n v="12"/>
    <x v="4"/>
  </r>
  <r>
    <d v="2005-07-04T00:00:00"/>
    <x v="5"/>
    <x v="2"/>
    <x v="1"/>
    <x v="1"/>
    <n v="2910.96"/>
    <x v="1171"/>
    <n v="2107.9299999999998"/>
    <n v="0.42"/>
    <x v="0"/>
    <n v="7"/>
    <x v="9"/>
  </r>
  <r>
    <d v="2004-12-02T00:00:00"/>
    <x v="1"/>
    <x v="0"/>
    <x v="1"/>
    <x v="0"/>
    <n v="6835.97"/>
    <x v="1172"/>
    <n v="932.18"/>
    <n v="0.12"/>
    <x v="2"/>
    <n v="12"/>
    <x v="4"/>
  </r>
  <r>
    <d v="2005-01-31T00:00:00"/>
    <x v="3"/>
    <x v="4"/>
    <x v="2"/>
    <x v="0"/>
    <n v="347.12"/>
    <x v="1173"/>
    <n v="47.33"/>
    <n v="0.12"/>
    <x v="0"/>
    <n v="1"/>
    <x v="2"/>
  </r>
  <r>
    <d v="2005-07-21T00:00:00"/>
    <x v="5"/>
    <x v="4"/>
    <x v="1"/>
    <x v="1"/>
    <n v="7044.34"/>
    <x v="1174"/>
    <n v="2348.11"/>
    <n v="0.25"/>
    <x v="0"/>
    <n v="7"/>
    <x v="9"/>
  </r>
  <r>
    <d v="2005-09-06T00:00:00"/>
    <x v="5"/>
    <x v="1"/>
    <x v="0"/>
    <x v="1"/>
    <n v="4294.03"/>
    <x v="1175"/>
    <n v="2020.72"/>
    <n v="0.32"/>
    <x v="0"/>
    <n v="9"/>
    <x v="6"/>
  </r>
  <r>
    <d v="2005-12-29T00:00:00"/>
    <x v="5"/>
    <x v="1"/>
    <x v="1"/>
    <x v="1"/>
    <n v="822.27"/>
    <x v="1176"/>
    <n v="571.4"/>
    <n v="0.41"/>
    <x v="0"/>
    <n v="12"/>
    <x v="4"/>
  </r>
  <r>
    <d v="2006-06-05T00:00:00"/>
    <x v="3"/>
    <x v="3"/>
    <x v="2"/>
    <x v="0"/>
    <n v="1012.15"/>
    <x v="1177"/>
    <n v="70.36"/>
    <n v="6.5000000000000002E-2"/>
    <x v="1"/>
    <n v="6"/>
    <x v="5"/>
  </r>
  <r>
    <d v="2006-05-01T00:00:00"/>
    <x v="4"/>
    <x v="1"/>
    <x v="2"/>
    <x v="3"/>
    <n v="3750.08"/>
    <x v="1178"/>
    <n v="4971.03"/>
    <n v="0.56999999999999995"/>
    <x v="1"/>
    <n v="5"/>
    <x v="7"/>
  </r>
  <r>
    <d v="2005-10-25T00:00:00"/>
    <x v="0"/>
    <x v="0"/>
    <x v="1"/>
    <x v="2"/>
    <n v="2033.54"/>
    <x v="1179"/>
    <n v="1472.57"/>
    <n v="0.42"/>
    <x v="0"/>
    <n v="10"/>
    <x v="0"/>
  </r>
  <r>
    <d v="2006-04-14T00:00:00"/>
    <x v="2"/>
    <x v="2"/>
    <x v="2"/>
    <x v="1"/>
    <n v="343.22"/>
    <x v="1180"/>
    <n v="419.49"/>
    <n v="0.55000000000000004"/>
    <x v="1"/>
    <n v="4"/>
    <x v="8"/>
  </r>
  <r>
    <d v="2005-06-12T00:00:00"/>
    <x v="4"/>
    <x v="0"/>
    <x v="2"/>
    <x v="2"/>
    <n v="3438.09"/>
    <x v="1181"/>
    <n v="2489.65"/>
    <n v="0.42"/>
    <x v="0"/>
    <n v="6"/>
    <x v="5"/>
  </r>
  <r>
    <d v="2005-12-29T00:00:00"/>
    <x v="3"/>
    <x v="3"/>
    <x v="0"/>
    <x v="1"/>
    <n v="788.88"/>
    <x v="1182"/>
    <n v="548.20000000000005"/>
    <n v="0.41"/>
    <x v="0"/>
    <n v="12"/>
    <x v="4"/>
  </r>
  <r>
    <d v="2004-07-22T00:00:00"/>
    <x v="4"/>
    <x v="2"/>
    <x v="1"/>
    <x v="3"/>
    <n v="1926.54"/>
    <x v="1183"/>
    <n v="1338.78"/>
    <n v="0.41"/>
    <x v="2"/>
    <n v="7"/>
    <x v="9"/>
  </r>
  <r>
    <d v="2005-10-07T00:00:00"/>
    <x v="0"/>
    <x v="1"/>
    <x v="1"/>
    <x v="3"/>
    <n v="3328.69"/>
    <x v="1184"/>
    <n v="4412.4399999999996"/>
    <n v="0.56999999999999995"/>
    <x v="0"/>
    <n v="10"/>
    <x v="0"/>
  </r>
  <r>
    <d v="2004-07-09T00:00:00"/>
    <x v="0"/>
    <x v="1"/>
    <x v="0"/>
    <x v="3"/>
    <n v="1236.69"/>
    <x v="1185"/>
    <n v="1639.33"/>
    <n v="0.56999999999999995"/>
    <x v="2"/>
    <n v="7"/>
    <x v="9"/>
  </r>
  <r>
    <d v="2005-05-29T00:00:00"/>
    <x v="4"/>
    <x v="4"/>
    <x v="0"/>
    <x v="0"/>
    <n v="2052.71"/>
    <x v="1186"/>
    <n v="965.98"/>
    <n v="0.32"/>
    <x v="0"/>
    <n v="5"/>
    <x v="7"/>
  </r>
  <r>
    <d v="2004-08-09T00:00:00"/>
    <x v="0"/>
    <x v="4"/>
    <x v="3"/>
    <x v="3"/>
    <n v="1149.29"/>
    <x v="1187"/>
    <n v="1956.89"/>
    <n v="0.63"/>
    <x v="2"/>
    <n v="8"/>
    <x v="10"/>
  </r>
  <r>
    <d v="2005-02-17T00:00:00"/>
    <x v="3"/>
    <x v="2"/>
    <x v="1"/>
    <x v="2"/>
    <n v="3002.01"/>
    <x v="1188"/>
    <n v="1412.71"/>
    <n v="0.32"/>
    <x v="0"/>
    <n v="2"/>
    <x v="1"/>
  </r>
  <r>
    <d v="2004-10-14T00:00:00"/>
    <x v="3"/>
    <x v="2"/>
    <x v="3"/>
    <x v="3"/>
    <n v="2317.3000000000002"/>
    <x v="1189"/>
    <n v="1090.5"/>
    <n v="0.32"/>
    <x v="2"/>
    <n v="10"/>
    <x v="0"/>
  </r>
  <r>
    <d v="2004-08-30T00:00:00"/>
    <x v="0"/>
    <x v="0"/>
    <x v="3"/>
    <x v="3"/>
    <n v="3931.98"/>
    <x v="1190"/>
    <n v="2847.3"/>
    <n v="0.42"/>
    <x v="2"/>
    <n v="8"/>
    <x v="10"/>
  </r>
  <r>
    <d v="2006-01-05T00:00:00"/>
    <x v="1"/>
    <x v="1"/>
    <x v="1"/>
    <x v="1"/>
    <n v="3128.83"/>
    <x v="1191"/>
    <n v="217.51"/>
    <n v="6.5000000000000002E-2"/>
    <x v="1"/>
    <n v="1"/>
    <x v="2"/>
  </r>
  <r>
    <d v="2006-04-12T00:00:00"/>
    <x v="0"/>
    <x v="0"/>
    <x v="2"/>
    <x v="1"/>
    <n v="987.83"/>
    <x v="1192"/>
    <n v="1207.3499999999999"/>
    <n v="0.55000000000000004"/>
    <x v="1"/>
    <n v="4"/>
    <x v="8"/>
  </r>
  <r>
    <d v="2006-06-03T00:00:00"/>
    <x v="0"/>
    <x v="0"/>
    <x v="2"/>
    <x v="1"/>
    <n v="1291.46"/>
    <x v="1193"/>
    <n v="430.49"/>
    <n v="0.25"/>
    <x v="1"/>
    <n v="6"/>
    <x v="5"/>
  </r>
  <r>
    <d v="2005-01-06T00:00:00"/>
    <x v="3"/>
    <x v="1"/>
    <x v="0"/>
    <x v="1"/>
    <n v="3370.99"/>
    <x v="1194"/>
    <n v="2758.09"/>
    <n v="0.45"/>
    <x v="0"/>
    <n v="1"/>
    <x v="2"/>
  </r>
  <r>
    <d v="2005-05-25T00:00:00"/>
    <x v="5"/>
    <x v="4"/>
    <x v="1"/>
    <x v="0"/>
    <n v="1310.3699999999999"/>
    <x v="1195"/>
    <n v="948.89"/>
    <n v="0.42"/>
    <x v="0"/>
    <n v="5"/>
    <x v="7"/>
  </r>
  <r>
    <d v="2005-09-02T00:00:00"/>
    <x v="3"/>
    <x v="1"/>
    <x v="2"/>
    <x v="1"/>
    <n v="2929.33"/>
    <x v="1196"/>
    <n v="2396.7199999999998"/>
    <n v="0.45"/>
    <x v="0"/>
    <n v="9"/>
    <x v="6"/>
  </r>
  <r>
    <d v="2004-10-06T00:00:00"/>
    <x v="3"/>
    <x v="4"/>
    <x v="3"/>
    <x v="1"/>
    <n v="3671.58"/>
    <x v="1197"/>
    <n v="2658.73"/>
    <n v="0.42"/>
    <x v="2"/>
    <n v="10"/>
    <x v="0"/>
  </r>
  <r>
    <d v="2005-03-18T00:00:00"/>
    <x v="1"/>
    <x v="3"/>
    <x v="2"/>
    <x v="0"/>
    <n v="2600.96"/>
    <x v="1198"/>
    <n v="180.82"/>
    <n v="6.5000000000000002E-2"/>
    <x v="0"/>
    <n v="3"/>
    <x v="3"/>
  </r>
  <r>
    <d v="2005-05-24T00:00:00"/>
    <x v="0"/>
    <x v="2"/>
    <x v="3"/>
    <x v="1"/>
    <n v="3591.28"/>
    <x v="1199"/>
    <n v="1690.01"/>
    <n v="0.32"/>
    <x v="0"/>
    <n v="5"/>
    <x v="7"/>
  </r>
  <r>
    <d v="2006-03-14T00:00:00"/>
    <x v="1"/>
    <x v="3"/>
    <x v="0"/>
    <x v="2"/>
    <n v="4846.16"/>
    <x v="1200"/>
    <n v="660.84"/>
    <n v="0.12"/>
    <x v="1"/>
    <n v="3"/>
    <x v="3"/>
  </r>
  <r>
    <d v="2004-09-09T00:00:00"/>
    <x v="4"/>
    <x v="4"/>
    <x v="2"/>
    <x v="0"/>
    <n v="1724.03"/>
    <x v="1201"/>
    <n v="1248.44"/>
    <n v="0.42"/>
    <x v="2"/>
    <n v="9"/>
    <x v="6"/>
  </r>
  <r>
    <d v="2005-01-20T00:00:00"/>
    <x v="4"/>
    <x v="0"/>
    <x v="2"/>
    <x v="0"/>
    <n v="3166.77"/>
    <x v="1202"/>
    <n v="5392.07"/>
    <n v="0.63"/>
    <x v="0"/>
    <n v="1"/>
    <x v="2"/>
  </r>
  <r>
    <d v="2005-08-09T00:00:00"/>
    <x v="1"/>
    <x v="4"/>
    <x v="2"/>
    <x v="2"/>
    <n v="4070.64"/>
    <x v="1203"/>
    <n v="2828.75"/>
    <n v="0.41"/>
    <x v="0"/>
    <n v="8"/>
    <x v="10"/>
  </r>
  <r>
    <d v="2006-03-28T00:00:00"/>
    <x v="4"/>
    <x v="3"/>
    <x v="0"/>
    <x v="1"/>
    <n v="1539.53"/>
    <x v="1204"/>
    <n v="2040.78"/>
    <n v="0.56999999999999995"/>
    <x v="1"/>
    <n v="3"/>
    <x v="3"/>
  </r>
  <r>
    <d v="2005-03-13T00:00:00"/>
    <x v="2"/>
    <x v="0"/>
    <x v="1"/>
    <x v="2"/>
    <n v="1126.1500000000001"/>
    <x v="1205"/>
    <n v="1492.81"/>
    <n v="0.56999999999999995"/>
    <x v="0"/>
    <n v="3"/>
    <x v="3"/>
  </r>
  <r>
    <d v="2004-10-02T00:00:00"/>
    <x v="0"/>
    <x v="4"/>
    <x v="2"/>
    <x v="1"/>
    <n v="7266.91"/>
    <x v="1206"/>
    <n v="505.19"/>
    <n v="6.5000000000000002E-2"/>
    <x v="2"/>
    <n v="10"/>
    <x v="0"/>
  </r>
  <r>
    <d v="2005-09-20T00:00:00"/>
    <x v="3"/>
    <x v="1"/>
    <x v="0"/>
    <x v="0"/>
    <n v="1458.19"/>
    <x v="1207"/>
    <n v="101.37"/>
    <n v="6.5000000000000002E-2"/>
    <x v="0"/>
    <n v="9"/>
    <x v="6"/>
  </r>
  <r>
    <d v="2006-02-11T00:00:00"/>
    <x v="0"/>
    <x v="1"/>
    <x v="2"/>
    <x v="0"/>
    <n v="4972.22"/>
    <x v="1208"/>
    <n v="4068.18"/>
    <n v="0.45"/>
    <x v="1"/>
    <n v="2"/>
    <x v="1"/>
  </r>
  <r>
    <d v="2006-02-06T00:00:00"/>
    <x v="0"/>
    <x v="4"/>
    <x v="1"/>
    <x v="2"/>
    <n v="3446.42"/>
    <x v="1209"/>
    <n v="4568.5200000000004"/>
    <n v="0.56999999999999995"/>
    <x v="1"/>
    <n v="2"/>
    <x v="1"/>
  </r>
  <r>
    <d v="2004-09-10T00:00:00"/>
    <x v="5"/>
    <x v="2"/>
    <x v="3"/>
    <x v="0"/>
    <n v="2996.14"/>
    <x v="1210"/>
    <n v="998.71"/>
    <n v="0.25"/>
    <x v="2"/>
    <n v="9"/>
    <x v="6"/>
  </r>
  <r>
    <d v="2004-10-03T00:00:00"/>
    <x v="2"/>
    <x v="0"/>
    <x v="0"/>
    <x v="3"/>
    <n v="387.57"/>
    <x v="1211"/>
    <n v="269.33"/>
    <n v="0.41"/>
    <x v="2"/>
    <n v="10"/>
    <x v="0"/>
  </r>
  <r>
    <d v="2005-06-13T00:00:00"/>
    <x v="1"/>
    <x v="1"/>
    <x v="0"/>
    <x v="3"/>
    <n v="5643.75"/>
    <x v="1212"/>
    <n v="3921.92"/>
    <n v="0.41"/>
    <x v="0"/>
    <n v="6"/>
    <x v="5"/>
  </r>
  <r>
    <d v="2005-07-01T00:00:00"/>
    <x v="5"/>
    <x v="2"/>
    <x v="2"/>
    <x v="2"/>
    <n v="2807.01"/>
    <x v="1213"/>
    <n v="3430.79"/>
    <n v="0.55000000000000004"/>
    <x v="0"/>
    <n v="7"/>
    <x v="9"/>
  </r>
  <r>
    <d v="2004-08-10T00:00:00"/>
    <x v="3"/>
    <x v="3"/>
    <x v="2"/>
    <x v="2"/>
    <n v="169.15"/>
    <x v="1214"/>
    <n v="138.4"/>
    <n v="0.45"/>
    <x v="2"/>
    <n v="8"/>
    <x v="10"/>
  </r>
  <r>
    <d v="2005-04-22T00:00:00"/>
    <x v="3"/>
    <x v="1"/>
    <x v="1"/>
    <x v="2"/>
    <n v="275.7"/>
    <x v="1215"/>
    <n v="129.74"/>
    <n v="0.32"/>
    <x v="0"/>
    <n v="4"/>
    <x v="8"/>
  </r>
  <r>
    <d v="2005-10-06T00:00:00"/>
    <x v="1"/>
    <x v="2"/>
    <x v="2"/>
    <x v="2"/>
    <n v="5754.39"/>
    <x v="1216"/>
    <n v="400.04"/>
    <n v="6.5000000000000002E-2"/>
    <x v="0"/>
    <n v="10"/>
    <x v="0"/>
  </r>
  <r>
    <d v="2004-09-23T00:00:00"/>
    <x v="1"/>
    <x v="2"/>
    <x v="1"/>
    <x v="2"/>
    <n v="3280.35"/>
    <x v="1217"/>
    <n v="2375.4299999999998"/>
    <n v="0.42"/>
    <x v="2"/>
    <n v="9"/>
    <x v="6"/>
  </r>
  <r>
    <d v="2005-10-30T00:00:00"/>
    <x v="4"/>
    <x v="2"/>
    <x v="1"/>
    <x v="0"/>
    <n v="4456.6000000000004"/>
    <x v="1218"/>
    <n v="3227.2"/>
    <n v="0.42"/>
    <x v="0"/>
    <n v="10"/>
    <x v="0"/>
  </r>
  <r>
    <d v="2006-04-05T00:00:00"/>
    <x v="0"/>
    <x v="4"/>
    <x v="3"/>
    <x v="2"/>
    <n v="5043.59"/>
    <x v="1219"/>
    <n v="4126.58"/>
    <n v="0.45"/>
    <x v="1"/>
    <n v="4"/>
    <x v="8"/>
  </r>
  <r>
    <d v="2005-12-09T00:00:00"/>
    <x v="2"/>
    <x v="3"/>
    <x v="0"/>
    <x v="2"/>
    <n v="6544.01"/>
    <x v="1220"/>
    <n v="892.37"/>
    <n v="0.12"/>
    <x v="0"/>
    <n v="12"/>
    <x v="4"/>
  </r>
  <r>
    <d v="2004-06-24T00:00:00"/>
    <x v="4"/>
    <x v="0"/>
    <x v="0"/>
    <x v="0"/>
    <n v="2079.87"/>
    <x v="1221"/>
    <n v="2542.06"/>
    <n v="0.55000000000000004"/>
    <x v="2"/>
    <n v="6"/>
    <x v="5"/>
  </r>
  <r>
    <d v="2006-04-05T00:00:00"/>
    <x v="0"/>
    <x v="4"/>
    <x v="1"/>
    <x v="0"/>
    <n v="1451.01"/>
    <x v="1222"/>
    <n v="2470.63"/>
    <n v="0.63"/>
    <x v="1"/>
    <n v="4"/>
    <x v="8"/>
  </r>
  <r>
    <d v="2006-01-19T00:00:00"/>
    <x v="5"/>
    <x v="1"/>
    <x v="3"/>
    <x v="1"/>
    <n v="1247.74"/>
    <x v="1223"/>
    <n v="2124.54"/>
    <n v="0.63"/>
    <x v="1"/>
    <n v="1"/>
    <x v="2"/>
  </r>
  <r>
    <d v="2004-08-28T00:00:00"/>
    <x v="1"/>
    <x v="0"/>
    <x v="3"/>
    <x v="3"/>
    <n v="964.14"/>
    <x v="1224"/>
    <n v="453.72"/>
    <n v="0.32"/>
    <x v="2"/>
    <n v="8"/>
    <x v="10"/>
  </r>
  <r>
    <d v="2005-02-26T00:00:00"/>
    <x v="4"/>
    <x v="2"/>
    <x v="3"/>
    <x v="0"/>
    <n v="1410.76"/>
    <x v="1225"/>
    <n v="98.07"/>
    <n v="6.5000000000000002E-2"/>
    <x v="0"/>
    <n v="2"/>
    <x v="1"/>
  </r>
  <r>
    <d v="2006-05-10T00:00:00"/>
    <x v="3"/>
    <x v="1"/>
    <x v="2"/>
    <x v="1"/>
    <n v="637.45000000000005"/>
    <x v="1226"/>
    <n v="1085.3800000000001"/>
    <n v="0.63"/>
    <x v="1"/>
    <n v="5"/>
    <x v="7"/>
  </r>
  <r>
    <d v="2005-05-13T00:00:00"/>
    <x v="4"/>
    <x v="0"/>
    <x v="2"/>
    <x v="3"/>
    <n v="4431.12"/>
    <x v="1227"/>
    <n v="3208.74"/>
    <n v="0.42"/>
    <x v="0"/>
    <n v="5"/>
    <x v="7"/>
  </r>
  <r>
    <d v="2005-08-06T00:00:00"/>
    <x v="3"/>
    <x v="3"/>
    <x v="1"/>
    <x v="2"/>
    <n v="540.80999999999995"/>
    <x v="1228"/>
    <n v="391.62"/>
    <n v="0.42"/>
    <x v="0"/>
    <n v="8"/>
    <x v="10"/>
  </r>
  <r>
    <d v="2006-06-14T00:00:00"/>
    <x v="5"/>
    <x v="4"/>
    <x v="3"/>
    <x v="1"/>
    <n v="2315.4299999999998"/>
    <x v="1229"/>
    <n v="1089.6199999999999"/>
    <n v="0.32"/>
    <x v="1"/>
    <n v="6"/>
    <x v="5"/>
  </r>
  <r>
    <d v="2004-10-09T00:00:00"/>
    <x v="2"/>
    <x v="4"/>
    <x v="2"/>
    <x v="1"/>
    <n v="1935.61"/>
    <x v="1230"/>
    <n v="1583.68"/>
    <n v="0.45"/>
    <x v="2"/>
    <n v="10"/>
    <x v="0"/>
  </r>
  <r>
    <d v="2004-11-24T00:00:00"/>
    <x v="4"/>
    <x v="4"/>
    <x v="2"/>
    <x v="3"/>
    <n v="2266.0700000000002"/>
    <x v="1231"/>
    <n v="1854.06"/>
    <n v="0.45"/>
    <x v="2"/>
    <n v="11"/>
    <x v="11"/>
  </r>
  <r>
    <d v="2006-03-25T00:00:00"/>
    <x v="3"/>
    <x v="0"/>
    <x v="2"/>
    <x v="0"/>
    <n v="1044.98"/>
    <x v="1232"/>
    <n v="854.98"/>
    <n v="0.45"/>
    <x v="1"/>
    <n v="3"/>
    <x v="3"/>
  </r>
  <r>
    <d v="2004-09-10T00:00:00"/>
    <x v="1"/>
    <x v="1"/>
    <x v="1"/>
    <x v="0"/>
    <n v="6481.88"/>
    <x v="1233"/>
    <n v="2160.62"/>
    <n v="0.25"/>
    <x v="2"/>
    <n v="9"/>
    <x v="6"/>
  </r>
  <r>
    <d v="2004-09-29T00:00:00"/>
    <x v="2"/>
    <x v="4"/>
    <x v="2"/>
    <x v="3"/>
    <n v="4854.3999999999996"/>
    <x v="1234"/>
    <n v="3515.26"/>
    <n v="0.42"/>
    <x v="2"/>
    <n v="9"/>
    <x v="6"/>
  </r>
  <r>
    <d v="2005-04-05T00:00:00"/>
    <x v="5"/>
    <x v="2"/>
    <x v="3"/>
    <x v="2"/>
    <n v="789.07"/>
    <x v="1235"/>
    <n v="107.6"/>
    <n v="0.12"/>
    <x v="0"/>
    <n v="4"/>
    <x v="8"/>
  </r>
  <r>
    <d v="2005-12-04T00:00:00"/>
    <x v="5"/>
    <x v="4"/>
    <x v="0"/>
    <x v="2"/>
    <n v="5053.6099999999997"/>
    <x v="1236"/>
    <n v="351.32"/>
    <n v="6.5000000000000002E-2"/>
    <x v="0"/>
    <n v="12"/>
    <x v="4"/>
  </r>
  <r>
    <d v="2006-02-23T00:00:00"/>
    <x v="2"/>
    <x v="3"/>
    <x v="1"/>
    <x v="2"/>
    <n v="3682.63"/>
    <x v="1237"/>
    <n v="2666.73"/>
    <n v="0.42"/>
    <x v="1"/>
    <n v="2"/>
    <x v="1"/>
  </r>
  <r>
    <d v="2006-02-17T00:00:00"/>
    <x v="3"/>
    <x v="4"/>
    <x v="2"/>
    <x v="3"/>
    <n v="2865.12"/>
    <x v="1238"/>
    <n v="3797.96"/>
    <n v="0.56999999999999995"/>
    <x v="1"/>
    <n v="2"/>
    <x v="1"/>
  </r>
  <r>
    <d v="2005-11-14T00:00:00"/>
    <x v="5"/>
    <x v="1"/>
    <x v="0"/>
    <x v="1"/>
    <n v="4520.3900000000003"/>
    <x v="1239"/>
    <n v="2127.2399999999998"/>
    <n v="0.32"/>
    <x v="0"/>
    <n v="11"/>
    <x v="11"/>
  </r>
  <r>
    <d v="2005-08-17T00:00:00"/>
    <x v="2"/>
    <x v="0"/>
    <x v="1"/>
    <x v="0"/>
    <n v="3738.97"/>
    <x v="1240"/>
    <n v="4569.8500000000004"/>
    <n v="0.55000000000000004"/>
    <x v="0"/>
    <n v="8"/>
    <x v="10"/>
  </r>
  <r>
    <d v="2004-10-31T00:00:00"/>
    <x v="0"/>
    <x v="2"/>
    <x v="3"/>
    <x v="3"/>
    <n v="7841.64"/>
    <x v="1241"/>
    <n v="1069.32"/>
    <n v="0.12"/>
    <x v="2"/>
    <n v="10"/>
    <x v="0"/>
  </r>
  <r>
    <d v="2006-04-23T00:00:00"/>
    <x v="1"/>
    <x v="1"/>
    <x v="1"/>
    <x v="0"/>
    <n v="1673.64"/>
    <x v="1242"/>
    <n v="2849.7"/>
    <n v="0.63"/>
    <x v="1"/>
    <n v="4"/>
    <x v="8"/>
  </r>
  <r>
    <d v="2005-07-13T00:00:00"/>
    <x v="1"/>
    <x v="3"/>
    <x v="2"/>
    <x v="3"/>
    <n v="6877.98"/>
    <x v="1243"/>
    <n v="2292.66"/>
    <n v="0.25"/>
    <x v="0"/>
    <n v="7"/>
    <x v="9"/>
  </r>
  <r>
    <d v="2005-05-19T00:00:00"/>
    <x v="2"/>
    <x v="0"/>
    <x v="1"/>
    <x v="2"/>
    <n v="348.73"/>
    <x v="1244"/>
    <n v="426.23"/>
    <n v="0.55000000000000004"/>
    <x v="0"/>
    <n v="5"/>
    <x v="7"/>
  </r>
  <r>
    <d v="2004-07-19T00:00:00"/>
    <x v="1"/>
    <x v="3"/>
    <x v="1"/>
    <x v="3"/>
    <n v="826.73"/>
    <x v="1245"/>
    <n v="676.41"/>
    <n v="0.45"/>
    <x v="2"/>
    <n v="7"/>
    <x v="9"/>
  </r>
  <r>
    <d v="2006-05-18T00:00:00"/>
    <x v="2"/>
    <x v="2"/>
    <x v="1"/>
    <x v="0"/>
    <n v="406.25"/>
    <x v="1246"/>
    <n v="332.38"/>
    <n v="0.45"/>
    <x v="1"/>
    <n v="5"/>
    <x v="7"/>
  </r>
  <r>
    <d v="2006-05-22T00:00:00"/>
    <x v="3"/>
    <x v="4"/>
    <x v="3"/>
    <x v="3"/>
    <n v="3963.81"/>
    <x v="1247"/>
    <n v="4844.6499999999996"/>
    <n v="0.55000000000000004"/>
    <x v="1"/>
    <n v="5"/>
    <x v="7"/>
  </r>
  <r>
    <d v="2005-04-25T00:00:00"/>
    <x v="5"/>
    <x v="0"/>
    <x v="3"/>
    <x v="3"/>
    <n v="3392.06"/>
    <x v="1248"/>
    <n v="2775.33"/>
    <n v="0.45"/>
    <x v="0"/>
    <n v="4"/>
    <x v="8"/>
  </r>
  <r>
    <d v="2004-12-15T00:00:00"/>
    <x v="4"/>
    <x v="1"/>
    <x v="0"/>
    <x v="2"/>
    <n v="6418.88"/>
    <x v="1249"/>
    <n v="446.23"/>
    <n v="6.5000000000000002E-2"/>
    <x v="2"/>
    <n v="12"/>
    <x v="4"/>
  </r>
  <r>
    <d v="2005-05-10T00:00:00"/>
    <x v="1"/>
    <x v="3"/>
    <x v="2"/>
    <x v="1"/>
    <n v="2553.4299999999998"/>
    <x v="1250"/>
    <n v="1201.6099999999999"/>
    <n v="0.32"/>
    <x v="0"/>
    <n v="5"/>
    <x v="7"/>
  </r>
  <r>
    <d v="2004-11-19T00:00:00"/>
    <x v="4"/>
    <x v="2"/>
    <x v="2"/>
    <x v="1"/>
    <n v="4507.0600000000004"/>
    <x v="1251"/>
    <n v="313.33"/>
    <n v="6.5000000000000002E-2"/>
    <x v="2"/>
    <n v="11"/>
    <x v="11"/>
  </r>
  <r>
    <d v="2005-12-17T00:00:00"/>
    <x v="2"/>
    <x v="3"/>
    <x v="1"/>
    <x v="3"/>
    <n v="3823.42"/>
    <x v="1252"/>
    <n v="2656.96"/>
    <n v="0.41"/>
    <x v="0"/>
    <n v="12"/>
    <x v="4"/>
  </r>
  <r>
    <d v="2005-01-25T00:00:00"/>
    <x v="5"/>
    <x v="0"/>
    <x v="1"/>
    <x v="2"/>
    <n v="3148.53"/>
    <x v="1253"/>
    <n v="429.34"/>
    <n v="0.12"/>
    <x v="0"/>
    <n v="1"/>
    <x v="2"/>
  </r>
  <r>
    <d v="2006-01-27T00:00:00"/>
    <x v="3"/>
    <x v="4"/>
    <x v="1"/>
    <x v="1"/>
    <n v="6011.98"/>
    <x v="1254"/>
    <n v="417.95"/>
    <n v="6.5000000000000002E-2"/>
    <x v="1"/>
    <n v="1"/>
    <x v="2"/>
  </r>
  <r>
    <d v="2004-07-08T00:00:00"/>
    <x v="0"/>
    <x v="2"/>
    <x v="2"/>
    <x v="1"/>
    <n v="1676.63"/>
    <x v="1255"/>
    <n v="228.63"/>
    <n v="0.12"/>
    <x v="2"/>
    <n v="7"/>
    <x v="9"/>
  </r>
  <r>
    <d v="2006-04-04T00:00:00"/>
    <x v="4"/>
    <x v="0"/>
    <x v="2"/>
    <x v="3"/>
    <n v="1961.48"/>
    <x v="1256"/>
    <n v="653.83000000000004"/>
    <n v="0.25"/>
    <x v="1"/>
    <n v="4"/>
    <x v="8"/>
  </r>
  <r>
    <d v="2005-12-27T00:00:00"/>
    <x v="5"/>
    <x v="2"/>
    <x v="3"/>
    <x v="3"/>
    <n v="2325.65"/>
    <x v="1257"/>
    <n v="2842.46"/>
    <n v="0.55000000000000004"/>
    <x v="0"/>
    <n v="12"/>
    <x v="4"/>
  </r>
  <r>
    <d v="2005-03-15T00:00:00"/>
    <x v="4"/>
    <x v="0"/>
    <x v="2"/>
    <x v="2"/>
    <n v="1115.8800000000001"/>
    <x v="1258"/>
    <n v="152.16999999999999"/>
    <n v="0.12"/>
    <x v="0"/>
    <n v="3"/>
    <x v="3"/>
  </r>
  <r>
    <d v="2005-12-20T00:00:00"/>
    <x v="3"/>
    <x v="1"/>
    <x v="2"/>
    <x v="1"/>
    <n v="608.66"/>
    <x v="1259"/>
    <n v="440.76"/>
    <n v="0.42"/>
    <x v="0"/>
    <n v="12"/>
    <x v="4"/>
  </r>
  <r>
    <d v="2005-10-07T00:00:00"/>
    <x v="4"/>
    <x v="0"/>
    <x v="0"/>
    <x v="0"/>
    <n v="3464.64"/>
    <x v="1260"/>
    <n v="2834.7"/>
    <n v="0.45"/>
    <x v="0"/>
    <n v="10"/>
    <x v="0"/>
  </r>
  <r>
    <d v="2004-07-19T00:00:00"/>
    <x v="3"/>
    <x v="1"/>
    <x v="0"/>
    <x v="1"/>
    <n v="1832.05"/>
    <x v="1261"/>
    <n v="1273.1199999999999"/>
    <n v="0.41"/>
    <x v="2"/>
    <n v="7"/>
    <x v="9"/>
  </r>
  <r>
    <d v="2005-01-13T00:00:00"/>
    <x v="3"/>
    <x v="3"/>
    <x v="3"/>
    <x v="1"/>
    <n v="2235.21"/>
    <x v="1262"/>
    <n v="745.07"/>
    <n v="0.25"/>
    <x v="0"/>
    <n v="1"/>
    <x v="2"/>
  </r>
  <r>
    <d v="2004-08-30T00:00:00"/>
    <x v="4"/>
    <x v="4"/>
    <x v="3"/>
    <x v="0"/>
    <n v="3131.61"/>
    <x v="1263"/>
    <n v="4151.21"/>
    <n v="0.56999999999999995"/>
    <x v="2"/>
    <n v="8"/>
    <x v="10"/>
  </r>
  <r>
    <d v="2005-06-04T00:00:00"/>
    <x v="0"/>
    <x v="1"/>
    <x v="1"/>
    <x v="2"/>
    <n v="7251.87"/>
    <x v="1264"/>
    <n v="988.89"/>
    <n v="0.12"/>
    <x v="0"/>
    <n v="6"/>
    <x v="5"/>
  </r>
  <r>
    <d v="2005-12-29T00:00:00"/>
    <x v="0"/>
    <x v="1"/>
    <x v="2"/>
    <x v="2"/>
    <n v="3132.68"/>
    <x v="1265"/>
    <n v="4152.63"/>
    <n v="0.56999999999999995"/>
    <x v="0"/>
    <n v="12"/>
    <x v="4"/>
  </r>
  <r>
    <d v="2005-10-08T00:00:00"/>
    <x v="3"/>
    <x v="1"/>
    <x v="3"/>
    <x v="0"/>
    <n v="2840.89"/>
    <x v="1266"/>
    <n v="1974.17"/>
    <n v="0.41"/>
    <x v="0"/>
    <n v="10"/>
    <x v="0"/>
  </r>
  <r>
    <d v="2004-11-27T00:00:00"/>
    <x v="0"/>
    <x v="2"/>
    <x v="3"/>
    <x v="3"/>
    <n v="4085.26"/>
    <x v="1267"/>
    <n v="284"/>
    <n v="6.5000000000000002E-2"/>
    <x v="2"/>
    <n v="11"/>
    <x v="11"/>
  </r>
  <r>
    <d v="2004-10-30T00:00:00"/>
    <x v="1"/>
    <x v="3"/>
    <x v="0"/>
    <x v="3"/>
    <n v="4481.1400000000003"/>
    <x v="1268"/>
    <n v="5476.95"/>
    <n v="0.55000000000000004"/>
    <x v="2"/>
    <n v="10"/>
    <x v="0"/>
  </r>
  <r>
    <d v="2006-06-12T00:00:00"/>
    <x v="0"/>
    <x v="4"/>
    <x v="3"/>
    <x v="2"/>
    <n v="2964.48"/>
    <x v="1269"/>
    <n v="2425.48"/>
    <n v="0.45"/>
    <x v="1"/>
    <n v="6"/>
    <x v="5"/>
  </r>
  <r>
    <d v="2005-02-25T00:00:00"/>
    <x v="1"/>
    <x v="1"/>
    <x v="1"/>
    <x v="2"/>
    <n v="4688.1899999999996"/>
    <x v="1270"/>
    <n v="3394.9"/>
    <n v="0.42"/>
    <x v="0"/>
    <n v="2"/>
    <x v="1"/>
  </r>
  <r>
    <d v="2005-05-15T00:00:00"/>
    <x v="2"/>
    <x v="2"/>
    <x v="1"/>
    <x v="3"/>
    <n v="2720.76"/>
    <x v="1271"/>
    <n v="189.14"/>
    <n v="6.5000000000000002E-2"/>
    <x v="0"/>
    <n v="5"/>
    <x v="7"/>
  </r>
  <r>
    <d v="2005-06-28T00:00:00"/>
    <x v="5"/>
    <x v="4"/>
    <x v="3"/>
    <x v="3"/>
    <n v="351.82"/>
    <x v="1272"/>
    <n v="599.04"/>
    <n v="0.63"/>
    <x v="0"/>
    <n v="6"/>
    <x v="5"/>
  </r>
  <r>
    <d v="2005-06-10T00:00:00"/>
    <x v="5"/>
    <x v="0"/>
    <x v="1"/>
    <x v="0"/>
    <n v="1619.62"/>
    <x v="1273"/>
    <n v="539.87"/>
    <n v="0.25"/>
    <x v="0"/>
    <n v="6"/>
    <x v="5"/>
  </r>
  <r>
    <d v="2006-02-24T00:00:00"/>
    <x v="5"/>
    <x v="1"/>
    <x v="2"/>
    <x v="2"/>
    <n v="5772.34"/>
    <x v="1274"/>
    <n v="401.29"/>
    <n v="6.5000000000000002E-2"/>
    <x v="1"/>
    <n v="2"/>
    <x v="1"/>
  </r>
  <r>
    <d v="2004-11-10T00:00:00"/>
    <x v="1"/>
    <x v="1"/>
    <x v="2"/>
    <x v="2"/>
    <n v="3426.73"/>
    <x v="1275"/>
    <n v="2803.69"/>
    <n v="0.45"/>
    <x v="2"/>
    <n v="11"/>
    <x v="11"/>
  </r>
  <r>
    <d v="2004-08-22T00:00:00"/>
    <x v="0"/>
    <x v="1"/>
    <x v="2"/>
    <x v="0"/>
    <n v="3605.87"/>
    <x v="1276"/>
    <n v="2505.7800000000002"/>
    <n v="0.41"/>
    <x v="2"/>
    <n v="8"/>
    <x v="10"/>
  </r>
  <r>
    <d v="2004-11-25T00:00:00"/>
    <x v="1"/>
    <x v="0"/>
    <x v="3"/>
    <x v="0"/>
    <n v="1332.11"/>
    <x v="1277"/>
    <n v="626.88"/>
    <n v="0.32"/>
    <x v="2"/>
    <n v="11"/>
    <x v="11"/>
  </r>
  <r>
    <d v="2004-09-02T00:00:00"/>
    <x v="1"/>
    <x v="2"/>
    <x v="2"/>
    <x v="1"/>
    <n v="3978.63"/>
    <x v="1278"/>
    <n v="1872.29"/>
    <n v="0.32"/>
    <x v="2"/>
    <n v="9"/>
    <x v="6"/>
  </r>
  <r>
    <d v="2005-11-07T00:00:00"/>
    <x v="1"/>
    <x v="1"/>
    <x v="2"/>
    <x v="0"/>
    <n v="5664.73"/>
    <x v="1279"/>
    <n v="393.8"/>
    <n v="6.5000000000000002E-2"/>
    <x v="0"/>
    <n v="11"/>
    <x v="11"/>
  </r>
  <r>
    <d v="2004-08-25T00:00:00"/>
    <x v="4"/>
    <x v="2"/>
    <x v="1"/>
    <x v="2"/>
    <n v="666.74"/>
    <x v="1280"/>
    <n v="482.82"/>
    <n v="0.42"/>
    <x v="2"/>
    <n v="8"/>
    <x v="10"/>
  </r>
  <r>
    <d v="2005-05-09T00:00:00"/>
    <x v="0"/>
    <x v="4"/>
    <x v="2"/>
    <x v="1"/>
    <n v="1059.31"/>
    <x v="1281"/>
    <n v="1803.7"/>
    <n v="0.63"/>
    <x v="0"/>
    <n v="5"/>
    <x v="7"/>
  </r>
  <r>
    <d v="2005-10-15T00:00:00"/>
    <x v="4"/>
    <x v="2"/>
    <x v="0"/>
    <x v="1"/>
    <n v="1227.1600000000001"/>
    <x v="1282"/>
    <n v="167.34"/>
    <n v="0.12"/>
    <x v="0"/>
    <n v="10"/>
    <x v="0"/>
  </r>
  <r>
    <d v="2005-03-26T00:00:00"/>
    <x v="3"/>
    <x v="0"/>
    <x v="1"/>
    <x v="3"/>
    <n v="720.08"/>
    <x v="1283"/>
    <n v="954.52"/>
    <n v="0.56999999999999995"/>
    <x v="0"/>
    <n v="3"/>
    <x v="3"/>
  </r>
  <r>
    <d v="2006-01-05T00:00:00"/>
    <x v="1"/>
    <x v="0"/>
    <x v="0"/>
    <x v="2"/>
    <n v="5672.01"/>
    <x v="1284"/>
    <n v="3941.57"/>
    <n v="0.41"/>
    <x v="1"/>
    <n v="1"/>
    <x v="2"/>
  </r>
  <r>
    <d v="2006-01-04T00:00:00"/>
    <x v="0"/>
    <x v="3"/>
    <x v="0"/>
    <x v="3"/>
    <n v="3082.17"/>
    <x v="1285"/>
    <n v="4085.67"/>
    <n v="0.56999999999999995"/>
    <x v="1"/>
    <n v="1"/>
    <x v="2"/>
  </r>
  <r>
    <d v="2004-11-23T00:00:00"/>
    <x v="1"/>
    <x v="0"/>
    <x v="2"/>
    <x v="3"/>
    <n v="4699.1099999999997"/>
    <x v="1286"/>
    <n v="640.79"/>
    <n v="0.12"/>
    <x v="2"/>
    <n v="11"/>
    <x v="11"/>
  </r>
  <r>
    <d v="2006-05-27T00:00:00"/>
    <x v="4"/>
    <x v="3"/>
    <x v="0"/>
    <x v="2"/>
    <n v="5422.66"/>
    <x v="1287"/>
    <n v="1807.56"/>
    <n v="0.25"/>
    <x v="1"/>
    <n v="5"/>
    <x v="7"/>
  </r>
  <r>
    <d v="2006-03-17T00:00:00"/>
    <x v="0"/>
    <x v="2"/>
    <x v="3"/>
    <x v="0"/>
    <n v="6362.74"/>
    <x v="1288"/>
    <n v="442.33"/>
    <n v="6.5000000000000002E-2"/>
    <x v="1"/>
    <n v="3"/>
    <x v="3"/>
  </r>
  <r>
    <d v="2005-12-05T00:00:00"/>
    <x v="3"/>
    <x v="2"/>
    <x v="1"/>
    <x v="2"/>
    <n v="1323.12"/>
    <x v="1289"/>
    <n v="919.45"/>
    <n v="0.41"/>
    <x v="0"/>
    <n v="12"/>
    <x v="4"/>
  </r>
  <r>
    <d v="2006-05-26T00:00:00"/>
    <x v="3"/>
    <x v="2"/>
    <x v="2"/>
    <x v="2"/>
    <n v="194.82"/>
    <x v="1290"/>
    <n v="159.4"/>
    <n v="0.45"/>
    <x v="1"/>
    <n v="5"/>
    <x v="7"/>
  </r>
  <r>
    <d v="2005-10-13T00:00:00"/>
    <x v="4"/>
    <x v="4"/>
    <x v="3"/>
    <x v="0"/>
    <n v="2704.59"/>
    <x v="1291"/>
    <n v="368.81"/>
    <n v="0.12"/>
    <x v="0"/>
    <n v="10"/>
    <x v="0"/>
  </r>
  <r>
    <d v="2005-03-29T00:00:00"/>
    <x v="5"/>
    <x v="2"/>
    <x v="1"/>
    <x v="3"/>
    <n v="4345.09"/>
    <x v="1292"/>
    <n v="3146.45"/>
    <n v="0.42"/>
    <x v="0"/>
    <n v="3"/>
    <x v="3"/>
  </r>
  <r>
    <d v="2005-03-25T00:00:00"/>
    <x v="4"/>
    <x v="1"/>
    <x v="0"/>
    <x v="3"/>
    <n v="2360.19"/>
    <x v="1293"/>
    <n v="786.73"/>
    <n v="0.25"/>
    <x v="0"/>
    <n v="3"/>
    <x v="3"/>
  </r>
  <r>
    <d v="2006-02-13T00:00:00"/>
    <x v="2"/>
    <x v="2"/>
    <x v="2"/>
    <x v="3"/>
    <n v="6647.98"/>
    <x v="1294"/>
    <n v="2215.9899999999998"/>
    <n v="0.25"/>
    <x v="1"/>
    <n v="2"/>
    <x v="1"/>
  </r>
  <r>
    <d v="2006-03-14T00:00:00"/>
    <x v="2"/>
    <x v="0"/>
    <x v="0"/>
    <x v="0"/>
    <n v="1804.02"/>
    <x v="1295"/>
    <n v="125.41"/>
    <n v="6.5000000000000002E-2"/>
    <x v="1"/>
    <n v="3"/>
    <x v="3"/>
  </r>
  <r>
    <d v="2005-07-26T00:00:00"/>
    <x v="4"/>
    <x v="0"/>
    <x v="2"/>
    <x v="1"/>
    <n v="749.5"/>
    <x v="1296"/>
    <n v="542.75"/>
    <n v="0.42"/>
    <x v="0"/>
    <n v="7"/>
    <x v="9"/>
  </r>
  <r>
    <d v="2006-03-30T00:00:00"/>
    <x v="3"/>
    <x v="2"/>
    <x v="1"/>
    <x v="0"/>
    <n v="3133.12"/>
    <x v="1297"/>
    <n v="3829.38"/>
    <n v="0.55000000000000004"/>
    <x v="1"/>
    <n v="3"/>
    <x v="3"/>
  </r>
  <r>
    <d v="2005-07-22T00:00:00"/>
    <x v="2"/>
    <x v="1"/>
    <x v="0"/>
    <x v="3"/>
    <n v="3982.41"/>
    <x v="1298"/>
    <n v="5279.02"/>
    <n v="0.56999999999999995"/>
    <x v="0"/>
    <n v="7"/>
    <x v="9"/>
  </r>
  <r>
    <d v="2004-10-09T00:00:00"/>
    <x v="2"/>
    <x v="3"/>
    <x v="0"/>
    <x v="0"/>
    <n v="3347.67"/>
    <x v="1299"/>
    <n v="4091.59"/>
    <n v="0.55000000000000004"/>
    <x v="2"/>
    <n v="10"/>
    <x v="0"/>
  </r>
  <r>
    <d v="2006-01-20T00:00:00"/>
    <x v="5"/>
    <x v="0"/>
    <x v="1"/>
    <x v="1"/>
    <n v="5095.41"/>
    <x v="1300"/>
    <n v="1698.47"/>
    <n v="0.25"/>
    <x v="1"/>
    <n v="1"/>
    <x v="2"/>
  </r>
  <r>
    <d v="2005-01-02T00:00:00"/>
    <x v="2"/>
    <x v="3"/>
    <x v="3"/>
    <x v="0"/>
    <n v="4158.2"/>
    <x v="1301"/>
    <n v="1386.06"/>
    <n v="0.25"/>
    <x v="0"/>
    <n v="1"/>
    <x v="2"/>
  </r>
  <r>
    <d v="2004-12-24T00:00:00"/>
    <x v="0"/>
    <x v="0"/>
    <x v="2"/>
    <x v="2"/>
    <n v="322.38"/>
    <x v="1302"/>
    <n v="233.44"/>
    <n v="0.42"/>
    <x v="2"/>
    <n v="12"/>
    <x v="4"/>
  </r>
  <r>
    <d v="2006-04-14T00:00:00"/>
    <x v="3"/>
    <x v="3"/>
    <x v="2"/>
    <x v="1"/>
    <n v="189.83"/>
    <x v="1303"/>
    <n v="13.2"/>
    <n v="6.5000000000000002E-2"/>
    <x v="1"/>
    <n v="4"/>
    <x v="8"/>
  </r>
  <r>
    <d v="2006-05-10T00:00:00"/>
    <x v="1"/>
    <x v="0"/>
    <x v="3"/>
    <x v="1"/>
    <n v="4030.73"/>
    <x v="1304"/>
    <n v="3297.87"/>
    <n v="0.45"/>
    <x v="1"/>
    <n v="5"/>
    <x v="7"/>
  </r>
  <r>
    <d v="2004-09-09T00:00:00"/>
    <x v="1"/>
    <x v="2"/>
    <x v="1"/>
    <x v="2"/>
    <n v="9317.9699999999993"/>
    <x v="1305"/>
    <n v="647.77"/>
    <n v="6.5000000000000002E-2"/>
    <x v="2"/>
    <n v="9"/>
    <x v="6"/>
  </r>
  <r>
    <d v="2006-05-04T00:00:00"/>
    <x v="0"/>
    <x v="2"/>
    <x v="3"/>
    <x v="2"/>
    <n v="7980.08"/>
    <x v="1306"/>
    <n v="554.77"/>
    <n v="6.5000000000000002E-2"/>
    <x v="1"/>
    <n v="5"/>
    <x v="7"/>
  </r>
  <r>
    <d v="2004-07-02T00:00:00"/>
    <x v="2"/>
    <x v="3"/>
    <x v="3"/>
    <x v="2"/>
    <n v="836.18"/>
    <x v="1307"/>
    <n v="684.14"/>
    <n v="0.45"/>
    <x v="2"/>
    <n v="7"/>
    <x v="9"/>
  </r>
  <r>
    <d v="2005-12-05T00:00:00"/>
    <x v="1"/>
    <x v="1"/>
    <x v="1"/>
    <x v="3"/>
    <n v="851.62"/>
    <x v="1308"/>
    <n v="1450.06"/>
    <n v="0.63"/>
    <x v="0"/>
    <n v="12"/>
    <x v="4"/>
  </r>
  <r>
    <d v="2005-09-11T00:00:00"/>
    <x v="1"/>
    <x v="4"/>
    <x v="2"/>
    <x v="0"/>
    <n v="2715.54"/>
    <x v="1309"/>
    <n v="1966.43"/>
    <n v="0.42"/>
    <x v="0"/>
    <n v="9"/>
    <x v="6"/>
  </r>
  <r>
    <d v="2006-04-15T00:00:00"/>
    <x v="2"/>
    <x v="1"/>
    <x v="0"/>
    <x v="0"/>
    <n v="1935.96"/>
    <x v="1310"/>
    <n v="1345.33"/>
    <n v="0.41"/>
    <x v="1"/>
    <n v="4"/>
    <x v="8"/>
  </r>
  <r>
    <d v="2005-12-12T00:00:00"/>
    <x v="2"/>
    <x v="3"/>
    <x v="0"/>
    <x v="0"/>
    <n v="2004.92"/>
    <x v="1311"/>
    <n v="3413.79"/>
    <n v="0.63"/>
    <x v="0"/>
    <n v="12"/>
    <x v="4"/>
  </r>
  <r>
    <d v="2006-02-20T00:00:00"/>
    <x v="3"/>
    <x v="2"/>
    <x v="0"/>
    <x v="1"/>
    <n v="2350.13"/>
    <x v="1312"/>
    <n v="2872.39"/>
    <n v="0.55000000000000004"/>
    <x v="1"/>
    <n v="2"/>
    <x v="1"/>
  </r>
  <r>
    <d v="2005-04-15T00:00:00"/>
    <x v="0"/>
    <x v="1"/>
    <x v="1"/>
    <x v="0"/>
    <n v="1336.25"/>
    <x v="1313"/>
    <n v="1633.2"/>
    <n v="0.55000000000000004"/>
    <x v="0"/>
    <n v="4"/>
    <x v="8"/>
  </r>
  <r>
    <d v="2004-06-21T00:00:00"/>
    <x v="1"/>
    <x v="2"/>
    <x v="0"/>
    <x v="0"/>
    <n v="8555.85"/>
    <x v="1314"/>
    <n v="594.79"/>
    <n v="6.5000000000000002E-2"/>
    <x v="2"/>
    <n v="6"/>
    <x v="5"/>
  </r>
  <r>
    <d v="2004-08-15T00:00:00"/>
    <x v="2"/>
    <x v="4"/>
    <x v="1"/>
    <x v="2"/>
    <n v="3778.85"/>
    <x v="1315"/>
    <n v="5009.18"/>
    <n v="0.56999999999999995"/>
    <x v="2"/>
    <n v="8"/>
    <x v="10"/>
  </r>
  <r>
    <d v="2004-06-17T00:00:00"/>
    <x v="2"/>
    <x v="2"/>
    <x v="2"/>
    <x v="1"/>
    <n v="4919.6000000000004"/>
    <x v="1316"/>
    <n v="2315.11"/>
    <n v="0.32"/>
    <x v="2"/>
    <n v="6"/>
    <x v="5"/>
  </r>
  <r>
    <d v="2005-05-13T00:00:00"/>
    <x v="0"/>
    <x v="0"/>
    <x v="1"/>
    <x v="0"/>
    <n v="5089.42"/>
    <x v="1317"/>
    <n v="3536.71"/>
    <n v="0.41"/>
    <x v="0"/>
    <n v="5"/>
    <x v="7"/>
  </r>
  <r>
    <d v="2005-05-04T00:00:00"/>
    <x v="1"/>
    <x v="3"/>
    <x v="2"/>
    <x v="1"/>
    <n v="6407.71"/>
    <x v="1318"/>
    <n v="3015.4"/>
    <n v="0.32"/>
    <x v="0"/>
    <n v="5"/>
    <x v="7"/>
  </r>
  <r>
    <d v="2004-08-09T00:00:00"/>
    <x v="1"/>
    <x v="2"/>
    <x v="3"/>
    <x v="1"/>
    <n v="1370.55"/>
    <x v="1319"/>
    <n v="1121.3599999999999"/>
    <n v="0.45"/>
    <x v="2"/>
    <n v="8"/>
    <x v="10"/>
  </r>
  <r>
    <d v="2004-07-28T00:00:00"/>
    <x v="4"/>
    <x v="3"/>
    <x v="3"/>
    <x v="3"/>
    <n v="3856.14"/>
    <x v="1320"/>
    <n v="5111.63"/>
    <n v="0.56999999999999995"/>
    <x v="2"/>
    <n v="7"/>
    <x v="9"/>
  </r>
  <r>
    <d v="2004-09-24T00:00:00"/>
    <x v="0"/>
    <x v="4"/>
    <x v="1"/>
    <x v="1"/>
    <n v="6159.04"/>
    <x v="1321"/>
    <n v="2898.37"/>
    <n v="0.32"/>
    <x v="2"/>
    <n v="9"/>
    <x v="6"/>
  </r>
  <r>
    <d v="2004-09-20T00:00:00"/>
    <x v="4"/>
    <x v="2"/>
    <x v="1"/>
    <x v="0"/>
    <n v="6055.18"/>
    <x v="1322"/>
    <n v="825.71"/>
    <n v="0.12"/>
    <x v="2"/>
    <n v="9"/>
    <x v="6"/>
  </r>
  <r>
    <d v="2005-10-23T00:00:00"/>
    <x v="0"/>
    <x v="3"/>
    <x v="1"/>
    <x v="3"/>
    <n v="1978.96"/>
    <x v="1323"/>
    <n v="269.86"/>
    <n v="0.12"/>
    <x v="0"/>
    <n v="10"/>
    <x v="0"/>
  </r>
  <r>
    <d v="2005-08-05T00:00:00"/>
    <x v="0"/>
    <x v="2"/>
    <x v="0"/>
    <x v="2"/>
    <n v="1635.02"/>
    <x v="1324"/>
    <n v="222.96"/>
    <n v="0.12"/>
    <x v="0"/>
    <n v="8"/>
    <x v="10"/>
  </r>
  <r>
    <d v="2005-05-17T00:00:00"/>
    <x v="4"/>
    <x v="4"/>
    <x v="1"/>
    <x v="1"/>
    <n v="2952.6"/>
    <x v="1325"/>
    <n v="1389.46"/>
    <n v="0.32"/>
    <x v="0"/>
    <n v="5"/>
    <x v="7"/>
  </r>
  <r>
    <d v="2005-11-30T00:00:00"/>
    <x v="4"/>
    <x v="2"/>
    <x v="2"/>
    <x v="0"/>
    <n v="1279.42"/>
    <x v="1326"/>
    <n v="889.09"/>
    <n v="0.41"/>
    <x v="0"/>
    <n v="11"/>
    <x v="11"/>
  </r>
  <r>
    <d v="2005-11-03T00:00:00"/>
    <x v="3"/>
    <x v="4"/>
    <x v="2"/>
    <x v="3"/>
    <n v="3695.05"/>
    <x v="1327"/>
    <n v="1738.85"/>
    <n v="0.32"/>
    <x v="0"/>
    <n v="11"/>
    <x v="11"/>
  </r>
  <r>
    <d v="2005-04-24T00:00:00"/>
    <x v="2"/>
    <x v="2"/>
    <x v="0"/>
    <x v="1"/>
    <n v="2237.2600000000002"/>
    <x v="1328"/>
    <n v="1554.7"/>
    <n v="0.41"/>
    <x v="0"/>
    <n v="4"/>
    <x v="8"/>
  </r>
  <r>
    <d v="2005-07-07T00:00:00"/>
    <x v="3"/>
    <x v="1"/>
    <x v="1"/>
    <x v="3"/>
    <n v="3014.39"/>
    <x v="1329"/>
    <n v="2466.3200000000002"/>
    <n v="0.45"/>
    <x v="0"/>
    <n v="7"/>
    <x v="9"/>
  </r>
  <r>
    <d v="2004-11-21T00:00:00"/>
    <x v="4"/>
    <x v="1"/>
    <x v="1"/>
    <x v="0"/>
    <n v="7479.79"/>
    <x v="1330"/>
    <n v="1019.97"/>
    <n v="0.12"/>
    <x v="2"/>
    <n v="11"/>
    <x v="11"/>
  </r>
  <r>
    <d v="2005-05-28T00:00:00"/>
    <x v="3"/>
    <x v="0"/>
    <x v="2"/>
    <x v="2"/>
    <n v="6919.75"/>
    <x v="1331"/>
    <n v="943.6"/>
    <n v="0.12"/>
    <x v="0"/>
    <n v="5"/>
    <x v="7"/>
  </r>
  <r>
    <d v="2005-03-12T00:00:00"/>
    <x v="1"/>
    <x v="4"/>
    <x v="0"/>
    <x v="0"/>
    <n v="4562.5600000000004"/>
    <x v="1332"/>
    <n v="3733.01"/>
    <n v="0.45"/>
    <x v="0"/>
    <n v="3"/>
    <x v="3"/>
  </r>
  <r>
    <d v="2005-07-10T00:00:00"/>
    <x v="2"/>
    <x v="2"/>
    <x v="3"/>
    <x v="3"/>
    <n v="310.11"/>
    <x v="1333"/>
    <n v="215.5"/>
    <n v="0.41"/>
    <x v="0"/>
    <n v="7"/>
    <x v="9"/>
  </r>
  <r>
    <d v="2005-10-10T00:00:00"/>
    <x v="0"/>
    <x v="4"/>
    <x v="0"/>
    <x v="3"/>
    <n v="3688.48"/>
    <x v="1334"/>
    <n v="502.98"/>
    <n v="0.12"/>
    <x v="0"/>
    <n v="10"/>
    <x v="0"/>
  </r>
  <r>
    <d v="2006-05-30T00:00:00"/>
    <x v="2"/>
    <x v="2"/>
    <x v="3"/>
    <x v="1"/>
    <n v="1138.0999999999999"/>
    <x v="1335"/>
    <n v="155.19"/>
    <n v="0.12"/>
    <x v="1"/>
    <n v="5"/>
    <x v="7"/>
  </r>
  <r>
    <d v="2006-05-30T00:00:00"/>
    <x v="0"/>
    <x v="1"/>
    <x v="0"/>
    <x v="1"/>
    <n v="4190.13"/>
    <x v="1336"/>
    <n v="571.38"/>
    <n v="0.12"/>
    <x v="1"/>
    <n v="5"/>
    <x v="7"/>
  </r>
  <r>
    <d v="2005-09-28T00:00:00"/>
    <x v="1"/>
    <x v="1"/>
    <x v="3"/>
    <x v="3"/>
    <n v="1013.12"/>
    <x v="1337"/>
    <n v="138.15"/>
    <n v="0.12"/>
    <x v="0"/>
    <n v="9"/>
    <x v="6"/>
  </r>
  <r>
    <d v="2006-03-01T00:00:00"/>
    <x v="5"/>
    <x v="1"/>
    <x v="3"/>
    <x v="3"/>
    <n v="4976.13"/>
    <x v="1338"/>
    <n v="2341.71"/>
    <n v="0.32"/>
    <x v="1"/>
    <n v="3"/>
    <x v="3"/>
  </r>
  <r>
    <d v="2005-09-11T00:00:00"/>
    <x v="0"/>
    <x v="0"/>
    <x v="3"/>
    <x v="2"/>
    <n v="5649.9"/>
    <x v="1339"/>
    <n v="2658.78"/>
    <n v="0.32"/>
    <x v="0"/>
    <n v="9"/>
    <x v="6"/>
  </r>
  <r>
    <d v="2005-09-25T00:00:00"/>
    <x v="4"/>
    <x v="1"/>
    <x v="1"/>
    <x v="2"/>
    <n v="3753.76"/>
    <x v="1340"/>
    <n v="511.88"/>
    <n v="0.12"/>
    <x v="0"/>
    <n v="9"/>
    <x v="6"/>
  </r>
  <r>
    <d v="2006-04-01T00:00:00"/>
    <x v="0"/>
    <x v="2"/>
    <x v="2"/>
    <x v="2"/>
    <n v="1908.76"/>
    <x v="1341"/>
    <n v="2332.94"/>
    <n v="0.55000000000000004"/>
    <x v="1"/>
    <n v="4"/>
    <x v="8"/>
  </r>
  <r>
    <d v="2006-01-06T00:00:00"/>
    <x v="5"/>
    <x v="0"/>
    <x v="2"/>
    <x v="1"/>
    <n v="6567.72"/>
    <x v="1342"/>
    <n v="2189.2399999999998"/>
    <n v="0.25"/>
    <x v="1"/>
    <n v="1"/>
    <x v="2"/>
  </r>
  <r>
    <d v="2005-10-16T00:00:00"/>
    <x v="3"/>
    <x v="3"/>
    <x v="3"/>
    <x v="0"/>
    <n v="5137.5200000000004"/>
    <x v="1343"/>
    <n v="2417.66"/>
    <n v="0.32"/>
    <x v="0"/>
    <n v="10"/>
    <x v="0"/>
  </r>
  <r>
    <d v="2004-12-19T00:00:00"/>
    <x v="2"/>
    <x v="2"/>
    <x v="0"/>
    <x v="2"/>
    <n v="3906.02"/>
    <x v="1344"/>
    <n v="4774.03"/>
    <n v="0.55000000000000004"/>
    <x v="2"/>
    <n v="12"/>
    <x v="4"/>
  </r>
  <r>
    <d v="2006-03-01T00:00:00"/>
    <x v="0"/>
    <x v="4"/>
    <x v="2"/>
    <x v="2"/>
    <n v="1885.71"/>
    <x v="1345"/>
    <n v="2304.75"/>
    <n v="0.55000000000000004"/>
    <x v="1"/>
    <n v="3"/>
    <x v="3"/>
  </r>
  <r>
    <d v="2006-06-08T00:00:00"/>
    <x v="0"/>
    <x v="2"/>
    <x v="0"/>
    <x v="0"/>
    <n v="4295.72"/>
    <x v="1346"/>
    <n v="5694.32"/>
    <n v="0.56999999999999995"/>
    <x v="1"/>
    <n v="6"/>
    <x v="5"/>
  </r>
  <r>
    <d v="2004-10-04T00:00:00"/>
    <x v="5"/>
    <x v="0"/>
    <x v="3"/>
    <x v="3"/>
    <n v="3946.72"/>
    <x v="1347"/>
    <n v="1315.58"/>
    <n v="0.25"/>
    <x v="2"/>
    <n v="10"/>
    <x v="0"/>
  </r>
  <r>
    <d v="2005-10-08T00:00:00"/>
    <x v="3"/>
    <x v="4"/>
    <x v="3"/>
    <x v="2"/>
    <n v="1035.8499999999999"/>
    <x v="1348"/>
    <n v="1266.04"/>
    <n v="0.55000000000000004"/>
    <x v="0"/>
    <n v="10"/>
    <x v="0"/>
  </r>
  <r>
    <d v="2004-10-03T00:00:00"/>
    <x v="0"/>
    <x v="3"/>
    <x v="3"/>
    <x v="2"/>
    <n v="939.96"/>
    <x v="1349"/>
    <n v="1246"/>
    <n v="0.56999999999999995"/>
    <x v="2"/>
    <n v="10"/>
    <x v="0"/>
  </r>
  <r>
    <d v="2004-12-14T00:00:00"/>
    <x v="0"/>
    <x v="4"/>
    <x v="0"/>
    <x v="2"/>
    <n v="2230.92"/>
    <x v="1350"/>
    <n v="2726.69"/>
    <n v="0.55000000000000004"/>
    <x v="2"/>
    <n v="12"/>
    <x v="4"/>
  </r>
  <r>
    <d v="2006-05-07T00:00:00"/>
    <x v="3"/>
    <x v="0"/>
    <x v="2"/>
    <x v="2"/>
    <n v="2018.04"/>
    <x v="1351"/>
    <n v="140.29"/>
    <n v="6.5000000000000002E-2"/>
    <x v="1"/>
    <n v="5"/>
    <x v="7"/>
  </r>
  <r>
    <d v="2004-08-27T00:00:00"/>
    <x v="5"/>
    <x v="0"/>
    <x v="2"/>
    <x v="1"/>
    <n v="4832.6899999999996"/>
    <x v="1352"/>
    <n v="3954.01"/>
    <n v="0.45"/>
    <x v="2"/>
    <n v="8"/>
    <x v="10"/>
  </r>
  <r>
    <d v="2006-03-19T00:00:00"/>
    <x v="2"/>
    <x v="1"/>
    <x v="0"/>
    <x v="1"/>
    <n v="3434.02"/>
    <x v="1353"/>
    <n v="1144.68"/>
    <n v="0.25"/>
    <x v="1"/>
    <n v="3"/>
    <x v="3"/>
  </r>
  <r>
    <d v="2006-06-08T00:00:00"/>
    <x v="4"/>
    <x v="1"/>
    <x v="3"/>
    <x v="0"/>
    <n v="4651.7"/>
    <x v="1354"/>
    <n v="3232.54"/>
    <n v="0.41"/>
    <x v="1"/>
    <n v="6"/>
    <x v="5"/>
  </r>
  <r>
    <d v="2006-02-06T00:00:00"/>
    <x v="5"/>
    <x v="3"/>
    <x v="1"/>
    <x v="2"/>
    <n v="4349.05"/>
    <x v="1355"/>
    <n v="5315.5"/>
    <n v="0.55000000000000004"/>
    <x v="1"/>
    <n v="2"/>
    <x v="1"/>
  </r>
  <r>
    <d v="2005-07-28T00:00:00"/>
    <x v="5"/>
    <x v="1"/>
    <x v="0"/>
    <x v="3"/>
    <n v="2898.2"/>
    <x v="1356"/>
    <n v="3841.79"/>
    <n v="0.56999999999999995"/>
    <x v="0"/>
    <n v="7"/>
    <x v="9"/>
  </r>
  <r>
    <d v="2005-11-03T00:00:00"/>
    <x v="2"/>
    <x v="3"/>
    <x v="2"/>
    <x v="2"/>
    <n v="785.95"/>
    <x v="1357"/>
    <n v="643.04999999999995"/>
    <n v="0.45"/>
    <x v="0"/>
    <n v="11"/>
    <x v="11"/>
  </r>
  <r>
    <d v="2004-10-13T00:00:00"/>
    <x v="2"/>
    <x v="3"/>
    <x v="0"/>
    <x v="3"/>
    <n v="1801.06"/>
    <x v="1358"/>
    <n v="847.56"/>
    <n v="0.32"/>
    <x v="2"/>
    <n v="10"/>
    <x v="0"/>
  </r>
  <r>
    <d v="2004-10-24T00:00:00"/>
    <x v="5"/>
    <x v="2"/>
    <x v="1"/>
    <x v="2"/>
    <n v="5011.17"/>
    <x v="1359"/>
    <n v="2358.1999999999998"/>
    <n v="0.32"/>
    <x v="2"/>
    <n v="10"/>
    <x v="0"/>
  </r>
  <r>
    <d v="2004-12-07T00:00:00"/>
    <x v="3"/>
    <x v="1"/>
    <x v="0"/>
    <x v="0"/>
    <n v="2845.9"/>
    <x v="1360"/>
    <n v="1977.66"/>
    <n v="0.41"/>
    <x v="2"/>
    <n v="12"/>
    <x v="4"/>
  </r>
  <r>
    <d v="2005-02-16T00:00:00"/>
    <x v="0"/>
    <x v="2"/>
    <x v="3"/>
    <x v="3"/>
    <n v="6575.61"/>
    <x v="1361"/>
    <n v="2191.87"/>
    <n v="0.25"/>
    <x v="0"/>
    <n v="2"/>
    <x v="1"/>
  </r>
  <r>
    <d v="2006-05-16T00:00:00"/>
    <x v="3"/>
    <x v="3"/>
    <x v="3"/>
    <x v="0"/>
    <n v="272.13"/>
    <x v="1362"/>
    <n v="332.61"/>
    <n v="0.55000000000000004"/>
    <x v="1"/>
    <n v="5"/>
    <x v="7"/>
  </r>
  <r>
    <d v="2004-12-30T00:00:00"/>
    <x v="4"/>
    <x v="4"/>
    <x v="0"/>
    <x v="0"/>
    <n v="1309.4000000000001"/>
    <x v="1363"/>
    <n v="436.47"/>
    <n v="0.25"/>
    <x v="2"/>
    <n v="12"/>
    <x v="4"/>
  </r>
  <r>
    <d v="2005-06-19T00:00:00"/>
    <x v="2"/>
    <x v="0"/>
    <x v="0"/>
    <x v="3"/>
    <n v="3281.54"/>
    <x v="1364"/>
    <n v="447.48"/>
    <n v="0.12"/>
    <x v="0"/>
    <n v="6"/>
    <x v="5"/>
  </r>
  <r>
    <d v="2006-05-17T00:00:00"/>
    <x v="4"/>
    <x v="3"/>
    <x v="2"/>
    <x v="0"/>
    <n v="5365.17"/>
    <x v="1365"/>
    <n v="4389.6899999999996"/>
    <n v="0.45"/>
    <x v="1"/>
    <n v="5"/>
    <x v="7"/>
  </r>
  <r>
    <d v="2006-02-18T00:00:00"/>
    <x v="3"/>
    <x v="0"/>
    <x v="2"/>
    <x v="3"/>
    <n v="6112.91"/>
    <x v="1366"/>
    <n v="424.96"/>
    <n v="6.5000000000000002E-2"/>
    <x v="1"/>
    <n v="2"/>
    <x v="1"/>
  </r>
  <r>
    <d v="2006-01-13T00:00:00"/>
    <x v="5"/>
    <x v="2"/>
    <x v="1"/>
    <x v="3"/>
    <n v="5389.28"/>
    <x v="1367"/>
    <n v="734.9"/>
    <n v="0.12"/>
    <x v="1"/>
    <n v="1"/>
    <x v="2"/>
  </r>
  <r>
    <d v="2005-10-10T00:00:00"/>
    <x v="0"/>
    <x v="0"/>
    <x v="0"/>
    <x v="3"/>
    <n v="4141.41"/>
    <x v="1368"/>
    <n v="5489.77"/>
    <n v="0.56999999999999995"/>
    <x v="0"/>
    <n v="10"/>
    <x v="0"/>
  </r>
  <r>
    <d v="2006-02-09T00:00:00"/>
    <x v="1"/>
    <x v="3"/>
    <x v="0"/>
    <x v="1"/>
    <n v="2711.13"/>
    <x v="1369"/>
    <n v="3313.61"/>
    <n v="0.55000000000000004"/>
    <x v="1"/>
    <n v="2"/>
    <x v="1"/>
  </r>
  <r>
    <d v="2006-01-09T00:00:00"/>
    <x v="5"/>
    <x v="0"/>
    <x v="3"/>
    <x v="2"/>
    <n v="8206.42"/>
    <x v="1370"/>
    <n v="570.5"/>
    <n v="6.5000000000000002E-2"/>
    <x v="1"/>
    <n v="1"/>
    <x v="2"/>
  </r>
  <r>
    <d v="2005-10-03T00:00:00"/>
    <x v="4"/>
    <x v="2"/>
    <x v="3"/>
    <x v="2"/>
    <n v="1461.23"/>
    <x v="1371"/>
    <n v="2488.0500000000002"/>
    <n v="0.63"/>
    <x v="0"/>
    <n v="10"/>
    <x v="0"/>
  </r>
  <r>
    <d v="2005-10-26T00:00:00"/>
    <x v="1"/>
    <x v="4"/>
    <x v="1"/>
    <x v="3"/>
    <n v="1691.97"/>
    <x v="1372"/>
    <n v="1175.78"/>
    <n v="0.41"/>
    <x v="0"/>
    <n v="10"/>
    <x v="0"/>
  </r>
  <r>
    <d v="2005-03-23T00:00:00"/>
    <x v="3"/>
    <x v="3"/>
    <x v="0"/>
    <x v="0"/>
    <n v="1264.97"/>
    <x v="1373"/>
    <n v="879.05"/>
    <n v="0.41"/>
    <x v="0"/>
    <n v="3"/>
    <x v="3"/>
  </r>
  <r>
    <d v="2005-05-01T00:00:00"/>
    <x v="4"/>
    <x v="2"/>
    <x v="3"/>
    <x v="0"/>
    <n v="2952.36"/>
    <x v="1374"/>
    <n v="402.6"/>
    <n v="0.12"/>
    <x v="0"/>
    <n v="5"/>
    <x v="7"/>
  </r>
  <r>
    <d v="2005-01-28T00:00:00"/>
    <x v="3"/>
    <x v="1"/>
    <x v="3"/>
    <x v="3"/>
    <n v="510.95"/>
    <x v="1375"/>
    <n v="170.32"/>
    <n v="0.25"/>
    <x v="0"/>
    <n v="1"/>
    <x v="2"/>
  </r>
  <r>
    <d v="2004-06-24T00:00:00"/>
    <x v="3"/>
    <x v="2"/>
    <x v="2"/>
    <x v="2"/>
    <n v="379.57"/>
    <x v="1376"/>
    <n v="310.55"/>
    <n v="0.45"/>
    <x v="2"/>
    <n v="6"/>
    <x v="5"/>
  </r>
  <r>
    <d v="2005-06-26T00:00:00"/>
    <x v="1"/>
    <x v="2"/>
    <x v="0"/>
    <x v="2"/>
    <n v="6849.32"/>
    <x v="1377"/>
    <n v="934"/>
    <n v="0.12"/>
    <x v="0"/>
    <n v="6"/>
    <x v="5"/>
  </r>
  <r>
    <d v="2006-03-17T00:00:00"/>
    <x v="1"/>
    <x v="1"/>
    <x v="1"/>
    <x v="2"/>
    <n v="3308.41"/>
    <x v="1378"/>
    <n v="5633.23"/>
    <n v="0.63"/>
    <x v="1"/>
    <n v="3"/>
    <x v="3"/>
  </r>
  <r>
    <d v="2006-04-26T00:00:00"/>
    <x v="5"/>
    <x v="3"/>
    <x v="0"/>
    <x v="1"/>
    <n v="317.27"/>
    <x v="1379"/>
    <n v="420.57"/>
    <n v="0.56999999999999995"/>
    <x v="1"/>
    <n v="4"/>
    <x v="8"/>
  </r>
  <r>
    <d v="2005-11-02T00:00:00"/>
    <x v="3"/>
    <x v="3"/>
    <x v="2"/>
    <x v="3"/>
    <n v="8071.51"/>
    <x v="1380"/>
    <n v="561.12"/>
    <n v="6.5000000000000002E-2"/>
    <x v="0"/>
    <n v="11"/>
    <x v="11"/>
  </r>
  <r>
    <d v="2005-05-11T00:00:00"/>
    <x v="3"/>
    <x v="2"/>
    <x v="0"/>
    <x v="3"/>
    <n v="6236.36"/>
    <x v="1381"/>
    <n v="850.41"/>
    <n v="0.12"/>
    <x v="0"/>
    <n v="5"/>
    <x v="7"/>
  </r>
  <r>
    <d v="2004-08-28T00:00:00"/>
    <x v="3"/>
    <x v="0"/>
    <x v="2"/>
    <x v="3"/>
    <n v="3543.25"/>
    <x v="1382"/>
    <n v="6033.11"/>
    <n v="0.63"/>
    <x v="2"/>
    <n v="8"/>
    <x v="10"/>
  </r>
  <r>
    <d v="2005-12-23T00:00:00"/>
    <x v="5"/>
    <x v="2"/>
    <x v="3"/>
    <x v="2"/>
    <n v="7134.12"/>
    <x v="1383"/>
    <n v="972.84"/>
    <n v="0.12"/>
    <x v="0"/>
    <n v="12"/>
    <x v="4"/>
  </r>
  <r>
    <d v="2005-12-28T00:00:00"/>
    <x v="3"/>
    <x v="3"/>
    <x v="2"/>
    <x v="3"/>
    <n v="2215.5300000000002"/>
    <x v="1384"/>
    <n v="3772.4"/>
    <n v="0.63"/>
    <x v="0"/>
    <n v="12"/>
    <x v="4"/>
  </r>
  <r>
    <d v="2005-05-24T00:00:00"/>
    <x v="2"/>
    <x v="0"/>
    <x v="0"/>
    <x v="2"/>
    <n v="6515.34"/>
    <x v="1385"/>
    <n v="2171.7800000000002"/>
    <n v="0.25"/>
    <x v="0"/>
    <n v="5"/>
    <x v="7"/>
  </r>
  <r>
    <d v="2005-01-02T00:00:00"/>
    <x v="4"/>
    <x v="3"/>
    <x v="1"/>
    <x v="3"/>
    <n v="5238.7299999999996"/>
    <x v="1386"/>
    <n v="3793.57"/>
    <n v="0.42"/>
    <x v="0"/>
    <n v="1"/>
    <x v="2"/>
  </r>
  <r>
    <d v="2005-04-20T00:00:00"/>
    <x v="4"/>
    <x v="4"/>
    <x v="3"/>
    <x v="0"/>
    <n v="5392.36"/>
    <x v="1387"/>
    <n v="1797.46"/>
    <n v="0.25"/>
    <x v="0"/>
    <n v="4"/>
    <x v="8"/>
  </r>
  <r>
    <d v="2005-01-11T00:00:00"/>
    <x v="1"/>
    <x v="3"/>
    <x v="3"/>
    <x v="0"/>
    <n v="351.13"/>
    <x v="1388"/>
    <n v="287.29000000000002"/>
    <n v="0.45"/>
    <x v="0"/>
    <n v="1"/>
    <x v="2"/>
  </r>
  <r>
    <d v="2006-01-30T00:00:00"/>
    <x v="4"/>
    <x v="4"/>
    <x v="1"/>
    <x v="0"/>
    <n v="1418.96"/>
    <x v="1389"/>
    <n v="1027.53"/>
    <n v="0.42"/>
    <x v="1"/>
    <n v="1"/>
    <x v="2"/>
  </r>
  <r>
    <d v="2004-10-10T00:00:00"/>
    <x v="4"/>
    <x v="2"/>
    <x v="0"/>
    <x v="1"/>
    <n v="434.61"/>
    <x v="1390"/>
    <n v="59.27"/>
    <n v="0.12"/>
    <x v="2"/>
    <n v="10"/>
    <x v="0"/>
  </r>
  <r>
    <d v="2004-09-21T00:00:00"/>
    <x v="0"/>
    <x v="4"/>
    <x v="0"/>
    <x v="2"/>
    <n v="5774.11"/>
    <x v="1391"/>
    <n v="4181.26"/>
    <n v="0.42"/>
    <x v="2"/>
    <n v="9"/>
    <x v="6"/>
  </r>
  <r>
    <d v="2005-09-10T00:00:00"/>
    <x v="5"/>
    <x v="2"/>
    <x v="3"/>
    <x v="3"/>
    <n v="1625.3"/>
    <x v="1392"/>
    <n v="2767.41"/>
    <n v="0.63"/>
    <x v="0"/>
    <n v="9"/>
    <x v="6"/>
  </r>
  <r>
    <d v="2005-05-05T00:00:00"/>
    <x v="2"/>
    <x v="0"/>
    <x v="1"/>
    <x v="1"/>
    <n v="742.98"/>
    <x v="1393"/>
    <n v="984.87"/>
    <n v="0.56999999999999995"/>
    <x v="0"/>
    <n v="5"/>
    <x v="7"/>
  </r>
  <r>
    <d v="2005-04-30T00:00:00"/>
    <x v="0"/>
    <x v="3"/>
    <x v="1"/>
    <x v="0"/>
    <n v="2624.65"/>
    <x v="1394"/>
    <n v="1823.91"/>
    <n v="0.41"/>
    <x v="0"/>
    <n v="4"/>
    <x v="8"/>
  </r>
  <r>
    <d v="2006-04-21T00:00:00"/>
    <x v="4"/>
    <x v="1"/>
    <x v="0"/>
    <x v="1"/>
    <n v="3122.13"/>
    <x v="1395"/>
    <n v="425.74"/>
    <n v="0.12"/>
    <x v="1"/>
    <n v="4"/>
    <x v="8"/>
  </r>
  <r>
    <d v="2004-09-10T00:00:00"/>
    <x v="1"/>
    <x v="2"/>
    <x v="1"/>
    <x v="2"/>
    <n v="2852.34"/>
    <x v="1396"/>
    <n v="4856.7"/>
    <n v="0.63"/>
    <x v="2"/>
    <n v="9"/>
    <x v="6"/>
  </r>
  <r>
    <d v="2005-06-06T00:00:00"/>
    <x v="4"/>
    <x v="2"/>
    <x v="1"/>
    <x v="2"/>
    <n v="989.7"/>
    <x v="1397"/>
    <n v="1685.17"/>
    <n v="0.63"/>
    <x v="0"/>
    <n v="6"/>
    <x v="5"/>
  </r>
  <r>
    <d v="2005-11-30T00:00:00"/>
    <x v="2"/>
    <x v="0"/>
    <x v="1"/>
    <x v="1"/>
    <n v="218.44"/>
    <x v="1398"/>
    <n v="289.57"/>
    <n v="0.56999999999999995"/>
    <x v="0"/>
    <n v="11"/>
    <x v="11"/>
  </r>
  <r>
    <d v="2006-06-14T00:00:00"/>
    <x v="0"/>
    <x v="3"/>
    <x v="2"/>
    <x v="3"/>
    <n v="2553.2800000000002"/>
    <x v="1399"/>
    <n v="1201.54"/>
    <n v="0.32"/>
    <x v="1"/>
    <n v="6"/>
    <x v="5"/>
  </r>
  <r>
    <d v="2005-09-28T00:00:00"/>
    <x v="5"/>
    <x v="0"/>
    <x v="2"/>
    <x v="3"/>
    <n v="5666.44"/>
    <x v="1400"/>
    <n v="4103.29"/>
    <n v="0.42"/>
    <x v="0"/>
    <n v="9"/>
    <x v="6"/>
  </r>
  <r>
    <d v="2005-10-03T00:00:00"/>
    <x v="1"/>
    <x v="1"/>
    <x v="3"/>
    <x v="0"/>
    <n v="3840.12"/>
    <x v="1401"/>
    <n v="523.65"/>
    <n v="0.12"/>
    <x v="0"/>
    <n v="10"/>
    <x v="0"/>
  </r>
  <r>
    <d v="2004-07-31T00:00:00"/>
    <x v="1"/>
    <x v="0"/>
    <x v="0"/>
    <x v="0"/>
    <n v="2830.67"/>
    <x v="1402"/>
    <n v="1967.08"/>
    <n v="0.41"/>
    <x v="2"/>
    <n v="7"/>
    <x v="9"/>
  </r>
  <r>
    <d v="2005-08-07T00:00:00"/>
    <x v="5"/>
    <x v="3"/>
    <x v="2"/>
    <x v="2"/>
    <n v="6549.87"/>
    <x v="1403"/>
    <n v="455.34"/>
    <n v="6.5000000000000002E-2"/>
    <x v="0"/>
    <n v="8"/>
    <x v="10"/>
  </r>
  <r>
    <d v="2006-04-27T00:00:00"/>
    <x v="4"/>
    <x v="3"/>
    <x v="1"/>
    <x v="0"/>
    <n v="1186.6400000000001"/>
    <x v="1404"/>
    <n v="1572.99"/>
    <n v="0.56999999999999995"/>
    <x v="1"/>
    <n v="4"/>
    <x v="8"/>
  </r>
  <r>
    <d v="2005-04-24T00:00:00"/>
    <x v="3"/>
    <x v="4"/>
    <x v="1"/>
    <x v="1"/>
    <n v="2100.8000000000002"/>
    <x v="1405"/>
    <n v="988.61"/>
    <n v="0.32"/>
    <x v="0"/>
    <n v="4"/>
    <x v="8"/>
  </r>
  <r>
    <d v="2006-03-06T00:00:00"/>
    <x v="3"/>
    <x v="4"/>
    <x v="3"/>
    <x v="0"/>
    <n v="4512.3900000000003"/>
    <x v="1406"/>
    <n v="615.33000000000004"/>
    <n v="0.12"/>
    <x v="1"/>
    <n v="3"/>
    <x v="3"/>
  </r>
  <r>
    <d v="2004-12-08T00:00:00"/>
    <x v="0"/>
    <x v="0"/>
    <x v="2"/>
    <x v="1"/>
    <n v="975.55"/>
    <x v="1407"/>
    <n v="706.43"/>
    <n v="0.42"/>
    <x v="2"/>
    <n v="12"/>
    <x v="4"/>
  </r>
  <r>
    <d v="2005-03-02T00:00:00"/>
    <x v="5"/>
    <x v="4"/>
    <x v="1"/>
    <x v="2"/>
    <n v="4427.3900000000003"/>
    <x v="1408"/>
    <n v="3076.66"/>
    <n v="0.41"/>
    <x v="0"/>
    <n v="3"/>
    <x v="3"/>
  </r>
  <r>
    <d v="2005-12-23T00:00:00"/>
    <x v="1"/>
    <x v="4"/>
    <x v="2"/>
    <x v="1"/>
    <n v="4489.32"/>
    <x v="1409"/>
    <n v="1496.44"/>
    <n v="0.25"/>
    <x v="0"/>
    <n v="12"/>
    <x v="4"/>
  </r>
  <r>
    <d v="2005-07-26T00:00:00"/>
    <x v="0"/>
    <x v="3"/>
    <x v="3"/>
    <x v="2"/>
    <n v="944.05"/>
    <x v="1410"/>
    <n v="656.03"/>
    <n v="0.41"/>
    <x v="0"/>
    <n v="7"/>
    <x v="9"/>
  </r>
  <r>
    <d v="2004-11-12T00:00:00"/>
    <x v="5"/>
    <x v="1"/>
    <x v="1"/>
    <x v="1"/>
    <n v="3504.65"/>
    <x v="1411"/>
    <n v="4645.71"/>
    <n v="0.56999999999999995"/>
    <x v="2"/>
    <n v="11"/>
    <x v="11"/>
  </r>
  <r>
    <d v="2005-10-12T00:00:00"/>
    <x v="0"/>
    <x v="3"/>
    <x v="3"/>
    <x v="2"/>
    <n v="1077.8"/>
    <x v="1412"/>
    <n v="1317.32"/>
    <n v="0.55000000000000004"/>
    <x v="0"/>
    <n v="10"/>
    <x v="0"/>
  </r>
  <r>
    <d v="2004-06-24T00:00:00"/>
    <x v="1"/>
    <x v="0"/>
    <x v="1"/>
    <x v="2"/>
    <n v="2729.85"/>
    <x v="1413"/>
    <n v="4648.12"/>
    <n v="0.63"/>
    <x v="2"/>
    <n v="6"/>
    <x v="5"/>
  </r>
  <r>
    <d v="2005-04-26T00:00:00"/>
    <x v="1"/>
    <x v="4"/>
    <x v="0"/>
    <x v="3"/>
    <n v="1101.8499999999999"/>
    <x v="1414"/>
    <n v="367.28"/>
    <n v="0.25"/>
    <x v="0"/>
    <n v="4"/>
    <x v="8"/>
  </r>
  <r>
    <d v="2005-11-17T00:00:00"/>
    <x v="2"/>
    <x v="4"/>
    <x v="2"/>
    <x v="0"/>
    <n v="4996.32"/>
    <x v="1415"/>
    <n v="3472.02"/>
    <n v="0.41"/>
    <x v="0"/>
    <n v="11"/>
    <x v="11"/>
  </r>
  <r>
    <d v="2004-12-16T00:00:00"/>
    <x v="3"/>
    <x v="2"/>
    <x v="2"/>
    <x v="2"/>
    <n v="1232.27"/>
    <x v="1416"/>
    <n v="410.75"/>
    <n v="0.25"/>
    <x v="2"/>
    <n v="12"/>
    <x v="4"/>
  </r>
  <r>
    <d v="2006-01-03T00:00:00"/>
    <x v="4"/>
    <x v="1"/>
    <x v="1"/>
    <x v="1"/>
    <n v="3072.93"/>
    <x v="1417"/>
    <n v="213.63"/>
    <n v="6.5000000000000002E-2"/>
    <x v="1"/>
    <n v="1"/>
    <x v="2"/>
  </r>
  <r>
    <d v="2005-09-08T00:00:00"/>
    <x v="0"/>
    <x v="0"/>
    <x v="3"/>
    <x v="0"/>
    <n v="4463.2"/>
    <x v="1418"/>
    <n v="3101.54"/>
    <n v="0.41"/>
    <x v="0"/>
    <n v="9"/>
    <x v="6"/>
  </r>
  <r>
    <d v="2005-02-16T00:00:00"/>
    <x v="0"/>
    <x v="1"/>
    <x v="0"/>
    <x v="1"/>
    <n v="2235.23"/>
    <x v="1419"/>
    <n v="304.8"/>
    <n v="0.12"/>
    <x v="0"/>
    <n v="2"/>
    <x v="1"/>
  </r>
  <r>
    <d v="2006-03-05T00:00:00"/>
    <x v="4"/>
    <x v="4"/>
    <x v="0"/>
    <x v="1"/>
    <n v="1200.8800000000001"/>
    <x v="1420"/>
    <n v="2044.73"/>
    <n v="0.63"/>
    <x v="1"/>
    <n v="3"/>
    <x v="3"/>
  </r>
  <r>
    <d v="2004-10-07T00:00:00"/>
    <x v="4"/>
    <x v="3"/>
    <x v="2"/>
    <x v="2"/>
    <n v="2251.4299999999998"/>
    <x v="1421"/>
    <n v="307.01"/>
    <n v="0.12"/>
    <x v="2"/>
    <n v="10"/>
    <x v="0"/>
  </r>
  <r>
    <d v="2006-06-15T00:00:00"/>
    <x v="1"/>
    <x v="3"/>
    <x v="0"/>
    <x v="2"/>
    <n v="736.25"/>
    <x v="1422"/>
    <n v="100.4"/>
    <n v="0.12"/>
    <x v="1"/>
    <n v="6"/>
    <x v="5"/>
  </r>
  <r>
    <d v="2005-10-21T00:00:00"/>
    <x v="3"/>
    <x v="4"/>
    <x v="1"/>
    <x v="2"/>
    <n v="779.93"/>
    <x v="1423"/>
    <n v="638.12"/>
    <n v="0.45"/>
    <x v="0"/>
    <n v="10"/>
    <x v="0"/>
  </r>
  <r>
    <d v="2004-11-09T00:00:00"/>
    <x v="0"/>
    <x v="2"/>
    <x v="1"/>
    <x v="3"/>
    <n v="3704.66"/>
    <x v="1424"/>
    <n v="1234.8800000000001"/>
    <n v="0.25"/>
    <x v="2"/>
    <n v="11"/>
    <x v="11"/>
  </r>
  <r>
    <d v="2006-04-04T00:00:00"/>
    <x v="4"/>
    <x v="0"/>
    <x v="3"/>
    <x v="0"/>
    <n v="5554.45"/>
    <x v="1425"/>
    <n v="757.43"/>
    <n v="0.12"/>
    <x v="1"/>
    <n v="4"/>
    <x v="8"/>
  </r>
  <r>
    <d v="2006-04-07T00:00:00"/>
    <x v="2"/>
    <x v="2"/>
    <x v="0"/>
    <x v="2"/>
    <n v="712.93"/>
    <x v="1426"/>
    <n v="583.29999999999995"/>
    <n v="0.45"/>
    <x v="1"/>
    <n v="4"/>
    <x v="8"/>
  </r>
  <r>
    <d v="2005-07-27T00:00:00"/>
    <x v="2"/>
    <x v="4"/>
    <x v="1"/>
    <x v="2"/>
    <n v="5352.97"/>
    <x v="1427"/>
    <n v="729.95"/>
    <n v="0.12"/>
    <x v="0"/>
    <n v="7"/>
    <x v="9"/>
  </r>
  <r>
    <d v="2005-02-11T00:00:00"/>
    <x v="3"/>
    <x v="0"/>
    <x v="3"/>
    <x v="3"/>
    <n v="3639.02"/>
    <x v="1428"/>
    <n v="1213"/>
    <n v="0.25"/>
    <x v="0"/>
    <n v="2"/>
    <x v="1"/>
  </r>
  <r>
    <d v="2005-08-09T00:00:00"/>
    <x v="2"/>
    <x v="1"/>
    <x v="0"/>
    <x v="3"/>
    <n v="1327.12"/>
    <x v="1429"/>
    <n v="2259.6999999999998"/>
    <n v="0.63"/>
    <x v="0"/>
    <n v="8"/>
    <x v="10"/>
  </r>
  <r>
    <d v="2006-04-03T00:00:00"/>
    <x v="4"/>
    <x v="2"/>
    <x v="1"/>
    <x v="0"/>
    <n v="3714.32"/>
    <x v="1430"/>
    <n v="258.20999999999998"/>
    <n v="6.5000000000000002E-2"/>
    <x v="1"/>
    <n v="4"/>
    <x v="8"/>
  </r>
  <r>
    <d v="2006-05-01T00:00:00"/>
    <x v="3"/>
    <x v="1"/>
    <x v="3"/>
    <x v="2"/>
    <n v="5990.5"/>
    <x v="1431"/>
    <n v="1996.83"/>
    <n v="0.25"/>
    <x v="1"/>
    <n v="5"/>
    <x v="7"/>
  </r>
  <r>
    <d v="2004-07-20T00:00:00"/>
    <x v="4"/>
    <x v="0"/>
    <x v="0"/>
    <x v="2"/>
    <n v="4411.09"/>
    <x v="1432"/>
    <n v="3065.33"/>
    <n v="0.41"/>
    <x v="2"/>
    <n v="7"/>
    <x v="9"/>
  </r>
  <r>
    <d v="2004-08-26T00:00:00"/>
    <x v="4"/>
    <x v="1"/>
    <x v="0"/>
    <x v="1"/>
    <n v="3879.26"/>
    <x v="1433"/>
    <n v="269.68"/>
    <n v="6.5000000000000002E-2"/>
    <x v="2"/>
    <n v="8"/>
    <x v="10"/>
  </r>
  <r>
    <d v="2004-09-17T00:00:00"/>
    <x v="3"/>
    <x v="0"/>
    <x v="3"/>
    <x v="1"/>
    <n v="2852.17"/>
    <x v="1434"/>
    <n v="2333.59"/>
    <n v="0.45"/>
    <x v="2"/>
    <n v="9"/>
    <x v="6"/>
  </r>
  <r>
    <d v="2005-02-17T00:00:00"/>
    <x v="2"/>
    <x v="0"/>
    <x v="0"/>
    <x v="1"/>
    <n v="729.14"/>
    <x v="1435"/>
    <n v="966.53"/>
    <n v="0.56999999999999995"/>
    <x v="0"/>
    <n v="2"/>
    <x v="1"/>
  </r>
  <r>
    <d v="2006-01-22T00:00:00"/>
    <x v="0"/>
    <x v="3"/>
    <x v="3"/>
    <x v="1"/>
    <n v="1334.44"/>
    <x v="1436"/>
    <n v="1768.9"/>
    <n v="0.56999999999999995"/>
    <x v="1"/>
    <n v="1"/>
    <x v="2"/>
  </r>
  <r>
    <d v="2005-05-04T00:00:00"/>
    <x v="2"/>
    <x v="4"/>
    <x v="0"/>
    <x v="3"/>
    <n v="2339.48"/>
    <x v="1437"/>
    <n v="319.02"/>
    <n v="0.12"/>
    <x v="0"/>
    <n v="5"/>
    <x v="7"/>
  </r>
  <r>
    <d v="2005-10-02T00:00:00"/>
    <x v="5"/>
    <x v="1"/>
    <x v="1"/>
    <x v="3"/>
    <n v="7832.08"/>
    <x v="1438"/>
    <n v="1068.01"/>
    <n v="0.12"/>
    <x v="0"/>
    <n v="10"/>
    <x v="0"/>
  </r>
  <r>
    <d v="2006-05-18T00:00:00"/>
    <x v="0"/>
    <x v="2"/>
    <x v="2"/>
    <x v="3"/>
    <n v="3731.09"/>
    <x v="1439"/>
    <n v="4560.2299999999996"/>
    <n v="0.55000000000000004"/>
    <x v="1"/>
    <n v="5"/>
    <x v="7"/>
  </r>
  <r>
    <d v="2005-10-24T00:00:00"/>
    <x v="2"/>
    <x v="4"/>
    <x v="0"/>
    <x v="3"/>
    <n v="8350.1299999999992"/>
    <x v="1440"/>
    <n v="580.49"/>
    <n v="6.5000000000000002E-2"/>
    <x v="0"/>
    <n v="10"/>
    <x v="0"/>
  </r>
  <r>
    <d v="2005-08-20T00:00:00"/>
    <x v="2"/>
    <x v="3"/>
    <x v="0"/>
    <x v="3"/>
    <n v="4020.29"/>
    <x v="1441"/>
    <n v="2911.25"/>
    <n v="0.42"/>
    <x v="0"/>
    <n v="8"/>
    <x v="10"/>
  </r>
  <r>
    <d v="2005-01-05T00:00:00"/>
    <x v="0"/>
    <x v="0"/>
    <x v="0"/>
    <x v="0"/>
    <n v="135.31"/>
    <x v="1442"/>
    <n v="165.38"/>
    <n v="0.55000000000000004"/>
    <x v="0"/>
    <n v="1"/>
    <x v="2"/>
  </r>
  <r>
    <d v="2006-03-12T00:00:00"/>
    <x v="1"/>
    <x v="2"/>
    <x v="3"/>
    <x v="2"/>
    <n v="411.52"/>
    <x v="1443"/>
    <n v="700.7"/>
    <n v="0.63"/>
    <x v="1"/>
    <n v="3"/>
    <x v="3"/>
  </r>
  <r>
    <d v="2006-01-25T00:00:00"/>
    <x v="2"/>
    <x v="4"/>
    <x v="0"/>
    <x v="2"/>
    <n v="1457.85"/>
    <x v="1444"/>
    <n v="686.05"/>
    <n v="0.32"/>
    <x v="1"/>
    <n v="1"/>
    <x v="2"/>
  </r>
  <r>
    <d v="2005-03-30T00:00:00"/>
    <x v="1"/>
    <x v="3"/>
    <x v="2"/>
    <x v="3"/>
    <n v="3730.5"/>
    <x v="1445"/>
    <n v="2701.4"/>
    <n v="0.42"/>
    <x v="0"/>
    <n v="3"/>
    <x v="3"/>
  </r>
  <r>
    <d v="2005-12-07T00:00:00"/>
    <x v="5"/>
    <x v="2"/>
    <x v="3"/>
    <x v="3"/>
    <n v="4051"/>
    <x v="1446"/>
    <n v="5369.93"/>
    <n v="0.56999999999999995"/>
    <x v="0"/>
    <n v="12"/>
    <x v="4"/>
  </r>
  <r>
    <d v="2004-08-23T00:00:00"/>
    <x v="0"/>
    <x v="4"/>
    <x v="3"/>
    <x v="1"/>
    <n v="782.59"/>
    <x v="1447"/>
    <n v="956.5"/>
    <n v="0.55000000000000004"/>
    <x v="2"/>
    <n v="8"/>
    <x v="10"/>
  </r>
  <r>
    <d v="2004-11-16T00:00:00"/>
    <x v="3"/>
    <x v="0"/>
    <x v="1"/>
    <x v="0"/>
    <n v="2953.22"/>
    <x v="1448"/>
    <n v="5028.46"/>
    <n v="0.63"/>
    <x v="2"/>
    <n v="11"/>
    <x v="11"/>
  </r>
  <r>
    <d v="2006-04-29T00:00:00"/>
    <x v="2"/>
    <x v="4"/>
    <x v="3"/>
    <x v="1"/>
    <n v="3196.62"/>
    <x v="1449"/>
    <n v="2314.79"/>
    <n v="0.42"/>
    <x v="1"/>
    <n v="4"/>
    <x v="8"/>
  </r>
  <r>
    <d v="2005-01-12T00:00:00"/>
    <x v="0"/>
    <x v="1"/>
    <x v="0"/>
    <x v="0"/>
    <n v="6619.97"/>
    <x v="1450"/>
    <n v="3115.28"/>
    <n v="0.32"/>
    <x v="0"/>
    <n v="1"/>
    <x v="2"/>
  </r>
  <r>
    <d v="2005-10-28T00:00:00"/>
    <x v="0"/>
    <x v="1"/>
    <x v="1"/>
    <x v="3"/>
    <n v="4705.07"/>
    <x v="1451"/>
    <n v="1568.36"/>
    <n v="0.25"/>
    <x v="0"/>
    <n v="10"/>
    <x v="0"/>
  </r>
  <r>
    <d v="2004-09-26T00:00:00"/>
    <x v="5"/>
    <x v="0"/>
    <x v="0"/>
    <x v="2"/>
    <n v="3621.15"/>
    <x v="1452"/>
    <n v="4800.13"/>
    <n v="0.56999999999999995"/>
    <x v="2"/>
    <n v="9"/>
    <x v="6"/>
  </r>
  <r>
    <d v="2005-03-28T00:00:00"/>
    <x v="4"/>
    <x v="0"/>
    <x v="2"/>
    <x v="2"/>
    <n v="374.39"/>
    <x v="1453"/>
    <n v="637.48"/>
    <n v="0.63"/>
    <x v="0"/>
    <n v="3"/>
    <x v="3"/>
  </r>
  <r>
    <d v="2006-05-17T00:00:00"/>
    <x v="4"/>
    <x v="3"/>
    <x v="1"/>
    <x v="0"/>
    <n v="2764.4"/>
    <x v="1454"/>
    <n v="2001.8"/>
    <n v="0.42"/>
    <x v="1"/>
    <n v="5"/>
    <x v="7"/>
  </r>
  <r>
    <d v="2006-03-06T00:00:00"/>
    <x v="1"/>
    <x v="4"/>
    <x v="1"/>
    <x v="1"/>
    <n v="2356.6799999999998"/>
    <x v="1455"/>
    <n v="1928.2"/>
    <n v="0.45"/>
    <x v="1"/>
    <n v="3"/>
    <x v="3"/>
  </r>
  <r>
    <d v="2005-02-17T00:00:00"/>
    <x v="2"/>
    <x v="2"/>
    <x v="1"/>
    <x v="0"/>
    <n v="2045.51"/>
    <x v="1456"/>
    <n v="1421.46"/>
    <n v="0.41"/>
    <x v="0"/>
    <n v="2"/>
    <x v="1"/>
  </r>
  <r>
    <d v="2004-07-28T00:00:00"/>
    <x v="2"/>
    <x v="1"/>
    <x v="3"/>
    <x v="2"/>
    <n v="4020.66"/>
    <x v="1457"/>
    <n v="4914.1400000000003"/>
    <n v="0.55000000000000004"/>
    <x v="2"/>
    <n v="7"/>
    <x v="9"/>
  </r>
  <r>
    <d v="2005-07-06T00:00:00"/>
    <x v="2"/>
    <x v="1"/>
    <x v="3"/>
    <x v="2"/>
    <n v="8.94"/>
    <x v="1458"/>
    <n v="6.21"/>
    <n v="0.40989999999999999"/>
    <x v="0"/>
    <n v="7"/>
    <x v="9"/>
  </r>
  <r>
    <d v="2005-02-18T00:00:00"/>
    <x v="0"/>
    <x v="4"/>
    <x v="2"/>
    <x v="3"/>
    <n v="2549.88"/>
    <x v="1459"/>
    <n v="3116.53"/>
    <n v="0.55000000000000004"/>
    <x v="0"/>
    <n v="2"/>
    <x v="1"/>
  </r>
  <r>
    <d v="2005-04-08T00:00:00"/>
    <x v="5"/>
    <x v="0"/>
    <x v="0"/>
    <x v="2"/>
    <n v="3466.28"/>
    <x v="1460"/>
    <n v="4236.5600000000004"/>
    <n v="0.55000000000000004"/>
    <x v="0"/>
    <n v="4"/>
    <x v="8"/>
  </r>
  <r>
    <d v="2005-06-21T00:00:00"/>
    <x v="0"/>
    <x v="4"/>
    <x v="1"/>
    <x v="2"/>
    <n v="3237.64"/>
    <x v="1461"/>
    <n v="4291.75"/>
    <n v="0.56999999999999995"/>
    <x v="0"/>
    <n v="6"/>
    <x v="5"/>
  </r>
  <r>
    <d v="2004-12-20T00:00:00"/>
    <x v="3"/>
    <x v="0"/>
    <x v="3"/>
    <x v="1"/>
    <n v="5876.59"/>
    <x v="1462"/>
    <n v="4083.74"/>
    <n v="0.41"/>
    <x v="2"/>
    <n v="12"/>
    <x v="4"/>
  </r>
  <r>
    <d v="2004-09-06T00:00:00"/>
    <x v="3"/>
    <x v="0"/>
    <x v="0"/>
    <x v="0"/>
    <n v="3980.17"/>
    <x v="1463"/>
    <n v="542.75"/>
    <n v="0.12"/>
    <x v="2"/>
    <n v="9"/>
    <x v="6"/>
  </r>
  <r>
    <d v="2006-05-19T00:00:00"/>
    <x v="2"/>
    <x v="0"/>
    <x v="0"/>
    <x v="1"/>
    <n v="1798.3"/>
    <x v="1464"/>
    <n v="1302.22"/>
    <n v="0.42"/>
    <x v="1"/>
    <n v="5"/>
    <x v="7"/>
  </r>
  <r>
    <d v="2005-03-18T00:00:00"/>
    <x v="2"/>
    <x v="0"/>
    <x v="0"/>
    <x v="3"/>
    <n v="249.38"/>
    <x v="1465"/>
    <n v="117.36"/>
    <n v="0.32"/>
    <x v="0"/>
    <n v="3"/>
    <x v="3"/>
  </r>
  <r>
    <d v="2005-03-07T00:00:00"/>
    <x v="5"/>
    <x v="3"/>
    <x v="1"/>
    <x v="2"/>
    <n v="4769.93"/>
    <x v="1466"/>
    <n v="3454.08"/>
    <n v="0.42"/>
    <x v="0"/>
    <n v="3"/>
    <x v="3"/>
  </r>
  <r>
    <d v="2005-09-22T00:00:00"/>
    <x v="2"/>
    <x v="3"/>
    <x v="2"/>
    <x v="0"/>
    <n v="7160.5"/>
    <x v="1467"/>
    <n v="976.43"/>
    <n v="0.12"/>
    <x v="0"/>
    <n v="9"/>
    <x v="6"/>
  </r>
  <r>
    <d v="2005-06-03T00:00:00"/>
    <x v="0"/>
    <x v="2"/>
    <x v="1"/>
    <x v="0"/>
    <n v="6306.47"/>
    <x v="1468"/>
    <n v="2102.16"/>
    <n v="0.25"/>
    <x v="0"/>
    <n v="6"/>
    <x v="5"/>
  </r>
  <r>
    <d v="2004-10-16T00:00:00"/>
    <x v="4"/>
    <x v="2"/>
    <x v="1"/>
    <x v="2"/>
    <n v="4250.16"/>
    <x v="1469"/>
    <n v="3077.71"/>
    <n v="0.42"/>
    <x v="2"/>
    <n v="10"/>
    <x v="0"/>
  </r>
  <r>
    <d v="2005-12-19T00:00:00"/>
    <x v="5"/>
    <x v="1"/>
    <x v="2"/>
    <x v="2"/>
    <n v="1081.32"/>
    <x v="1470"/>
    <n v="884.71"/>
    <n v="0.45"/>
    <x v="0"/>
    <n v="12"/>
    <x v="4"/>
  </r>
  <r>
    <d v="2004-12-27T00:00:00"/>
    <x v="2"/>
    <x v="3"/>
    <x v="3"/>
    <x v="2"/>
    <n v="3396.25"/>
    <x v="1471"/>
    <n v="5782.8"/>
    <n v="0.63"/>
    <x v="2"/>
    <n v="12"/>
    <x v="4"/>
  </r>
  <r>
    <d v="2005-05-05T00:00:00"/>
    <x v="4"/>
    <x v="4"/>
    <x v="2"/>
    <x v="2"/>
    <n v="5754.94"/>
    <x v="1472"/>
    <n v="3999.19"/>
    <n v="0.41"/>
    <x v="0"/>
    <n v="5"/>
    <x v="7"/>
  </r>
  <r>
    <d v="2005-01-07T00:00:00"/>
    <x v="0"/>
    <x v="3"/>
    <x v="0"/>
    <x v="1"/>
    <n v="3894.43"/>
    <x v="1473"/>
    <n v="2706.3"/>
    <n v="0.41"/>
    <x v="0"/>
    <n v="1"/>
    <x v="2"/>
  </r>
  <r>
    <d v="2006-05-01T00:00:00"/>
    <x v="2"/>
    <x v="3"/>
    <x v="1"/>
    <x v="2"/>
    <n v="6605.5"/>
    <x v="1474"/>
    <n v="2201.83"/>
    <n v="0.25"/>
    <x v="1"/>
    <n v="5"/>
    <x v="7"/>
  </r>
  <r>
    <d v="2005-11-28T00:00:00"/>
    <x v="2"/>
    <x v="3"/>
    <x v="2"/>
    <x v="1"/>
    <n v="150.74"/>
    <x v="1475"/>
    <n v="123.33"/>
    <n v="0.45"/>
    <x v="0"/>
    <n v="11"/>
    <x v="11"/>
  </r>
  <r>
    <d v="2005-04-30T00:00:00"/>
    <x v="3"/>
    <x v="3"/>
    <x v="3"/>
    <x v="1"/>
    <n v="5032.5600000000004"/>
    <x v="1476"/>
    <n v="349.86"/>
    <n v="6.5000000000000002E-2"/>
    <x v="0"/>
    <n v="4"/>
    <x v="8"/>
  </r>
  <r>
    <d v="2004-08-28T00:00:00"/>
    <x v="1"/>
    <x v="0"/>
    <x v="3"/>
    <x v="2"/>
    <n v="7898.92"/>
    <x v="1477"/>
    <n v="1077.1199999999999"/>
    <n v="0.12"/>
    <x v="2"/>
    <n v="8"/>
    <x v="10"/>
  </r>
  <r>
    <d v="2005-12-12T00:00:00"/>
    <x v="3"/>
    <x v="0"/>
    <x v="0"/>
    <x v="1"/>
    <n v="92.28"/>
    <x v="1478"/>
    <n v="43.42"/>
    <n v="0.32"/>
    <x v="0"/>
    <n v="12"/>
    <x v="4"/>
  </r>
  <r>
    <d v="2004-11-19T00:00:00"/>
    <x v="2"/>
    <x v="3"/>
    <x v="0"/>
    <x v="2"/>
    <n v="1795.57"/>
    <x v="1479"/>
    <n v="3057.33"/>
    <n v="0.63"/>
    <x v="2"/>
    <n v="11"/>
    <x v="11"/>
  </r>
  <r>
    <d v="2005-04-29T00:00:00"/>
    <x v="4"/>
    <x v="4"/>
    <x v="0"/>
    <x v="3"/>
    <n v="2646.46"/>
    <x v="1480"/>
    <n v="3508.1"/>
    <n v="0.56999999999999995"/>
    <x v="0"/>
    <n v="4"/>
    <x v="8"/>
  </r>
  <r>
    <d v="2005-07-04T00:00:00"/>
    <x v="2"/>
    <x v="0"/>
    <x v="2"/>
    <x v="3"/>
    <n v="3442.43"/>
    <x v="1481"/>
    <n v="2392.19"/>
    <n v="0.41"/>
    <x v="0"/>
    <n v="7"/>
    <x v="9"/>
  </r>
  <r>
    <d v="2004-06-17T00:00:00"/>
    <x v="5"/>
    <x v="0"/>
    <x v="0"/>
    <x v="0"/>
    <n v="998.03"/>
    <x v="1482"/>
    <n v="693.54"/>
    <n v="0.41"/>
    <x v="2"/>
    <n v="6"/>
    <x v="5"/>
  </r>
  <r>
    <d v="2004-12-22T00:00:00"/>
    <x v="4"/>
    <x v="4"/>
    <x v="1"/>
    <x v="3"/>
    <n v="3799.3"/>
    <x v="1483"/>
    <n v="518.09"/>
    <n v="0.12"/>
    <x v="2"/>
    <n v="12"/>
    <x v="4"/>
  </r>
  <r>
    <d v="2006-01-04T00:00:00"/>
    <x v="4"/>
    <x v="4"/>
    <x v="2"/>
    <x v="1"/>
    <n v="4158.17"/>
    <x v="1484"/>
    <n v="1386.06"/>
    <n v="0.25"/>
    <x v="1"/>
    <n v="1"/>
    <x v="2"/>
  </r>
  <r>
    <d v="2005-06-01T00:00:00"/>
    <x v="4"/>
    <x v="0"/>
    <x v="2"/>
    <x v="1"/>
    <n v="1205.93"/>
    <x v="1485"/>
    <n v="567.49"/>
    <n v="0.32"/>
    <x v="0"/>
    <n v="6"/>
    <x v="5"/>
  </r>
  <r>
    <d v="2005-03-09T00:00:00"/>
    <x v="1"/>
    <x v="2"/>
    <x v="3"/>
    <x v="3"/>
    <n v="7634.9"/>
    <x v="1486"/>
    <n v="530.77"/>
    <n v="6.5000000000000002E-2"/>
    <x v="0"/>
    <n v="3"/>
    <x v="3"/>
  </r>
  <r>
    <d v="2006-05-27T00:00:00"/>
    <x v="3"/>
    <x v="0"/>
    <x v="1"/>
    <x v="0"/>
    <n v="2289.25"/>
    <x v="1487"/>
    <n v="1873.03"/>
    <n v="0.45"/>
    <x v="1"/>
    <n v="5"/>
    <x v="7"/>
  </r>
  <r>
    <d v="2005-03-31T00:00:00"/>
    <x v="3"/>
    <x v="0"/>
    <x v="0"/>
    <x v="1"/>
    <n v="2944.1"/>
    <x v="1488"/>
    <n v="2045.9"/>
    <n v="0.41"/>
    <x v="0"/>
    <n v="3"/>
    <x v="3"/>
  </r>
  <r>
    <d v="2005-01-22T00:00:00"/>
    <x v="5"/>
    <x v="3"/>
    <x v="3"/>
    <x v="1"/>
    <n v="2132.9299999999998"/>
    <x v="1489"/>
    <n v="148.28"/>
    <n v="6.5000000000000002E-2"/>
    <x v="0"/>
    <n v="1"/>
    <x v="2"/>
  </r>
  <r>
    <d v="2006-03-10T00:00:00"/>
    <x v="4"/>
    <x v="0"/>
    <x v="2"/>
    <x v="0"/>
    <n v="4378.34"/>
    <x v="1490"/>
    <n v="304.38"/>
    <n v="6.5000000000000002E-2"/>
    <x v="1"/>
    <n v="3"/>
    <x v="3"/>
  </r>
  <r>
    <d v="2005-04-07T00:00:00"/>
    <x v="3"/>
    <x v="4"/>
    <x v="2"/>
    <x v="0"/>
    <n v="865.99"/>
    <x v="1491"/>
    <n v="1058.44"/>
    <n v="0.55000000000000004"/>
    <x v="0"/>
    <n v="4"/>
    <x v="8"/>
  </r>
  <r>
    <d v="2006-01-08T00:00:00"/>
    <x v="1"/>
    <x v="0"/>
    <x v="2"/>
    <x v="2"/>
    <n v="2173.2199999999998"/>
    <x v="1492"/>
    <n v="1510.2"/>
    <n v="0.41"/>
    <x v="1"/>
    <n v="1"/>
    <x v="2"/>
  </r>
  <r>
    <d v="2005-01-29T00:00:00"/>
    <x v="2"/>
    <x v="0"/>
    <x v="0"/>
    <x v="3"/>
    <n v="969.04"/>
    <x v="1493"/>
    <n v="1284.53"/>
    <n v="0.56999999999999995"/>
    <x v="0"/>
    <n v="1"/>
    <x v="2"/>
  </r>
  <r>
    <d v="2005-09-01T00:00:00"/>
    <x v="4"/>
    <x v="4"/>
    <x v="2"/>
    <x v="3"/>
    <n v="2968.88"/>
    <x v="1494"/>
    <n v="2149.88"/>
    <n v="0.42"/>
    <x v="0"/>
    <n v="9"/>
    <x v="6"/>
  </r>
  <r>
    <d v="2004-09-10T00:00:00"/>
    <x v="5"/>
    <x v="4"/>
    <x v="3"/>
    <x v="2"/>
    <n v="1017.93"/>
    <x v="1495"/>
    <n v="70.760000000000005"/>
    <n v="6.5000000000000002E-2"/>
    <x v="2"/>
    <n v="9"/>
    <x v="6"/>
  </r>
  <r>
    <d v="2004-09-24T00:00:00"/>
    <x v="1"/>
    <x v="1"/>
    <x v="0"/>
    <x v="2"/>
    <n v="756.89"/>
    <x v="1496"/>
    <n v="103.21"/>
    <n v="0.12"/>
    <x v="2"/>
    <n v="9"/>
    <x v="6"/>
  </r>
  <r>
    <d v="2004-10-30T00:00:00"/>
    <x v="3"/>
    <x v="2"/>
    <x v="3"/>
    <x v="0"/>
    <n v="5628.18"/>
    <x v="1497"/>
    <n v="3911.1"/>
    <n v="0.41"/>
    <x v="2"/>
    <n v="10"/>
    <x v="0"/>
  </r>
  <r>
    <d v="2006-01-09T00:00:00"/>
    <x v="4"/>
    <x v="4"/>
    <x v="0"/>
    <x v="3"/>
    <n v="725.55"/>
    <x v="1498"/>
    <n v="504.2"/>
    <n v="0.41"/>
    <x v="1"/>
    <n v="1"/>
    <x v="2"/>
  </r>
  <r>
    <d v="2004-11-10T00:00:00"/>
    <x v="1"/>
    <x v="4"/>
    <x v="1"/>
    <x v="1"/>
    <n v="335.88"/>
    <x v="1499"/>
    <n v="445.24"/>
    <n v="0.56999999999999995"/>
    <x v="2"/>
    <n v="11"/>
    <x v="11"/>
  </r>
  <r>
    <d v="2004-07-27T00:00:00"/>
    <x v="1"/>
    <x v="3"/>
    <x v="3"/>
    <x v="3"/>
    <n v="245.5"/>
    <x v="1500"/>
    <n v="418.02"/>
    <n v="0.63"/>
    <x v="2"/>
    <n v="7"/>
    <x v="9"/>
  </r>
  <r>
    <d v="2005-08-25T00:00:00"/>
    <x v="0"/>
    <x v="4"/>
    <x v="1"/>
    <x v="0"/>
    <n v="8240.2800000000007"/>
    <x v="1501"/>
    <n v="1123.67"/>
    <n v="0.12"/>
    <x v="0"/>
    <n v="8"/>
    <x v="10"/>
  </r>
  <r>
    <d v="2005-11-06T00:00:00"/>
    <x v="4"/>
    <x v="3"/>
    <x v="0"/>
    <x v="2"/>
    <n v="3919.15"/>
    <x v="1502"/>
    <n v="1844.3"/>
    <n v="0.32"/>
    <x v="0"/>
    <n v="11"/>
    <x v="11"/>
  </r>
  <r>
    <d v="2005-12-27T00:00:00"/>
    <x v="0"/>
    <x v="1"/>
    <x v="2"/>
    <x v="3"/>
    <n v="1270.93"/>
    <x v="1503"/>
    <n v="2164.0100000000002"/>
    <n v="0.63"/>
    <x v="0"/>
    <n v="12"/>
    <x v="4"/>
  </r>
  <r>
    <d v="2006-01-19T00:00:00"/>
    <x v="5"/>
    <x v="0"/>
    <x v="1"/>
    <x v="0"/>
    <n v="3345.55"/>
    <x v="1504"/>
    <n v="1574.38"/>
    <n v="0.32"/>
    <x v="1"/>
    <n v="1"/>
    <x v="2"/>
  </r>
  <r>
    <d v="2004-08-28T00:00:00"/>
    <x v="1"/>
    <x v="0"/>
    <x v="0"/>
    <x v="2"/>
    <n v="2021.74"/>
    <x v="1505"/>
    <n v="673.92"/>
    <n v="0.25"/>
    <x v="2"/>
    <n v="8"/>
    <x v="10"/>
  </r>
  <r>
    <d v="2005-05-16T00:00:00"/>
    <x v="5"/>
    <x v="0"/>
    <x v="0"/>
    <x v="1"/>
    <n v="3632.23"/>
    <x v="1506"/>
    <n v="252.51"/>
    <n v="6.5000000000000002E-2"/>
    <x v="0"/>
    <n v="5"/>
    <x v="7"/>
  </r>
  <r>
    <d v="2005-09-01T00:00:00"/>
    <x v="3"/>
    <x v="2"/>
    <x v="2"/>
    <x v="2"/>
    <n v="747.47"/>
    <x v="1507"/>
    <n v="519.41999999999996"/>
    <n v="0.41"/>
    <x v="0"/>
    <n v="9"/>
    <x v="6"/>
  </r>
  <r>
    <d v="2006-06-07T00:00:00"/>
    <x v="1"/>
    <x v="2"/>
    <x v="1"/>
    <x v="3"/>
    <n v="6353.36"/>
    <x v="1508"/>
    <n v="2989.82"/>
    <n v="0.32"/>
    <x v="1"/>
    <n v="6"/>
    <x v="5"/>
  </r>
  <r>
    <d v="2006-03-03T00:00:00"/>
    <x v="1"/>
    <x v="0"/>
    <x v="1"/>
    <x v="1"/>
    <n v="5971.78"/>
    <x v="1509"/>
    <n v="1990.6"/>
    <n v="0.25"/>
    <x v="1"/>
    <n v="3"/>
    <x v="3"/>
  </r>
  <r>
    <d v="2005-11-13T00:00:00"/>
    <x v="1"/>
    <x v="3"/>
    <x v="3"/>
    <x v="2"/>
    <n v="176.19"/>
    <x v="1510"/>
    <n v="127.58"/>
    <n v="0.42"/>
    <x v="0"/>
    <n v="11"/>
    <x v="11"/>
  </r>
  <r>
    <d v="2005-07-29T00:00:00"/>
    <x v="1"/>
    <x v="3"/>
    <x v="0"/>
    <x v="1"/>
    <n v="966.49"/>
    <x v="1511"/>
    <n v="790.77"/>
    <n v="0.45"/>
    <x v="0"/>
    <n v="7"/>
    <x v="9"/>
  </r>
  <r>
    <d v="2006-03-02T00:00:00"/>
    <x v="3"/>
    <x v="3"/>
    <x v="3"/>
    <x v="0"/>
    <n v="3827.04"/>
    <x v="1512"/>
    <n v="4677.49"/>
    <n v="0.55000000000000004"/>
    <x v="1"/>
    <n v="3"/>
    <x v="3"/>
  </r>
  <r>
    <d v="2004-12-21T00:00:00"/>
    <x v="2"/>
    <x v="4"/>
    <x v="0"/>
    <x v="3"/>
    <n v="1246.31"/>
    <x v="1513"/>
    <n v="1019.7"/>
    <n v="0.45"/>
    <x v="2"/>
    <n v="12"/>
    <x v="4"/>
  </r>
  <r>
    <d v="2005-05-03T00:00:00"/>
    <x v="1"/>
    <x v="1"/>
    <x v="3"/>
    <x v="2"/>
    <n v="531.59"/>
    <x v="1514"/>
    <n v="250.16"/>
    <n v="0.32"/>
    <x v="0"/>
    <n v="5"/>
    <x v="7"/>
  </r>
  <r>
    <d v="2004-08-03T00:00:00"/>
    <x v="3"/>
    <x v="1"/>
    <x v="3"/>
    <x v="1"/>
    <n v="8930.01"/>
    <x v="1515"/>
    <n v="620.79999999999995"/>
    <n v="6.5000000000000002E-2"/>
    <x v="2"/>
    <n v="8"/>
    <x v="10"/>
  </r>
  <r>
    <d v="2005-06-02T00:00:00"/>
    <x v="4"/>
    <x v="1"/>
    <x v="3"/>
    <x v="2"/>
    <n v="6662.52"/>
    <x v="1516"/>
    <n v="3135.31"/>
    <n v="0.32"/>
    <x v="0"/>
    <n v="6"/>
    <x v="5"/>
  </r>
  <r>
    <d v="2005-12-04T00:00:00"/>
    <x v="2"/>
    <x v="4"/>
    <x v="2"/>
    <x v="3"/>
    <n v="2348.6"/>
    <x v="1517"/>
    <n v="1632.07"/>
    <n v="0.41"/>
    <x v="0"/>
    <n v="12"/>
    <x v="4"/>
  </r>
  <r>
    <d v="2004-10-07T00:00:00"/>
    <x v="1"/>
    <x v="4"/>
    <x v="1"/>
    <x v="3"/>
    <n v="5417.68"/>
    <x v="1518"/>
    <n v="3923.15"/>
    <n v="0.42"/>
    <x v="2"/>
    <n v="10"/>
    <x v="0"/>
  </r>
  <r>
    <d v="2005-03-25T00:00:00"/>
    <x v="5"/>
    <x v="0"/>
    <x v="2"/>
    <x v="3"/>
    <n v="3382.69"/>
    <x v="1519"/>
    <n v="1591.86"/>
    <n v="0.32"/>
    <x v="0"/>
    <n v="3"/>
    <x v="3"/>
  </r>
  <r>
    <d v="2006-02-10T00:00:00"/>
    <x v="1"/>
    <x v="3"/>
    <x v="0"/>
    <x v="2"/>
    <n v="1022.85"/>
    <x v="1520"/>
    <n v="1250.1500000000001"/>
    <n v="0.55000000000000004"/>
    <x v="1"/>
    <n v="2"/>
    <x v="1"/>
  </r>
  <r>
    <d v="2005-01-23T00:00:00"/>
    <x v="3"/>
    <x v="1"/>
    <x v="2"/>
    <x v="1"/>
    <n v="3702.88"/>
    <x v="1521"/>
    <n v="4525.74"/>
    <n v="0.55000000000000004"/>
    <x v="0"/>
    <n v="1"/>
    <x v="2"/>
  </r>
  <r>
    <d v="2005-12-29T00:00:00"/>
    <x v="2"/>
    <x v="4"/>
    <x v="2"/>
    <x v="2"/>
    <n v="3249.64"/>
    <x v="1522"/>
    <n v="1083.22"/>
    <n v="0.25"/>
    <x v="0"/>
    <n v="12"/>
    <x v="4"/>
  </r>
  <r>
    <d v="2005-10-24T00:00:00"/>
    <x v="4"/>
    <x v="1"/>
    <x v="2"/>
    <x v="2"/>
    <n v="7137.56"/>
    <x v="1523"/>
    <n v="2379.1799999999998"/>
    <n v="0.25"/>
    <x v="0"/>
    <n v="10"/>
    <x v="0"/>
  </r>
  <r>
    <d v="2006-05-19T00:00:00"/>
    <x v="3"/>
    <x v="2"/>
    <x v="0"/>
    <x v="2"/>
    <n v="1530.54"/>
    <x v="1524"/>
    <n v="1870.67"/>
    <n v="0.55000000000000004"/>
    <x v="1"/>
    <n v="5"/>
    <x v="7"/>
  </r>
  <r>
    <d v="2005-07-06T00:00:00"/>
    <x v="3"/>
    <x v="0"/>
    <x v="3"/>
    <x v="2"/>
    <n v="8824.4"/>
    <x v="1525"/>
    <n v="613.46"/>
    <n v="6.5000000000000002E-2"/>
    <x v="0"/>
    <n v="7"/>
    <x v="9"/>
  </r>
  <r>
    <d v="2005-12-20T00:00:00"/>
    <x v="5"/>
    <x v="2"/>
    <x v="3"/>
    <x v="2"/>
    <n v="2696.92"/>
    <x v="1526"/>
    <n v="3296.24"/>
    <n v="0.55000000000000004"/>
    <x v="0"/>
    <n v="12"/>
    <x v="4"/>
  </r>
  <r>
    <d v="2004-08-13T00:00:00"/>
    <x v="4"/>
    <x v="2"/>
    <x v="2"/>
    <x v="1"/>
    <n v="1054.76"/>
    <x v="1527"/>
    <n v="1398.18"/>
    <n v="0.56999999999999995"/>
    <x v="2"/>
    <n v="8"/>
    <x v="10"/>
  </r>
  <r>
    <d v="2005-08-13T00:00:00"/>
    <x v="0"/>
    <x v="3"/>
    <x v="3"/>
    <x v="2"/>
    <n v="2645.06"/>
    <x v="1528"/>
    <n v="3232.86"/>
    <n v="0.55000000000000004"/>
    <x v="0"/>
    <n v="8"/>
    <x v="10"/>
  </r>
  <r>
    <d v="2004-09-06T00:00:00"/>
    <x v="3"/>
    <x v="0"/>
    <x v="1"/>
    <x v="0"/>
    <n v="5481.77"/>
    <x v="1529"/>
    <n v="747.51"/>
    <n v="0.12"/>
    <x v="2"/>
    <n v="9"/>
    <x v="6"/>
  </r>
  <r>
    <d v="2004-08-29T00:00:00"/>
    <x v="1"/>
    <x v="0"/>
    <x v="3"/>
    <x v="0"/>
    <n v="1775.84"/>
    <x v="1530"/>
    <n v="2354.0100000000002"/>
    <n v="0.56999999999999995"/>
    <x v="2"/>
    <n v="8"/>
    <x v="10"/>
  </r>
  <r>
    <d v="2005-07-20T00:00:00"/>
    <x v="5"/>
    <x v="1"/>
    <x v="0"/>
    <x v="0"/>
    <n v="2051.0500000000002"/>
    <x v="1531"/>
    <n v="2718.84"/>
    <n v="0.56999999999999995"/>
    <x v="0"/>
    <n v="7"/>
    <x v="9"/>
  </r>
  <r>
    <d v="2005-09-09T00:00:00"/>
    <x v="2"/>
    <x v="0"/>
    <x v="2"/>
    <x v="2"/>
    <n v="6992.64"/>
    <x v="1532"/>
    <n v="953.54"/>
    <n v="0.12"/>
    <x v="0"/>
    <n v="9"/>
    <x v="6"/>
  </r>
  <r>
    <d v="2006-02-20T00:00:00"/>
    <x v="3"/>
    <x v="1"/>
    <x v="0"/>
    <x v="3"/>
    <n v="2423.79"/>
    <x v="1533"/>
    <n v="2962.41"/>
    <n v="0.55000000000000004"/>
    <x v="1"/>
    <n v="2"/>
    <x v="1"/>
  </r>
  <r>
    <d v="2004-07-08T00:00:00"/>
    <x v="0"/>
    <x v="1"/>
    <x v="3"/>
    <x v="2"/>
    <n v="3734.64"/>
    <x v="1534"/>
    <n v="1244.8800000000001"/>
    <n v="0.25"/>
    <x v="2"/>
    <n v="7"/>
    <x v="9"/>
  </r>
  <r>
    <d v="2005-05-12T00:00:00"/>
    <x v="4"/>
    <x v="4"/>
    <x v="3"/>
    <x v="2"/>
    <n v="4937.53"/>
    <x v="1535"/>
    <n v="2323.5500000000002"/>
    <n v="0.32"/>
    <x v="0"/>
    <n v="5"/>
    <x v="7"/>
  </r>
  <r>
    <d v="2004-07-04T00:00:00"/>
    <x v="1"/>
    <x v="3"/>
    <x v="0"/>
    <x v="0"/>
    <n v="8787.6299999999992"/>
    <x v="1536"/>
    <n v="1198.31"/>
    <n v="0.12"/>
    <x v="2"/>
    <n v="7"/>
    <x v="9"/>
  </r>
  <r>
    <d v="2006-03-08T00:00:00"/>
    <x v="4"/>
    <x v="1"/>
    <x v="3"/>
    <x v="0"/>
    <n v="975.74"/>
    <x v="1537"/>
    <n v="798.33"/>
    <n v="0.45"/>
    <x v="1"/>
    <n v="3"/>
    <x v="3"/>
  </r>
  <r>
    <d v="2005-01-28T00:00:00"/>
    <x v="5"/>
    <x v="0"/>
    <x v="3"/>
    <x v="1"/>
    <n v="4035.88"/>
    <x v="1538"/>
    <n v="2922.54"/>
    <n v="0.42"/>
    <x v="0"/>
    <n v="1"/>
    <x v="2"/>
  </r>
  <r>
    <d v="2005-04-22T00:00:00"/>
    <x v="2"/>
    <x v="2"/>
    <x v="2"/>
    <x v="2"/>
    <n v="3210.66"/>
    <x v="1539"/>
    <n v="4255.99"/>
    <n v="0.56999999999999995"/>
    <x v="0"/>
    <n v="4"/>
    <x v="8"/>
  </r>
  <r>
    <d v="2006-03-12T00:00:00"/>
    <x v="2"/>
    <x v="3"/>
    <x v="2"/>
    <x v="3"/>
    <n v="3499.59"/>
    <x v="1540"/>
    <n v="2534.1799999999998"/>
    <n v="0.42"/>
    <x v="1"/>
    <n v="3"/>
    <x v="3"/>
  </r>
  <r>
    <d v="2005-05-02T00:00:00"/>
    <x v="0"/>
    <x v="0"/>
    <x v="3"/>
    <x v="2"/>
    <n v="1628.98"/>
    <x v="1541"/>
    <n v="2773.67"/>
    <n v="0.63"/>
    <x v="0"/>
    <n v="5"/>
    <x v="7"/>
  </r>
  <r>
    <d v="2006-01-24T00:00:00"/>
    <x v="0"/>
    <x v="0"/>
    <x v="1"/>
    <x v="3"/>
    <n v="1149.0899999999999"/>
    <x v="1542"/>
    <n v="1523.21"/>
    <n v="0.56999999999999995"/>
    <x v="1"/>
    <n v="1"/>
    <x v="2"/>
  </r>
  <r>
    <d v="2005-02-16T00:00:00"/>
    <x v="4"/>
    <x v="2"/>
    <x v="0"/>
    <x v="0"/>
    <n v="1982.48"/>
    <x v="1543"/>
    <n v="270.33999999999997"/>
    <n v="0.12"/>
    <x v="0"/>
    <n v="2"/>
    <x v="1"/>
  </r>
  <r>
    <d v="2005-03-11T00:00:00"/>
    <x v="5"/>
    <x v="1"/>
    <x v="2"/>
    <x v="2"/>
    <n v="2597.27"/>
    <x v="1544"/>
    <n v="1880.78"/>
    <n v="0.42"/>
    <x v="0"/>
    <n v="3"/>
    <x v="3"/>
  </r>
  <r>
    <d v="2004-06-27T00:00:00"/>
    <x v="4"/>
    <x v="4"/>
    <x v="0"/>
    <x v="2"/>
    <n v="3785.5"/>
    <x v="1545"/>
    <n v="5017.9799999999996"/>
    <n v="0.56999999999999995"/>
    <x v="2"/>
    <n v="6"/>
    <x v="5"/>
  </r>
  <r>
    <d v="2005-09-26T00:00:00"/>
    <x v="4"/>
    <x v="0"/>
    <x v="1"/>
    <x v="1"/>
    <n v="5590.28"/>
    <x v="1546"/>
    <n v="1863.42"/>
    <n v="0.25"/>
    <x v="0"/>
    <n v="9"/>
    <x v="6"/>
  </r>
  <r>
    <d v="2004-06-23T00:00:00"/>
    <x v="3"/>
    <x v="0"/>
    <x v="0"/>
    <x v="2"/>
    <n v="1197.6300000000001"/>
    <x v="1547"/>
    <n v="83.26"/>
    <n v="6.5000000000000002E-2"/>
    <x v="2"/>
    <n v="6"/>
    <x v="5"/>
  </r>
  <r>
    <d v="2006-05-14T00:00:00"/>
    <x v="3"/>
    <x v="1"/>
    <x v="1"/>
    <x v="3"/>
    <n v="692.47"/>
    <x v="1548"/>
    <n v="230.82"/>
    <n v="0.25"/>
    <x v="1"/>
    <n v="5"/>
    <x v="7"/>
  </r>
  <r>
    <d v="2006-03-06T00:00:00"/>
    <x v="3"/>
    <x v="1"/>
    <x v="0"/>
    <x v="3"/>
    <n v="7657.33"/>
    <x v="1549"/>
    <n v="532.33000000000004"/>
    <n v="6.5000000000000002E-2"/>
    <x v="1"/>
    <n v="3"/>
    <x v="3"/>
  </r>
  <r>
    <d v="2005-07-08T00:00:00"/>
    <x v="1"/>
    <x v="0"/>
    <x v="0"/>
    <x v="2"/>
    <n v="365.06"/>
    <x v="1550"/>
    <n v="298.68"/>
    <n v="0.45"/>
    <x v="0"/>
    <n v="7"/>
    <x v="9"/>
  </r>
  <r>
    <d v="2006-02-10T00:00:00"/>
    <x v="1"/>
    <x v="1"/>
    <x v="0"/>
    <x v="0"/>
    <n v="521.66999999999996"/>
    <x v="1551"/>
    <n v="71.14"/>
    <n v="0.12"/>
    <x v="1"/>
    <n v="2"/>
    <x v="1"/>
  </r>
  <r>
    <d v="2004-07-08T00:00:00"/>
    <x v="1"/>
    <x v="3"/>
    <x v="1"/>
    <x v="0"/>
    <n v="3110.48"/>
    <x v="1552"/>
    <n v="1036.82"/>
    <n v="0.25"/>
    <x v="2"/>
    <n v="7"/>
    <x v="9"/>
  </r>
  <r>
    <d v="2005-08-25T00:00:00"/>
    <x v="4"/>
    <x v="2"/>
    <x v="0"/>
    <x v="3"/>
    <n v="274.97000000000003"/>
    <x v="1553"/>
    <n v="336.07"/>
    <n v="0.55000000000000004"/>
    <x v="0"/>
    <n v="8"/>
    <x v="10"/>
  </r>
  <r>
    <d v="2005-07-15T00:00:00"/>
    <x v="4"/>
    <x v="4"/>
    <x v="1"/>
    <x v="1"/>
    <n v="2844.68"/>
    <x v="1554"/>
    <n v="387.91"/>
    <n v="0.12"/>
    <x v="0"/>
    <n v="7"/>
    <x v="9"/>
  </r>
  <r>
    <d v="2004-08-03T00:00:00"/>
    <x v="3"/>
    <x v="3"/>
    <x v="3"/>
    <x v="0"/>
    <n v="1271.6300000000001"/>
    <x v="1555"/>
    <n v="1554.22"/>
    <n v="0.55000000000000004"/>
    <x v="2"/>
    <n v="8"/>
    <x v="10"/>
  </r>
  <r>
    <d v="2005-08-12T00:00:00"/>
    <x v="3"/>
    <x v="2"/>
    <x v="1"/>
    <x v="2"/>
    <n v="661.54"/>
    <x v="1556"/>
    <n v="220.52"/>
    <n v="0.25"/>
    <x v="0"/>
    <n v="8"/>
    <x v="10"/>
  </r>
  <r>
    <d v="2005-08-25T00:00:00"/>
    <x v="5"/>
    <x v="3"/>
    <x v="0"/>
    <x v="1"/>
    <n v="2050.4499999999998"/>
    <x v="1557"/>
    <n v="1484.8"/>
    <n v="0.42"/>
    <x v="0"/>
    <n v="8"/>
    <x v="10"/>
  </r>
  <r>
    <d v="2005-12-28T00:00:00"/>
    <x v="2"/>
    <x v="4"/>
    <x v="1"/>
    <x v="0"/>
    <n v="1774.54"/>
    <x v="1558"/>
    <n v="1233.1500000000001"/>
    <n v="0.41"/>
    <x v="0"/>
    <n v="12"/>
    <x v="4"/>
  </r>
  <r>
    <d v="2005-02-01T00:00:00"/>
    <x v="0"/>
    <x v="2"/>
    <x v="2"/>
    <x v="2"/>
    <n v="1760.2"/>
    <x v="1559"/>
    <n v="122.37"/>
    <n v="6.5000000000000002E-2"/>
    <x v="0"/>
    <n v="2"/>
    <x v="1"/>
  </r>
  <r>
    <d v="2005-06-24T00:00:00"/>
    <x v="5"/>
    <x v="0"/>
    <x v="2"/>
    <x v="0"/>
    <n v="555.74"/>
    <x v="1560"/>
    <n v="386.19"/>
    <n v="0.41"/>
    <x v="0"/>
    <n v="6"/>
    <x v="5"/>
  </r>
  <r>
    <d v="2006-05-18T00:00:00"/>
    <x v="5"/>
    <x v="1"/>
    <x v="3"/>
    <x v="2"/>
    <n v="8649.2800000000007"/>
    <x v="1561"/>
    <n v="601.29"/>
    <n v="6.5000000000000002E-2"/>
    <x v="1"/>
    <n v="5"/>
    <x v="7"/>
  </r>
  <r>
    <d v="2006-01-19T00:00:00"/>
    <x v="0"/>
    <x v="3"/>
    <x v="1"/>
    <x v="3"/>
    <n v="913.62"/>
    <x v="1562"/>
    <n v="1555.62"/>
    <n v="0.63"/>
    <x v="1"/>
    <n v="1"/>
    <x v="2"/>
  </r>
  <r>
    <d v="2005-02-26T00:00:00"/>
    <x v="1"/>
    <x v="2"/>
    <x v="0"/>
    <x v="1"/>
    <n v="3176.73"/>
    <x v="1563"/>
    <n v="1058.9100000000001"/>
    <n v="0.25"/>
    <x v="0"/>
    <n v="2"/>
    <x v="1"/>
  </r>
  <r>
    <d v="2004-12-24T00:00:00"/>
    <x v="4"/>
    <x v="2"/>
    <x v="2"/>
    <x v="1"/>
    <n v="435.4"/>
    <x v="1564"/>
    <n v="577.16"/>
    <n v="0.56999999999999995"/>
    <x v="2"/>
    <n v="12"/>
    <x v="4"/>
  </r>
  <r>
    <d v="2005-06-02T00:00:00"/>
    <x v="3"/>
    <x v="3"/>
    <x v="3"/>
    <x v="3"/>
    <n v="6767.95"/>
    <x v="1565"/>
    <n v="2255.98"/>
    <n v="0.25"/>
    <x v="0"/>
    <n v="6"/>
    <x v="5"/>
  </r>
  <r>
    <d v="2005-08-16T00:00:00"/>
    <x v="0"/>
    <x v="1"/>
    <x v="3"/>
    <x v="2"/>
    <n v="4670.83"/>
    <x v="1566"/>
    <n v="2198.04"/>
    <n v="0.32"/>
    <x v="0"/>
    <n v="8"/>
    <x v="10"/>
  </r>
  <r>
    <d v="2004-06-30T00:00:00"/>
    <x v="0"/>
    <x v="3"/>
    <x v="3"/>
    <x v="3"/>
    <n v="2705.61"/>
    <x v="1567"/>
    <n v="2213.6799999999998"/>
    <n v="0.45"/>
    <x v="2"/>
    <n v="6"/>
    <x v="5"/>
  </r>
  <r>
    <d v="2004-08-27T00:00:00"/>
    <x v="2"/>
    <x v="3"/>
    <x v="2"/>
    <x v="2"/>
    <n v="1441.14"/>
    <x v="1568"/>
    <n v="1001.47"/>
    <n v="0.41"/>
    <x v="2"/>
    <n v="8"/>
    <x v="10"/>
  </r>
  <r>
    <d v="2005-01-11T00:00:00"/>
    <x v="0"/>
    <x v="3"/>
    <x v="2"/>
    <x v="2"/>
    <n v="6171.5"/>
    <x v="1569"/>
    <n v="2057.16"/>
    <n v="0.25"/>
    <x v="0"/>
    <n v="1"/>
    <x v="2"/>
  </r>
  <r>
    <d v="2006-02-02T00:00:00"/>
    <x v="0"/>
    <x v="2"/>
    <x v="3"/>
    <x v="0"/>
    <n v="3025.76"/>
    <x v="1570"/>
    <n v="210.35"/>
    <n v="6.5000000000000002E-2"/>
    <x v="1"/>
    <n v="2"/>
    <x v="1"/>
  </r>
  <r>
    <d v="2005-09-12T00:00:00"/>
    <x v="2"/>
    <x v="3"/>
    <x v="2"/>
    <x v="1"/>
    <n v="2381.25"/>
    <x v="1571"/>
    <n v="1948.29"/>
    <n v="0.45"/>
    <x v="0"/>
    <n v="9"/>
    <x v="6"/>
  </r>
  <r>
    <d v="2006-03-16T00:00:00"/>
    <x v="0"/>
    <x v="4"/>
    <x v="3"/>
    <x v="2"/>
    <n v="3494.46"/>
    <x v="1572"/>
    <n v="4271.01"/>
    <n v="0.55000000000000004"/>
    <x v="1"/>
    <n v="3"/>
    <x v="3"/>
  </r>
  <r>
    <d v="2006-05-19T00:00:00"/>
    <x v="0"/>
    <x v="2"/>
    <x v="0"/>
    <x v="2"/>
    <n v="1458.24"/>
    <x v="1573"/>
    <n v="1193.1099999999999"/>
    <n v="0.45"/>
    <x v="1"/>
    <n v="5"/>
    <x v="7"/>
  </r>
  <r>
    <d v="2005-01-17T00:00:00"/>
    <x v="0"/>
    <x v="3"/>
    <x v="0"/>
    <x v="2"/>
    <n v="3119.09"/>
    <x v="1574"/>
    <n v="216.83"/>
    <n v="6.5000000000000002E-2"/>
    <x v="0"/>
    <n v="1"/>
    <x v="2"/>
  </r>
  <r>
    <d v="2004-07-21T00:00:00"/>
    <x v="3"/>
    <x v="4"/>
    <x v="3"/>
    <x v="2"/>
    <n v="3119.56"/>
    <x v="1575"/>
    <n v="4135.2299999999996"/>
    <n v="0.56999999999999995"/>
    <x v="2"/>
    <n v="7"/>
    <x v="9"/>
  </r>
  <r>
    <d v="2006-02-20T00:00:00"/>
    <x v="4"/>
    <x v="4"/>
    <x v="0"/>
    <x v="2"/>
    <n v="3507.3"/>
    <x v="1576"/>
    <n v="478.27"/>
    <n v="0.12"/>
    <x v="1"/>
    <n v="2"/>
    <x v="1"/>
  </r>
  <r>
    <d v="2005-06-10T00:00:00"/>
    <x v="4"/>
    <x v="1"/>
    <x v="0"/>
    <x v="1"/>
    <n v="1411.17"/>
    <x v="1577"/>
    <n v="1870.63"/>
    <n v="0.56999999999999995"/>
    <x v="0"/>
    <n v="6"/>
    <x v="5"/>
  </r>
  <r>
    <d v="2005-06-25T00:00:00"/>
    <x v="4"/>
    <x v="0"/>
    <x v="1"/>
    <x v="2"/>
    <n v="3633.5"/>
    <x v="1578"/>
    <n v="2972.86"/>
    <n v="0.45"/>
    <x v="0"/>
    <n v="6"/>
    <x v="5"/>
  </r>
  <r>
    <d v="2004-12-27T00:00:00"/>
    <x v="5"/>
    <x v="0"/>
    <x v="3"/>
    <x v="0"/>
    <n v="5832.41"/>
    <x v="1579"/>
    <n v="1944.14"/>
    <n v="0.25"/>
    <x v="2"/>
    <n v="12"/>
    <x v="4"/>
  </r>
  <r>
    <d v="2006-04-09T00:00:00"/>
    <x v="0"/>
    <x v="4"/>
    <x v="2"/>
    <x v="0"/>
    <n v="1126.71"/>
    <x v="1580"/>
    <n v="921.85"/>
    <n v="0.45"/>
    <x v="1"/>
    <n v="4"/>
    <x v="8"/>
  </r>
  <r>
    <d v="2005-11-03T00:00:00"/>
    <x v="1"/>
    <x v="1"/>
    <x v="0"/>
    <x v="0"/>
    <n v="3516.6"/>
    <x v="1581"/>
    <n v="2877.22"/>
    <n v="0.45"/>
    <x v="0"/>
    <n v="11"/>
    <x v="11"/>
  </r>
  <r>
    <d v="2006-06-05T00:00:00"/>
    <x v="4"/>
    <x v="4"/>
    <x v="2"/>
    <x v="1"/>
    <n v="1755.66"/>
    <x v="1582"/>
    <n v="826.19"/>
    <n v="0.32"/>
    <x v="1"/>
    <n v="6"/>
    <x v="5"/>
  </r>
  <r>
    <d v="2004-09-18T00:00:00"/>
    <x v="0"/>
    <x v="0"/>
    <x v="3"/>
    <x v="2"/>
    <n v="50.73"/>
    <x v="1583"/>
    <n v="23.87"/>
    <n v="0.32"/>
    <x v="2"/>
    <n v="9"/>
    <x v="6"/>
  </r>
  <r>
    <d v="2005-03-26T00:00:00"/>
    <x v="3"/>
    <x v="4"/>
    <x v="3"/>
    <x v="0"/>
    <n v="1857.3"/>
    <x v="1584"/>
    <n v="1344.95"/>
    <n v="0.42"/>
    <x v="0"/>
    <n v="3"/>
    <x v="3"/>
  </r>
  <r>
    <d v="2004-07-22T00:00:00"/>
    <x v="0"/>
    <x v="4"/>
    <x v="3"/>
    <x v="0"/>
    <n v="649.5"/>
    <x v="1585"/>
    <n v="531.41"/>
    <n v="0.45"/>
    <x v="2"/>
    <n v="7"/>
    <x v="9"/>
  </r>
  <r>
    <d v="2005-10-13T00:00:00"/>
    <x v="1"/>
    <x v="0"/>
    <x v="1"/>
    <x v="3"/>
    <n v="2735.9"/>
    <x v="1586"/>
    <n v="4658.42"/>
    <n v="0.63"/>
    <x v="0"/>
    <n v="10"/>
    <x v="0"/>
  </r>
  <r>
    <d v="2006-02-04T00:00:00"/>
    <x v="1"/>
    <x v="1"/>
    <x v="1"/>
    <x v="1"/>
    <n v="3381.49"/>
    <x v="1587"/>
    <n v="5757.68"/>
    <n v="0.63"/>
    <x v="1"/>
    <n v="2"/>
    <x v="1"/>
  </r>
  <r>
    <d v="2006-03-18T00:00:00"/>
    <x v="2"/>
    <x v="3"/>
    <x v="1"/>
    <x v="1"/>
    <n v="4003.05"/>
    <x v="1588"/>
    <n v="3275.22"/>
    <n v="0.45"/>
    <x v="1"/>
    <n v="3"/>
    <x v="3"/>
  </r>
  <r>
    <d v="2004-08-13T00:00:00"/>
    <x v="0"/>
    <x v="4"/>
    <x v="0"/>
    <x v="2"/>
    <n v="425.3"/>
    <x v="1589"/>
    <n v="307.98"/>
    <n v="0.42"/>
    <x v="2"/>
    <n v="8"/>
    <x v="10"/>
  </r>
  <r>
    <d v="2004-12-25T00:00:00"/>
    <x v="5"/>
    <x v="2"/>
    <x v="1"/>
    <x v="2"/>
    <n v="2281.63"/>
    <x v="1590"/>
    <n v="3884.94"/>
    <n v="0.63"/>
    <x v="2"/>
    <n v="12"/>
    <x v="4"/>
  </r>
  <r>
    <d v="2004-12-13T00:00:00"/>
    <x v="0"/>
    <x v="0"/>
    <x v="1"/>
    <x v="0"/>
    <n v="3371.73"/>
    <x v="1591"/>
    <n v="2758.68"/>
    <n v="0.45"/>
    <x v="2"/>
    <n v="12"/>
    <x v="4"/>
  </r>
  <r>
    <d v="2005-01-22T00:00:00"/>
    <x v="5"/>
    <x v="3"/>
    <x v="1"/>
    <x v="0"/>
    <n v="2033.15"/>
    <x v="1592"/>
    <n v="2695.11"/>
    <n v="0.56999999999999995"/>
    <x v="0"/>
    <n v="1"/>
    <x v="2"/>
  </r>
  <r>
    <d v="2005-03-15T00:00:00"/>
    <x v="2"/>
    <x v="2"/>
    <x v="3"/>
    <x v="3"/>
    <n v="6239.95"/>
    <x v="1593"/>
    <n v="2936.45"/>
    <n v="0.32"/>
    <x v="0"/>
    <n v="3"/>
    <x v="3"/>
  </r>
  <r>
    <d v="2005-01-14T00:00:00"/>
    <x v="5"/>
    <x v="0"/>
    <x v="3"/>
    <x v="0"/>
    <n v="6993.48"/>
    <x v="1594"/>
    <n v="486.18"/>
    <n v="6.5000000000000002E-2"/>
    <x v="0"/>
    <n v="1"/>
    <x v="2"/>
  </r>
  <r>
    <d v="2005-09-18T00:00:00"/>
    <x v="2"/>
    <x v="1"/>
    <x v="2"/>
    <x v="1"/>
    <n v="447.89"/>
    <x v="1595"/>
    <n v="210.77"/>
    <n v="0.32"/>
    <x v="0"/>
    <n v="9"/>
    <x v="6"/>
  </r>
  <r>
    <d v="2004-12-16T00:00:00"/>
    <x v="4"/>
    <x v="1"/>
    <x v="0"/>
    <x v="2"/>
    <n v="2335.0300000000002"/>
    <x v="1596"/>
    <n v="3095.27"/>
    <n v="0.56999999999999995"/>
    <x v="2"/>
    <n v="12"/>
    <x v="4"/>
  </r>
  <r>
    <d v="2005-09-06T00:00:00"/>
    <x v="5"/>
    <x v="3"/>
    <x v="3"/>
    <x v="3"/>
    <n v="4592.57"/>
    <x v="1597"/>
    <n v="1530.86"/>
    <n v="0.25"/>
    <x v="0"/>
    <n v="9"/>
    <x v="6"/>
  </r>
  <r>
    <d v="2004-09-18T00:00:00"/>
    <x v="0"/>
    <x v="1"/>
    <x v="1"/>
    <x v="0"/>
    <n v="5773.17"/>
    <x v="1598"/>
    <n v="4011.86"/>
    <n v="0.41"/>
    <x v="2"/>
    <n v="9"/>
    <x v="6"/>
  </r>
  <r>
    <d v="2006-03-25T00:00:00"/>
    <x v="2"/>
    <x v="1"/>
    <x v="1"/>
    <x v="2"/>
    <n v="4543.46"/>
    <x v="1599"/>
    <n v="315.86"/>
    <n v="6.5000000000000002E-2"/>
    <x v="1"/>
    <n v="3"/>
    <x v="3"/>
  </r>
  <r>
    <d v="2006-03-02T00:00:00"/>
    <x v="2"/>
    <x v="0"/>
    <x v="0"/>
    <x v="2"/>
    <n v="2450.7600000000002"/>
    <x v="1600"/>
    <n v="1153.3"/>
    <n v="0.32"/>
    <x v="1"/>
    <n v="3"/>
    <x v="3"/>
  </r>
  <r>
    <d v="2005-09-24T00:00:00"/>
    <x v="4"/>
    <x v="3"/>
    <x v="2"/>
    <x v="3"/>
    <n v="2727.3"/>
    <x v="1601"/>
    <n v="909.1"/>
    <n v="0.25"/>
    <x v="0"/>
    <n v="9"/>
    <x v="6"/>
  </r>
  <r>
    <d v="2004-07-24T00:00:00"/>
    <x v="4"/>
    <x v="0"/>
    <x v="1"/>
    <x v="3"/>
    <n v="3807.97"/>
    <x v="1602"/>
    <n v="4654.1899999999996"/>
    <n v="0.55000000000000004"/>
    <x v="2"/>
    <n v="7"/>
    <x v="9"/>
  </r>
  <r>
    <d v="2005-02-06T00:00:00"/>
    <x v="0"/>
    <x v="0"/>
    <x v="2"/>
    <x v="1"/>
    <n v="2084.69"/>
    <x v="1603"/>
    <n v="3549.62"/>
    <n v="0.63"/>
    <x v="0"/>
    <n v="2"/>
    <x v="1"/>
  </r>
  <r>
    <d v="2005-01-25T00:00:00"/>
    <x v="5"/>
    <x v="1"/>
    <x v="2"/>
    <x v="0"/>
    <n v="5002.53"/>
    <x v="1604"/>
    <n v="1667.51"/>
    <n v="0.25"/>
    <x v="0"/>
    <n v="1"/>
    <x v="2"/>
  </r>
  <r>
    <d v="2005-09-10T00:00:00"/>
    <x v="3"/>
    <x v="3"/>
    <x v="1"/>
    <x v="1"/>
    <n v="4252.9399999999996"/>
    <x v="1605"/>
    <n v="3079.71"/>
    <n v="0.42"/>
    <x v="0"/>
    <n v="9"/>
    <x v="6"/>
  </r>
  <r>
    <d v="2005-12-28T00:00:00"/>
    <x v="4"/>
    <x v="4"/>
    <x v="3"/>
    <x v="3"/>
    <n v="3728.66"/>
    <x v="1606"/>
    <n v="2591.11"/>
    <n v="0.41"/>
    <x v="0"/>
    <n v="12"/>
    <x v="4"/>
  </r>
  <r>
    <d v="2005-10-23T00:00:00"/>
    <x v="5"/>
    <x v="3"/>
    <x v="2"/>
    <x v="1"/>
    <n v="6467.96"/>
    <x v="1607"/>
    <n v="449.64"/>
    <n v="6.5000000000000002E-2"/>
    <x v="0"/>
    <n v="10"/>
    <x v="0"/>
  </r>
  <r>
    <d v="2006-02-28T00:00:00"/>
    <x v="3"/>
    <x v="0"/>
    <x v="3"/>
    <x v="2"/>
    <n v="206.69"/>
    <x v="1608"/>
    <n v="68.900000000000006"/>
    <n v="0.25"/>
    <x v="1"/>
    <n v="2"/>
    <x v="1"/>
  </r>
  <r>
    <d v="2006-02-14T00:00:00"/>
    <x v="1"/>
    <x v="2"/>
    <x v="1"/>
    <x v="2"/>
    <n v="7539.6"/>
    <x v="1609"/>
    <n v="524.14"/>
    <n v="6.5000000000000002E-2"/>
    <x v="1"/>
    <n v="2"/>
    <x v="1"/>
  </r>
  <r>
    <d v="2005-01-29T00:00:00"/>
    <x v="3"/>
    <x v="1"/>
    <x v="0"/>
    <x v="0"/>
    <n v="5142.91"/>
    <x v="1610"/>
    <n v="1714.3"/>
    <n v="0.25"/>
    <x v="0"/>
    <n v="1"/>
    <x v="2"/>
  </r>
  <r>
    <d v="2006-01-26T00:00:00"/>
    <x v="2"/>
    <x v="4"/>
    <x v="0"/>
    <x v="0"/>
    <n v="3501.1"/>
    <x v="1611"/>
    <n v="1647.57"/>
    <n v="0.32"/>
    <x v="1"/>
    <n v="1"/>
    <x v="2"/>
  </r>
  <r>
    <d v="2004-08-03T00:00:00"/>
    <x v="5"/>
    <x v="3"/>
    <x v="1"/>
    <x v="0"/>
    <n v="3972.43"/>
    <x v="1612"/>
    <n v="541.69000000000005"/>
    <n v="0.12"/>
    <x v="2"/>
    <n v="8"/>
    <x v="10"/>
  </r>
  <r>
    <d v="2004-10-16T00:00:00"/>
    <x v="1"/>
    <x v="3"/>
    <x v="1"/>
    <x v="0"/>
    <n v="1135.32"/>
    <x v="1613"/>
    <n v="1504.96"/>
    <n v="0.56999999999999995"/>
    <x v="2"/>
    <n v="10"/>
    <x v="0"/>
  </r>
  <r>
    <d v="2005-05-15T00:00:00"/>
    <x v="4"/>
    <x v="4"/>
    <x v="0"/>
    <x v="1"/>
    <n v="5428.28"/>
    <x v="1614"/>
    <n v="3772.2"/>
    <n v="0.41"/>
    <x v="0"/>
    <n v="5"/>
    <x v="7"/>
  </r>
  <r>
    <d v="2004-12-29T00:00:00"/>
    <x v="3"/>
    <x v="1"/>
    <x v="3"/>
    <x v="2"/>
    <n v="1776.56"/>
    <x v="1615"/>
    <n v="3024.95"/>
    <n v="0.63"/>
    <x v="2"/>
    <n v="12"/>
    <x v="4"/>
  </r>
  <r>
    <d v="2004-07-03T00:00:00"/>
    <x v="5"/>
    <x v="1"/>
    <x v="0"/>
    <x v="2"/>
    <n v="1265.75"/>
    <x v="1616"/>
    <n v="1547.03"/>
    <n v="0.55000000000000004"/>
    <x v="2"/>
    <n v="7"/>
    <x v="9"/>
  </r>
  <r>
    <d v="2005-02-16T00:00:00"/>
    <x v="2"/>
    <x v="3"/>
    <x v="2"/>
    <x v="0"/>
    <n v="4271.12"/>
    <x v="1617"/>
    <n v="3092.88"/>
    <n v="0.42"/>
    <x v="0"/>
    <n v="2"/>
    <x v="1"/>
  </r>
  <r>
    <d v="2005-12-14T00:00:00"/>
    <x v="0"/>
    <x v="4"/>
    <x v="1"/>
    <x v="1"/>
    <n v="2416.65"/>
    <x v="1618"/>
    <n v="2953.68"/>
    <n v="0.55000000000000004"/>
    <x v="0"/>
    <n v="12"/>
    <x v="4"/>
  </r>
  <r>
    <d v="2004-10-01T00:00:00"/>
    <x v="3"/>
    <x v="0"/>
    <x v="0"/>
    <x v="0"/>
    <n v="6615.39"/>
    <x v="1619"/>
    <n v="2205.13"/>
    <n v="0.25"/>
    <x v="2"/>
    <n v="10"/>
    <x v="0"/>
  </r>
  <r>
    <d v="2005-09-08T00:00:00"/>
    <x v="5"/>
    <x v="2"/>
    <x v="3"/>
    <x v="0"/>
    <n v="1850.45"/>
    <x v="1620"/>
    <n v="870.8"/>
    <n v="0.32"/>
    <x v="0"/>
    <n v="9"/>
    <x v="6"/>
  </r>
  <r>
    <d v="2005-01-01T00:00:00"/>
    <x v="2"/>
    <x v="2"/>
    <x v="1"/>
    <x v="3"/>
    <n v="1449.15"/>
    <x v="1621"/>
    <n v="1185.6600000000001"/>
    <n v="0.45"/>
    <x v="0"/>
    <n v="1"/>
    <x v="2"/>
  </r>
  <r>
    <d v="2004-08-19T00:00:00"/>
    <x v="1"/>
    <x v="0"/>
    <x v="1"/>
    <x v="2"/>
    <n v="1427.26"/>
    <x v="1622"/>
    <n v="2430.21"/>
    <n v="0.63"/>
    <x v="2"/>
    <n v="8"/>
    <x v="10"/>
  </r>
  <r>
    <d v="2004-11-29T00:00:00"/>
    <x v="1"/>
    <x v="4"/>
    <x v="2"/>
    <x v="1"/>
    <n v="2674.61"/>
    <x v="1623"/>
    <n v="1858.62"/>
    <n v="0.41"/>
    <x v="2"/>
    <n v="11"/>
    <x v="11"/>
  </r>
  <r>
    <d v="2004-10-18T00:00:00"/>
    <x v="2"/>
    <x v="0"/>
    <x v="3"/>
    <x v="1"/>
    <n v="8929.9"/>
    <x v="1624"/>
    <n v="620.79999999999995"/>
    <n v="6.5000000000000002E-2"/>
    <x v="2"/>
    <n v="10"/>
    <x v="0"/>
  </r>
  <r>
    <d v="2004-07-23T00:00:00"/>
    <x v="5"/>
    <x v="4"/>
    <x v="3"/>
    <x v="0"/>
    <n v="4591.3900000000003"/>
    <x v="1625"/>
    <n v="3324.8"/>
    <n v="0.42"/>
    <x v="2"/>
    <n v="7"/>
    <x v="9"/>
  </r>
  <r>
    <d v="2005-09-17T00:00:00"/>
    <x v="2"/>
    <x v="3"/>
    <x v="1"/>
    <x v="2"/>
    <n v="4906.84"/>
    <x v="1626"/>
    <n v="1635.62"/>
    <n v="0.25"/>
    <x v="0"/>
    <n v="9"/>
    <x v="6"/>
  </r>
  <r>
    <d v="2004-12-21T00:00:00"/>
    <x v="4"/>
    <x v="0"/>
    <x v="0"/>
    <x v="1"/>
    <n v="1749.07"/>
    <x v="1627"/>
    <n v="121.59"/>
    <n v="6.5000000000000002E-2"/>
    <x v="2"/>
    <n v="12"/>
    <x v="4"/>
  </r>
  <r>
    <d v="2004-09-17T00:00:00"/>
    <x v="1"/>
    <x v="4"/>
    <x v="0"/>
    <x v="1"/>
    <n v="913.61"/>
    <x v="1628"/>
    <n v="1555.6"/>
    <n v="0.63"/>
    <x v="2"/>
    <n v="9"/>
    <x v="6"/>
  </r>
  <r>
    <d v="2005-06-22T00:00:00"/>
    <x v="3"/>
    <x v="2"/>
    <x v="1"/>
    <x v="0"/>
    <n v="656.58"/>
    <x v="1629"/>
    <n v="870.34"/>
    <n v="0.56999999999999995"/>
    <x v="0"/>
    <n v="6"/>
    <x v="5"/>
  </r>
  <r>
    <d v="2006-04-16T00:00:00"/>
    <x v="5"/>
    <x v="2"/>
    <x v="0"/>
    <x v="1"/>
    <n v="6989.46"/>
    <x v="1630"/>
    <n v="953.11"/>
    <n v="0.12"/>
    <x v="1"/>
    <n v="4"/>
    <x v="8"/>
  </r>
  <r>
    <d v="2005-09-26T00:00:00"/>
    <x v="2"/>
    <x v="0"/>
    <x v="1"/>
    <x v="0"/>
    <n v="1731.35"/>
    <x v="1631"/>
    <n v="1253.74"/>
    <n v="0.42"/>
    <x v="0"/>
    <n v="9"/>
    <x v="6"/>
  </r>
  <r>
    <d v="2005-09-01T00:00:00"/>
    <x v="5"/>
    <x v="0"/>
    <x v="3"/>
    <x v="0"/>
    <n v="1617.18"/>
    <x v="1632"/>
    <n v="220.53"/>
    <n v="0.12"/>
    <x v="0"/>
    <n v="9"/>
    <x v="6"/>
  </r>
  <r>
    <d v="2005-11-20T00:00:00"/>
    <x v="2"/>
    <x v="2"/>
    <x v="1"/>
    <x v="2"/>
    <n v="1950.3"/>
    <x v="1633"/>
    <n v="2383.71"/>
    <n v="0.55000000000000004"/>
    <x v="0"/>
    <n v="11"/>
    <x v="11"/>
  </r>
  <r>
    <d v="2005-11-27T00:00:00"/>
    <x v="3"/>
    <x v="4"/>
    <x v="1"/>
    <x v="1"/>
    <n v="1173.83"/>
    <x v="1634"/>
    <n v="850.01"/>
    <n v="0.42"/>
    <x v="0"/>
    <n v="11"/>
    <x v="11"/>
  </r>
  <r>
    <d v="2005-03-26T00:00:00"/>
    <x v="2"/>
    <x v="0"/>
    <x v="0"/>
    <x v="1"/>
    <n v="7341.38"/>
    <x v="1635"/>
    <n v="2447.12"/>
    <n v="0.25"/>
    <x v="0"/>
    <n v="3"/>
    <x v="3"/>
  </r>
  <r>
    <d v="2005-08-26T00:00:00"/>
    <x v="5"/>
    <x v="2"/>
    <x v="0"/>
    <x v="0"/>
    <n v="248.69"/>
    <x v="1636"/>
    <n v="203.47"/>
    <n v="0.45"/>
    <x v="0"/>
    <n v="8"/>
    <x v="10"/>
  </r>
  <r>
    <d v="2005-06-27T00:00:00"/>
    <x v="0"/>
    <x v="1"/>
    <x v="3"/>
    <x v="1"/>
    <n v="1647.25"/>
    <x v="1637"/>
    <n v="114.51"/>
    <n v="6.5000000000000002E-2"/>
    <x v="0"/>
    <n v="6"/>
    <x v="5"/>
  </r>
  <r>
    <d v="2005-10-04T00:00:00"/>
    <x v="3"/>
    <x v="3"/>
    <x v="2"/>
    <x v="1"/>
    <n v="620.58000000000004"/>
    <x v="1638"/>
    <n v="822.63"/>
    <n v="0.56999999999999995"/>
    <x v="0"/>
    <n v="10"/>
    <x v="0"/>
  </r>
  <r>
    <d v="2005-02-10T00:00:00"/>
    <x v="1"/>
    <x v="4"/>
    <x v="1"/>
    <x v="1"/>
    <n v="4297.5200000000004"/>
    <x v="1639"/>
    <n v="5696.72"/>
    <n v="0.56999999999999995"/>
    <x v="0"/>
    <n v="2"/>
    <x v="1"/>
  </r>
  <r>
    <d v="2005-10-27T00:00:00"/>
    <x v="3"/>
    <x v="1"/>
    <x v="1"/>
    <x v="2"/>
    <n v="6349.59"/>
    <x v="1640"/>
    <n v="865.85"/>
    <n v="0.12"/>
    <x v="0"/>
    <n v="10"/>
    <x v="0"/>
  </r>
  <r>
    <d v="2005-04-04T00:00:00"/>
    <x v="0"/>
    <x v="0"/>
    <x v="0"/>
    <x v="2"/>
    <n v="3918.36"/>
    <x v="1641"/>
    <n v="534.32000000000005"/>
    <n v="0.12"/>
    <x v="0"/>
    <n v="4"/>
    <x v="8"/>
  </r>
  <r>
    <d v="2006-01-27T00:00:00"/>
    <x v="5"/>
    <x v="2"/>
    <x v="0"/>
    <x v="2"/>
    <n v="4128.82"/>
    <x v="1642"/>
    <n v="1376.28"/>
    <n v="0.25"/>
    <x v="1"/>
    <n v="1"/>
    <x v="2"/>
  </r>
  <r>
    <d v="2005-04-01T00:00:00"/>
    <x v="4"/>
    <x v="3"/>
    <x v="0"/>
    <x v="3"/>
    <n v="6032.36"/>
    <x v="1643"/>
    <n v="419.36"/>
    <n v="6.5000000000000002E-2"/>
    <x v="0"/>
    <n v="4"/>
    <x v="8"/>
  </r>
  <r>
    <d v="2005-02-07T00:00:00"/>
    <x v="3"/>
    <x v="2"/>
    <x v="0"/>
    <x v="2"/>
    <n v="2178.46"/>
    <x v="1644"/>
    <n v="2662.57"/>
    <n v="0.55000000000000004"/>
    <x v="0"/>
    <n v="2"/>
    <x v="1"/>
  </r>
  <r>
    <d v="2005-02-18T00:00:00"/>
    <x v="0"/>
    <x v="2"/>
    <x v="1"/>
    <x v="2"/>
    <n v="3065.08"/>
    <x v="1645"/>
    <n v="5218.91"/>
    <n v="0.63"/>
    <x v="0"/>
    <n v="2"/>
    <x v="1"/>
  </r>
  <r>
    <d v="2006-05-18T00:00:00"/>
    <x v="1"/>
    <x v="0"/>
    <x v="1"/>
    <x v="2"/>
    <n v="4246.57"/>
    <x v="1646"/>
    <n v="295.22000000000003"/>
    <n v="6.5000000000000002E-2"/>
    <x v="1"/>
    <n v="5"/>
    <x v="7"/>
  </r>
  <r>
    <d v="2004-11-22T00:00:00"/>
    <x v="3"/>
    <x v="3"/>
    <x v="3"/>
    <x v="3"/>
    <n v="7012.77"/>
    <x v="1647"/>
    <n v="487.52"/>
    <n v="6.5000000000000002E-2"/>
    <x v="2"/>
    <n v="11"/>
    <x v="11"/>
  </r>
  <r>
    <d v="2004-10-26T00:00:00"/>
    <x v="1"/>
    <x v="4"/>
    <x v="1"/>
    <x v="3"/>
    <n v="2137.29"/>
    <x v="1648"/>
    <n v="1485.24"/>
    <n v="0.41"/>
    <x v="2"/>
    <n v="10"/>
    <x v="0"/>
  </r>
  <r>
    <d v="2005-06-18T00:00:00"/>
    <x v="5"/>
    <x v="2"/>
    <x v="2"/>
    <x v="0"/>
    <n v="2042.11"/>
    <x v="1649"/>
    <n v="1670.82"/>
    <n v="0.45"/>
    <x v="0"/>
    <n v="6"/>
    <x v="5"/>
  </r>
  <r>
    <d v="2006-03-04T00:00:00"/>
    <x v="5"/>
    <x v="0"/>
    <x v="1"/>
    <x v="0"/>
    <n v="361.34"/>
    <x v="1650"/>
    <n v="615.25"/>
    <n v="0.63"/>
    <x v="1"/>
    <n v="3"/>
    <x v="3"/>
  </r>
  <r>
    <d v="2005-11-27T00:00:00"/>
    <x v="3"/>
    <x v="2"/>
    <x v="0"/>
    <x v="0"/>
    <n v="1483.93"/>
    <x v="1651"/>
    <n v="2526.6799999999998"/>
    <n v="0.63"/>
    <x v="0"/>
    <n v="11"/>
    <x v="11"/>
  </r>
  <r>
    <d v="2006-05-21T00:00:00"/>
    <x v="3"/>
    <x v="4"/>
    <x v="1"/>
    <x v="2"/>
    <n v="1658.33"/>
    <x v="1652"/>
    <n v="2026.85"/>
    <n v="0.55000000000000004"/>
    <x v="1"/>
    <n v="5"/>
    <x v="7"/>
  </r>
  <r>
    <d v="2004-11-22T00:00:00"/>
    <x v="2"/>
    <x v="0"/>
    <x v="3"/>
    <x v="0"/>
    <n v="4711.2299999999996"/>
    <x v="1653"/>
    <n v="642.44000000000005"/>
    <n v="0.12"/>
    <x v="2"/>
    <n v="11"/>
    <x v="11"/>
  </r>
  <r>
    <d v="2005-12-18T00:00:00"/>
    <x v="2"/>
    <x v="4"/>
    <x v="2"/>
    <x v="2"/>
    <n v="829.8"/>
    <x v="1654"/>
    <n v="576.64"/>
    <n v="0.41"/>
    <x v="0"/>
    <n v="12"/>
    <x v="4"/>
  </r>
  <r>
    <d v="2004-12-07T00:00:00"/>
    <x v="4"/>
    <x v="0"/>
    <x v="3"/>
    <x v="3"/>
    <n v="3649.08"/>
    <x v="1655"/>
    <n v="4459.9799999999996"/>
    <n v="0.55000000000000004"/>
    <x v="2"/>
    <n v="12"/>
    <x v="4"/>
  </r>
  <r>
    <d v="2005-08-28T00:00:00"/>
    <x v="5"/>
    <x v="1"/>
    <x v="2"/>
    <x v="2"/>
    <n v="5349.44"/>
    <x v="1656"/>
    <n v="2517.39"/>
    <n v="0.32"/>
    <x v="0"/>
    <n v="8"/>
    <x v="10"/>
  </r>
  <r>
    <d v="2004-07-17T00:00:00"/>
    <x v="3"/>
    <x v="0"/>
    <x v="0"/>
    <x v="3"/>
    <n v="5456"/>
    <x v="1657"/>
    <n v="3791.46"/>
    <n v="0.41"/>
    <x v="2"/>
    <n v="7"/>
    <x v="9"/>
  </r>
  <r>
    <d v="2004-12-15T00:00:00"/>
    <x v="2"/>
    <x v="0"/>
    <x v="3"/>
    <x v="3"/>
    <n v="1838.23"/>
    <x v="1658"/>
    <n v="2436.73"/>
    <n v="0.56999999999999995"/>
    <x v="2"/>
    <n v="12"/>
    <x v="4"/>
  </r>
  <r>
    <d v="2004-07-03T00:00:00"/>
    <x v="0"/>
    <x v="0"/>
    <x v="3"/>
    <x v="3"/>
    <n v="1160.9100000000001"/>
    <x v="1659"/>
    <n v="1418.9"/>
    <n v="0.55000000000000004"/>
    <x v="2"/>
    <n v="7"/>
    <x v="9"/>
  </r>
  <r>
    <d v="2005-03-16T00:00:00"/>
    <x v="3"/>
    <x v="2"/>
    <x v="2"/>
    <x v="0"/>
    <n v="4446.21"/>
    <x v="1660"/>
    <n v="309.08999999999997"/>
    <n v="6.5000000000000002E-2"/>
    <x v="0"/>
    <n v="3"/>
    <x v="3"/>
  </r>
  <r>
    <d v="2004-08-05T00:00:00"/>
    <x v="2"/>
    <x v="3"/>
    <x v="2"/>
    <x v="3"/>
    <n v="3793.53"/>
    <x v="1661"/>
    <n v="5028.63"/>
    <n v="0.56999999999999995"/>
    <x v="2"/>
    <n v="8"/>
    <x v="10"/>
  </r>
  <r>
    <d v="2006-03-03T00:00:00"/>
    <x v="2"/>
    <x v="1"/>
    <x v="2"/>
    <x v="2"/>
    <n v="428.12"/>
    <x v="1662"/>
    <n v="310.02"/>
    <n v="0.42"/>
    <x v="1"/>
    <n v="3"/>
    <x v="3"/>
  </r>
  <r>
    <d v="2004-07-22T00:00:00"/>
    <x v="0"/>
    <x v="0"/>
    <x v="0"/>
    <x v="3"/>
    <n v="3116.74"/>
    <x v="1663"/>
    <n v="4131.5"/>
    <n v="0.56999999999999995"/>
    <x v="2"/>
    <n v="7"/>
    <x v="9"/>
  </r>
  <r>
    <d v="2004-11-16T00:00:00"/>
    <x v="2"/>
    <x v="2"/>
    <x v="2"/>
    <x v="0"/>
    <n v="5399.02"/>
    <x v="1664"/>
    <n v="3909.63"/>
    <n v="0.42"/>
    <x v="2"/>
    <n v="11"/>
    <x v="11"/>
  </r>
  <r>
    <d v="2006-04-29T00:00:00"/>
    <x v="3"/>
    <x v="1"/>
    <x v="3"/>
    <x v="1"/>
    <n v="3491.38"/>
    <x v="1665"/>
    <n v="2856.59"/>
    <n v="0.45"/>
    <x v="1"/>
    <n v="4"/>
    <x v="8"/>
  </r>
  <r>
    <d v="2005-09-19T00:00:00"/>
    <x v="0"/>
    <x v="1"/>
    <x v="0"/>
    <x v="3"/>
    <n v="1622.29"/>
    <x v="1666"/>
    <n v="2762.28"/>
    <n v="0.63"/>
    <x v="0"/>
    <n v="9"/>
    <x v="6"/>
  </r>
  <r>
    <d v="2005-08-10T00:00:00"/>
    <x v="1"/>
    <x v="3"/>
    <x v="2"/>
    <x v="1"/>
    <n v="2140.52"/>
    <x v="1667"/>
    <n v="1751.34"/>
    <n v="0.45"/>
    <x v="0"/>
    <n v="8"/>
    <x v="10"/>
  </r>
  <r>
    <d v="2005-07-09T00:00:00"/>
    <x v="4"/>
    <x v="3"/>
    <x v="2"/>
    <x v="1"/>
    <n v="3730.96"/>
    <x v="1668"/>
    <n v="259.37"/>
    <n v="6.5000000000000002E-2"/>
    <x v="0"/>
    <n v="7"/>
    <x v="9"/>
  </r>
  <r>
    <d v="2005-08-20T00:00:00"/>
    <x v="3"/>
    <x v="1"/>
    <x v="2"/>
    <x v="3"/>
    <n v="2368.06"/>
    <x v="1669"/>
    <n v="3139.05"/>
    <n v="0.56999999999999995"/>
    <x v="0"/>
    <n v="8"/>
    <x v="10"/>
  </r>
  <r>
    <d v="2006-01-21T00:00:00"/>
    <x v="3"/>
    <x v="1"/>
    <x v="2"/>
    <x v="1"/>
    <n v="7438.07"/>
    <x v="1670"/>
    <n v="1014.28"/>
    <n v="0.12"/>
    <x v="1"/>
    <n v="1"/>
    <x v="2"/>
  </r>
  <r>
    <d v="2005-11-08T00:00:00"/>
    <x v="0"/>
    <x v="2"/>
    <x v="1"/>
    <x v="2"/>
    <n v="3336.16"/>
    <x v="1671"/>
    <n v="2318.34"/>
    <n v="0.41"/>
    <x v="0"/>
    <n v="11"/>
    <x v="11"/>
  </r>
  <r>
    <d v="2005-08-23T00:00:00"/>
    <x v="2"/>
    <x v="1"/>
    <x v="2"/>
    <x v="3"/>
    <n v="5301.92"/>
    <x v="1672"/>
    <n v="3684.38"/>
    <n v="0.41"/>
    <x v="0"/>
    <n v="8"/>
    <x v="10"/>
  </r>
  <r>
    <d v="2004-12-04T00:00:00"/>
    <x v="5"/>
    <x v="4"/>
    <x v="0"/>
    <x v="0"/>
    <n v="1980.14"/>
    <x v="1673"/>
    <n v="660.04"/>
    <n v="0.25"/>
    <x v="2"/>
    <n v="12"/>
    <x v="4"/>
  </r>
  <r>
    <d v="2005-11-05T00:00:00"/>
    <x v="2"/>
    <x v="0"/>
    <x v="2"/>
    <x v="1"/>
    <n v="2510.19"/>
    <x v="1674"/>
    <n v="3327.47"/>
    <n v="0.56999999999999995"/>
    <x v="0"/>
    <n v="11"/>
    <x v="11"/>
  </r>
  <r>
    <d v="2005-09-03T00:00:00"/>
    <x v="3"/>
    <x v="2"/>
    <x v="0"/>
    <x v="3"/>
    <n v="610.14"/>
    <x v="1675"/>
    <n v="745.72"/>
    <n v="0.55000000000000004"/>
    <x v="0"/>
    <n v="9"/>
    <x v="6"/>
  </r>
  <r>
    <d v="2005-08-27T00:00:00"/>
    <x v="4"/>
    <x v="4"/>
    <x v="1"/>
    <x v="1"/>
    <n v="5843.45"/>
    <x v="1676"/>
    <n v="406.23"/>
    <n v="6.5000000000000002E-2"/>
    <x v="0"/>
    <n v="8"/>
    <x v="10"/>
  </r>
  <r>
    <d v="2005-09-13T00:00:00"/>
    <x v="3"/>
    <x v="3"/>
    <x v="1"/>
    <x v="2"/>
    <n v="4882.32"/>
    <x v="1677"/>
    <n v="3535.47"/>
    <n v="0.42"/>
    <x v="0"/>
    <n v="9"/>
    <x v="6"/>
  </r>
  <r>
    <d v="2005-02-01T00:00:00"/>
    <x v="2"/>
    <x v="2"/>
    <x v="1"/>
    <x v="0"/>
    <n v="5841.01"/>
    <x v="1678"/>
    <n v="2748.71"/>
    <n v="0.32"/>
    <x v="0"/>
    <n v="2"/>
    <x v="1"/>
  </r>
  <r>
    <d v="2006-03-29T00:00:00"/>
    <x v="5"/>
    <x v="4"/>
    <x v="1"/>
    <x v="0"/>
    <n v="4241.54"/>
    <x v="1679"/>
    <n v="1996.02"/>
    <n v="0.32"/>
    <x v="1"/>
    <n v="3"/>
    <x v="3"/>
  </r>
  <r>
    <d v="2004-09-17T00:00:00"/>
    <x v="3"/>
    <x v="3"/>
    <x v="1"/>
    <x v="2"/>
    <n v="2680.15"/>
    <x v="1680"/>
    <n v="4563.5"/>
    <n v="0.63"/>
    <x v="2"/>
    <n v="9"/>
    <x v="6"/>
  </r>
  <r>
    <d v="2005-07-14T00:00:00"/>
    <x v="4"/>
    <x v="2"/>
    <x v="1"/>
    <x v="0"/>
    <n v="2148.6"/>
    <x v="1681"/>
    <n v="1493.09"/>
    <n v="0.41"/>
    <x v="0"/>
    <n v="7"/>
    <x v="9"/>
  </r>
  <r>
    <d v="2006-04-14T00:00:00"/>
    <x v="0"/>
    <x v="4"/>
    <x v="1"/>
    <x v="3"/>
    <n v="5082.08"/>
    <x v="1682"/>
    <n v="2391.56"/>
    <n v="0.32"/>
    <x v="1"/>
    <n v="4"/>
    <x v="8"/>
  </r>
  <r>
    <d v="2005-06-01T00:00:00"/>
    <x v="3"/>
    <x v="3"/>
    <x v="0"/>
    <x v="2"/>
    <n v="4504.03"/>
    <x v="1683"/>
    <n v="1501.34"/>
    <n v="0.25"/>
    <x v="0"/>
    <n v="6"/>
    <x v="5"/>
  </r>
  <r>
    <d v="2004-07-31T00:00:00"/>
    <x v="3"/>
    <x v="3"/>
    <x v="0"/>
    <x v="0"/>
    <n v="798.2"/>
    <x v="1684"/>
    <n v="1058.07"/>
    <n v="0.56999999999999995"/>
    <x v="2"/>
    <n v="7"/>
    <x v="9"/>
  </r>
  <r>
    <d v="2005-08-23T00:00:00"/>
    <x v="0"/>
    <x v="0"/>
    <x v="1"/>
    <x v="3"/>
    <n v="3775.92"/>
    <x v="1685"/>
    <n v="262.5"/>
    <n v="6.5000000000000002E-2"/>
    <x v="0"/>
    <n v="8"/>
    <x v="10"/>
  </r>
  <r>
    <d v="2005-02-09T00:00:00"/>
    <x v="4"/>
    <x v="1"/>
    <x v="2"/>
    <x v="2"/>
    <n v="3654.05"/>
    <x v="1686"/>
    <n v="1218.02"/>
    <n v="0.25"/>
    <x v="0"/>
    <n v="2"/>
    <x v="1"/>
  </r>
  <r>
    <d v="2004-08-29T00:00:00"/>
    <x v="2"/>
    <x v="2"/>
    <x v="0"/>
    <x v="0"/>
    <n v="3887.32"/>
    <x v="1687"/>
    <n v="1829.33"/>
    <n v="0.32"/>
    <x v="2"/>
    <n v="8"/>
    <x v="10"/>
  </r>
  <r>
    <d v="2004-10-05T00:00:00"/>
    <x v="3"/>
    <x v="3"/>
    <x v="0"/>
    <x v="2"/>
    <n v="2580.17"/>
    <x v="1688"/>
    <n v="3420.23"/>
    <n v="0.56999999999999995"/>
    <x v="2"/>
    <n v="10"/>
    <x v="0"/>
  </r>
  <r>
    <d v="2006-03-19T00:00:00"/>
    <x v="0"/>
    <x v="3"/>
    <x v="0"/>
    <x v="3"/>
    <n v="4976.28"/>
    <x v="1689"/>
    <n v="3458.09"/>
    <n v="0.41"/>
    <x v="1"/>
    <n v="3"/>
    <x v="3"/>
  </r>
  <r>
    <d v="2005-01-13T00:00:00"/>
    <x v="2"/>
    <x v="3"/>
    <x v="0"/>
    <x v="1"/>
    <n v="5046.58"/>
    <x v="1690"/>
    <n v="3506.95"/>
    <n v="0.41"/>
    <x v="0"/>
    <n v="1"/>
    <x v="2"/>
  </r>
  <r>
    <d v="2006-03-01T00:00:00"/>
    <x v="4"/>
    <x v="4"/>
    <x v="1"/>
    <x v="1"/>
    <n v="1843.84"/>
    <x v="1691"/>
    <n v="1508.6"/>
    <n v="0.45"/>
    <x v="1"/>
    <n v="3"/>
    <x v="3"/>
  </r>
  <r>
    <d v="2005-07-01T00:00:00"/>
    <x v="1"/>
    <x v="2"/>
    <x v="2"/>
    <x v="0"/>
    <n v="2448.41"/>
    <x v="1692"/>
    <n v="170.21"/>
    <n v="6.5000000000000002E-2"/>
    <x v="0"/>
    <n v="7"/>
    <x v="9"/>
  </r>
  <r>
    <d v="2006-03-20T00:00:00"/>
    <x v="3"/>
    <x v="3"/>
    <x v="0"/>
    <x v="0"/>
    <n v="86.16"/>
    <x v="1693"/>
    <n v="114.21"/>
    <n v="0.56999999999999995"/>
    <x v="1"/>
    <n v="3"/>
    <x v="3"/>
  </r>
  <r>
    <d v="2006-01-20T00:00:00"/>
    <x v="4"/>
    <x v="4"/>
    <x v="1"/>
    <x v="1"/>
    <n v="2705.44"/>
    <x v="1694"/>
    <n v="1959.12"/>
    <n v="0.42"/>
    <x v="1"/>
    <n v="1"/>
    <x v="2"/>
  </r>
  <r>
    <d v="2006-01-17T00:00:00"/>
    <x v="3"/>
    <x v="4"/>
    <x v="0"/>
    <x v="1"/>
    <n v="345.52"/>
    <x v="1695"/>
    <n v="240.1"/>
    <n v="0.41"/>
    <x v="1"/>
    <n v="1"/>
    <x v="2"/>
  </r>
  <r>
    <d v="2005-01-14T00:00:00"/>
    <x v="2"/>
    <x v="3"/>
    <x v="0"/>
    <x v="2"/>
    <n v="3241.42"/>
    <x v="1696"/>
    <n v="225.34"/>
    <n v="6.5000000000000002E-2"/>
    <x v="0"/>
    <n v="1"/>
    <x v="2"/>
  </r>
  <r>
    <d v="2005-02-23T00:00:00"/>
    <x v="5"/>
    <x v="3"/>
    <x v="0"/>
    <x v="1"/>
    <n v="5808.62"/>
    <x v="1697"/>
    <n v="2733.47"/>
    <n v="0.32"/>
    <x v="0"/>
    <n v="2"/>
    <x v="1"/>
  </r>
  <r>
    <d v="2005-02-22T00:00:00"/>
    <x v="4"/>
    <x v="1"/>
    <x v="0"/>
    <x v="2"/>
    <n v="5712.86"/>
    <x v="1698"/>
    <n v="4136.8999999999996"/>
    <n v="0.42"/>
    <x v="0"/>
    <n v="2"/>
    <x v="1"/>
  </r>
  <r>
    <d v="2004-08-27T00:00:00"/>
    <x v="2"/>
    <x v="0"/>
    <x v="0"/>
    <x v="2"/>
    <n v="4356.97"/>
    <x v="1699"/>
    <n v="1452.32"/>
    <n v="0.25"/>
    <x v="2"/>
    <n v="8"/>
    <x v="10"/>
  </r>
  <r>
    <d v="2005-04-26T00:00:00"/>
    <x v="2"/>
    <x v="0"/>
    <x v="2"/>
    <x v="2"/>
    <n v="1136.67"/>
    <x v="1700"/>
    <n v="1389.27"/>
    <n v="0.55000000000000004"/>
    <x v="0"/>
    <n v="4"/>
    <x v="8"/>
  </r>
  <r>
    <d v="2005-06-07T00:00:00"/>
    <x v="1"/>
    <x v="1"/>
    <x v="0"/>
    <x v="2"/>
    <n v="4687.8999999999996"/>
    <x v="1701"/>
    <n v="3394.69"/>
    <n v="0.42"/>
    <x v="0"/>
    <n v="6"/>
    <x v="5"/>
  </r>
  <r>
    <d v="2005-02-18T00:00:00"/>
    <x v="4"/>
    <x v="4"/>
    <x v="3"/>
    <x v="0"/>
    <n v="2924.24"/>
    <x v="1702"/>
    <n v="3876.31"/>
    <n v="0.56999999999999995"/>
    <x v="0"/>
    <n v="2"/>
    <x v="1"/>
  </r>
  <r>
    <d v="2006-03-01T00:00:00"/>
    <x v="3"/>
    <x v="2"/>
    <x v="3"/>
    <x v="1"/>
    <n v="4421.1899999999996"/>
    <x v="1703"/>
    <n v="3072.36"/>
    <n v="0.41"/>
    <x v="1"/>
    <n v="3"/>
    <x v="3"/>
  </r>
  <r>
    <d v="2005-08-09T00:00:00"/>
    <x v="3"/>
    <x v="2"/>
    <x v="2"/>
    <x v="1"/>
    <n v="3580.69"/>
    <x v="1704"/>
    <n v="1193.56"/>
    <n v="0.25"/>
    <x v="0"/>
    <n v="8"/>
    <x v="10"/>
  </r>
  <r>
    <d v="2005-09-25T00:00:00"/>
    <x v="3"/>
    <x v="0"/>
    <x v="0"/>
    <x v="0"/>
    <n v="5781.82"/>
    <x v="1705"/>
    <n v="1927.27"/>
    <n v="0.25"/>
    <x v="0"/>
    <n v="9"/>
    <x v="6"/>
  </r>
  <r>
    <d v="2006-05-10T00:00:00"/>
    <x v="4"/>
    <x v="2"/>
    <x v="2"/>
    <x v="3"/>
    <n v="3475.93"/>
    <x v="1706"/>
    <n v="2843.94"/>
    <n v="0.45"/>
    <x v="1"/>
    <n v="5"/>
    <x v="7"/>
  </r>
  <r>
    <d v="2005-02-28T00:00:00"/>
    <x v="4"/>
    <x v="4"/>
    <x v="3"/>
    <x v="3"/>
    <n v="854.76"/>
    <x v="1707"/>
    <n v="1044.71"/>
    <n v="0.55000000000000004"/>
    <x v="0"/>
    <n v="2"/>
    <x v="1"/>
  </r>
  <r>
    <d v="2005-01-15T00:00:00"/>
    <x v="4"/>
    <x v="1"/>
    <x v="0"/>
    <x v="3"/>
    <n v="2303.8200000000002"/>
    <x v="1708"/>
    <n v="767.94"/>
    <n v="0.25"/>
    <x v="0"/>
    <n v="1"/>
    <x v="2"/>
  </r>
  <r>
    <d v="2004-12-04T00:00:00"/>
    <x v="3"/>
    <x v="1"/>
    <x v="1"/>
    <x v="3"/>
    <n v="2970.7"/>
    <x v="1709"/>
    <n v="1397.97"/>
    <n v="0.32"/>
    <x v="2"/>
    <n v="12"/>
    <x v="4"/>
  </r>
  <r>
    <d v="2006-02-13T00:00:00"/>
    <x v="4"/>
    <x v="0"/>
    <x v="2"/>
    <x v="0"/>
    <n v="5856.69"/>
    <x v="1710"/>
    <n v="2756.09"/>
    <n v="0.32"/>
    <x v="1"/>
    <n v="2"/>
    <x v="1"/>
  </r>
  <r>
    <d v="2006-06-02T00:00:00"/>
    <x v="1"/>
    <x v="0"/>
    <x v="3"/>
    <x v="0"/>
    <n v="4304.3100000000004"/>
    <x v="1711"/>
    <n v="299.23"/>
    <n v="6.5000000000000002E-2"/>
    <x v="1"/>
    <n v="6"/>
    <x v="5"/>
  </r>
  <r>
    <d v="2006-04-14T00:00:00"/>
    <x v="2"/>
    <x v="0"/>
    <x v="1"/>
    <x v="1"/>
    <n v="5822.5"/>
    <x v="1712"/>
    <n v="4046.14"/>
    <n v="0.41"/>
    <x v="1"/>
    <n v="4"/>
    <x v="8"/>
  </r>
  <r>
    <d v="2005-07-23T00:00:00"/>
    <x v="4"/>
    <x v="3"/>
    <x v="0"/>
    <x v="3"/>
    <n v="3913.1"/>
    <x v="1713"/>
    <n v="4782.67"/>
    <n v="0.55000000000000004"/>
    <x v="0"/>
    <n v="7"/>
    <x v="9"/>
  </r>
  <r>
    <d v="2004-06-30T00:00:00"/>
    <x v="5"/>
    <x v="1"/>
    <x v="3"/>
    <x v="0"/>
    <n v="1223.1199999999999"/>
    <x v="1714"/>
    <n v="1621.34"/>
    <n v="0.56999999999999995"/>
    <x v="2"/>
    <n v="6"/>
    <x v="5"/>
  </r>
  <r>
    <d v="2005-07-25T00:00:00"/>
    <x v="1"/>
    <x v="3"/>
    <x v="2"/>
    <x v="2"/>
    <n v="1872.41"/>
    <x v="1715"/>
    <n v="255.33"/>
    <n v="0.12"/>
    <x v="0"/>
    <n v="7"/>
    <x v="9"/>
  </r>
  <r>
    <d v="2006-05-15T00:00:00"/>
    <x v="3"/>
    <x v="1"/>
    <x v="1"/>
    <x v="1"/>
    <n v="1018.25"/>
    <x v="1716"/>
    <n v="1733.78"/>
    <n v="0.63"/>
    <x v="1"/>
    <n v="5"/>
    <x v="7"/>
  </r>
  <r>
    <d v="2006-03-08T00:00:00"/>
    <x v="4"/>
    <x v="0"/>
    <x v="3"/>
    <x v="1"/>
    <n v="218.27"/>
    <x v="1717"/>
    <n v="72.760000000000005"/>
    <n v="0.25"/>
    <x v="1"/>
    <n v="3"/>
    <x v="3"/>
  </r>
  <r>
    <d v="2004-06-17T00:00:00"/>
    <x v="1"/>
    <x v="4"/>
    <x v="2"/>
    <x v="3"/>
    <n v="5838.15"/>
    <x v="1718"/>
    <n v="1946.05"/>
    <n v="0.25"/>
    <x v="2"/>
    <n v="6"/>
    <x v="5"/>
  </r>
  <r>
    <d v="2005-05-13T00:00:00"/>
    <x v="2"/>
    <x v="1"/>
    <x v="3"/>
    <x v="3"/>
    <n v="1873.41"/>
    <x v="1719"/>
    <n v="1532.79"/>
    <n v="0.45"/>
    <x v="0"/>
    <n v="5"/>
    <x v="7"/>
  </r>
  <r>
    <d v="2005-01-30T00:00:00"/>
    <x v="3"/>
    <x v="0"/>
    <x v="0"/>
    <x v="2"/>
    <n v="1615.26"/>
    <x v="1720"/>
    <n v="760.12"/>
    <n v="0.32"/>
    <x v="0"/>
    <n v="1"/>
    <x v="2"/>
  </r>
  <r>
    <d v="2005-01-03T00:00:00"/>
    <x v="1"/>
    <x v="0"/>
    <x v="0"/>
    <x v="1"/>
    <n v="854.13"/>
    <x v="1721"/>
    <n v="1454.32"/>
    <n v="0.63"/>
    <x v="0"/>
    <n v="1"/>
    <x v="2"/>
  </r>
  <r>
    <d v="2006-05-30T00:00:00"/>
    <x v="0"/>
    <x v="2"/>
    <x v="0"/>
    <x v="0"/>
    <n v="5224.1899999999996"/>
    <x v="1722"/>
    <n v="363.18"/>
    <n v="6.5000000000000002E-2"/>
    <x v="1"/>
    <n v="5"/>
    <x v="7"/>
  </r>
  <r>
    <d v="2004-09-30T00:00:00"/>
    <x v="4"/>
    <x v="3"/>
    <x v="0"/>
    <x v="1"/>
    <n v="444.07"/>
    <x v="1723"/>
    <n v="363.33"/>
    <n v="0.45"/>
    <x v="2"/>
    <n v="9"/>
    <x v="6"/>
  </r>
  <r>
    <d v="2005-07-23T00:00:00"/>
    <x v="0"/>
    <x v="3"/>
    <x v="2"/>
    <x v="0"/>
    <n v="5299.46"/>
    <x v="1724"/>
    <n v="2493.86"/>
    <n v="0.32"/>
    <x v="0"/>
    <n v="7"/>
    <x v="9"/>
  </r>
  <r>
    <d v="2005-07-08T00:00:00"/>
    <x v="3"/>
    <x v="0"/>
    <x v="3"/>
    <x v="1"/>
    <n v="558.38"/>
    <x v="1725"/>
    <n v="38.82"/>
    <n v="6.5000000000000002E-2"/>
    <x v="0"/>
    <n v="7"/>
    <x v="9"/>
  </r>
  <r>
    <d v="2005-04-10T00:00:00"/>
    <x v="0"/>
    <x v="4"/>
    <x v="2"/>
    <x v="3"/>
    <n v="2059.29"/>
    <x v="1726"/>
    <n v="1431.04"/>
    <n v="0.41"/>
    <x v="0"/>
    <n v="4"/>
    <x v="8"/>
  </r>
  <r>
    <d v="2004-11-04T00:00:00"/>
    <x v="4"/>
    <x v="3"/>
    <x v="3"/>
    <x v="1"/>
    <n v="1445.41"/>
    <x v="1727"/>
    <n v="1004.44"/>
    <n v="0.41"/>
    <x v="2"/>
    <n v="11"/>
    <x v="11"/>
  </r>
  <r>
    <d v="2006-04-30T00:00:00"/>
    <x v="5"/>
    <x v="3"/>
    <x v="1"/>
    <x v="0"/>
    <n v="730.46"/>
    <x v="1728"/>
    <n v="243.49"/>
    <n v="0.25"/>
    <x v="1"/>
    <n v="4"/>
    <x v="8"/>
  </r>
  <r>
    <d v="2006-03-05T00:00:00"/>
    <x v="5"/>
    <x v="4"/>
    <x v="2"/>
    <x v="1"/>
    <n v="1032.29"/>
    <x v="1729"/>
    <n v="1757.69"/>
    <n v="0.63"/>
    <x v="1"/>
    <n v="3"/>
    <x v="3"/>
  </r>
  <r>
    <d v="2005-07-28T00:00:00"/>
    <x v="4"/>
    <x v="0"/>
    <x v="3"/>
    <x v="3"/>
    <n v="2875.12"/>
    <x v="1730"/>
    <n v="2352.38"/>
    <n v="0.45"/>
    <x v="0"/>
    <n v="7"/>
    <x v="9"/>
  </r>
  <r>
    <d v="2006-05-23T00:00:00"/>
    <x v="4"/>
    <x v="3"/>
    <x v="1"/>
    <x v="2"/>
    <n v="6767.51"/>
    <x v="1731"/>
    <n v="922.84"/>
    <n v="0.12"/>
    <x v="1"/>
    <n v="5"/>
    <x v="7"/>
  </r>
  <r>
    <d v="2006-05-10T00:00:00"/>
    <x v="3"/>
    <x v="2"/>
    <x v="1"/>
    <x v="0"/>
    <n v="1855.42"/>
    <x v="1732"/>
    <n v="3159.23"/>
    <n v="0.63"/>
    <x v="1"/>
    <n v="5"/>
    <x v="7"/>
  </r>
  <r>
    <d v="2005-04-12T00:00:00"/>
    <x v="3"/>
    <x v="0"/>
    <x v="3"/>
    <x v="3"/>
    <n v="2522.29"/>
    <x v="1733"/>
    <n v="3343.5"/>
    <n v="0.56999999999999995"/>
    <x v="0"/>
    <n v="4"/>
    <x v="8"/>
  </r>
  <r>
    <d v="2006-04-14T00:00:00"/>
    <x v="5"/>
    <x v="1"/>
    <x v="2"/>
    <x v="1"/>
    <n v="6416.84"/>
    <x v="1734"/>
    <n v="446.09"/>
    <n v="6.5000000000000002E-2"/>
    <x v="1"/>
    <n v="4"/>
    <x v="8"/>
  </r>
  <r>
    <d v="2004-10-31T00:00:00"/>
    <x v="1"/>
    <x v="2"/>
    <x v="1"/>
    <x v="1"/>
    <n v="3871.1"/>
    <x v="1735"/>
    <n v="1290.3599999999999"/>
    <n v="0.25"/>
    <x v="2"/>
    <n v="10"/>
    <x v="0"/>
  </r>
  <r>
    <d v="2005-12-12T00:00:00"/>
    <x v="0"/>
    <x v="3"/>
    <x v="2"/>
    <x v="2"/>
    <n v="1853.22"/>
    <x v="1736"/>
    <n v="1341.99"/>
    <n v="0.42"/>
    <x v="0"/>
    <n v="12"/>
    <x v="4"/>
  </r>
  <r>
    <d v="2005-03-24T00:00:00"/>
    <x v="3"/>
    <x v="4"/>
    <x v="0"/>
    <x v="1"/>
    <n v="1831.19"/>
    <x v="1737"/>
    <n v="3117.97"/>
    <n v="0.63"/>
    <x v="0"/>
    <n v="3"/>
    <x v="3"/>
  </r>
  <r>
    <d v="2005-11-02T00:00:00"/>
    <x v="4"/>
    <x v="3"/>
    <x v="0"/>
    <x v="2"/>
    <n v="1336.62"/>
    <x v="1738"/>
    <n v="1093.5899999999999"/>
    <n v="0.45"/>
    <x v="0"/>
    <n v="11"/>
    <x v="11"/>
  </r>
  <r>
    <d v="2005-05-01T00:00:00"/>
    <x v="2"/>
    <x v="4"/>
    <x v="1"/>
    <x v="2"/>
    <n v="3364.09"/>
    <x v="1739"/>
    <n v="4111.67"/>
    <n v="0.55000000000000004"/>
    <x v="0"/>
    <n v="5"/>
    <x v="7"/>
  </r>
  <r>
    <d v="2006-05-02T00:00:00"/>
    <x v="2"/>
    <x v="0"/>
    <x v="3"/>
    <x v="1"/>
    <n v="1265.31"/>
    <x v="1740"/>
    <n v="172.54"/>
    <n v="0.12"/>
    <x v="1"/>
    <n v="5"/>
    <x v="7"/>
  </r>
  <r>
    <d v="2005-04-27T00:00:00"/>
    <x v="0"/>
    <x v="3"/>
    <x v="3"/>
    <x v="2"/>
    <n v="8079.5"/>
    <x v="1741"/>
    <n v="561.67999999999995"/>
    <n v="6.5000000000000002E-2"/>
    <x v="0"/>
    <n v="4"/>
    <x v="8"/>
  </r>
  <r>
    <d v="2005-08-31T00:00:00"/>
    <x v="0"/>
    <x v="2"/>
    <x v="1"/>
    <x v="2"/>
    <n v="677.31"/>
    <x v="1742"/>
    <n v="490.47"/>
    <n v="0.42"/>
    <x v="0"/>
    <n v="8"/>
    <x v="10"/>
  </r>
  <r>
    <d v="2004-12-13T00:00:00"/>
    <x v="3"/>
    <x v="0"/>
    <x v="1"/>
    <x v="0"/>
    <n v="8046.45"/>
    <x v="1743"/>
    <n v="559.38"/>
    <n v="6.5000000000000002E-2"/>
    <x v="2"/>
    <n v="12"/>
    <x v="4"/>
  </r>
  <r>
    <d v="2005-11-20T00:00:00"/>
    <x v="5"/>
    <x v="1"/>
    <x v="2"/>
    <x v="0"/>
    <n v="4490.49"/>
    <x v="1744"/>
    <n v="2113.17"/>
    <n v="0.32"/>
    <x v="0"/>
    <n v="11"/>
    <x v="11"/>
  </r>
  <r>
    <d v="2006-02-20T00:00:00"/>
    <x v="4"/>
    <x v="1"/>
    <x v="1"/>
    <x v="3"/>
    <n v="1279.02"/>
    <x v="1745"/>
    <n v="1046.47"/>
    <n v="0.45"/>
    <x v="1"/>
    <n v="2"/>
    <x v="1"/>
  </r>
  <r>
    <d v="2004-09-26T00:00:00"/>
    <x v="3"/>
    <x v="0"/>
    <x v="0"/>
    <x v="1"/>
    <n v="3590.77"/>
    <x v="1746"/>
    <n v="2937.9"/>
    <n v="0.45"/>
    <x v="2"/>
    <n v="9"/>
    <x v="6"/>
  </r>
  <r>
    <d v="2004-09-24T00:00:00"/>
    <x v="3"/>
    <x v="4"/>
    <x v="3"/>
    <x v="0"/>
    <n v="2982.53"/>
    <x v="1747"/>
    <n v="2440.2600000000002"/>
    <n v="0.45"/>
    <x v="2"/>
    <n v="9"/>
    <x v="6"/>
  </r>
  <r>
    <d v="2006-04-29T00:00:00"/>
    <x v="0"/>
    <x v="0"/>
    <x v="1"/>
    <x v="0"/>
    <n v="2714.37"/>
    <x v="1748"/>
    <n v="1277.3499999999999"/>
    <n v="0.32"/>
    <x v="1"/>
    <n v="4"/>
    <x v="8"/>
  </r>
  <r>
    <d v="2005-06-08T00:00:00"/>
    <x v="4"/>
    <x v="3"/>
    <x v="1"/>
    <x v="2"/>
    <n v="1030.26"/>
    <x v="1749"/>
    <n v="842.94"/>
    <n v="0.45"/>
    <x v="0"/>
    <n v="6"/>
    <x v="5"/>
  </r>
  <r>
    <d v="2005-06-08T00:00:00"/>
    <x v="0"/>
    <x v="0"/>
    <x v="2"/>
    <x v="0"/>
    <n v="2426.35"/>
    <x v="1750"/>
    <n v="2965.53"/>
    <n v="0.55000000000000004"/>
    <x v="0"/>
    <n v="6"/>
    <x v="5"/>
  </r>
  <r>
    <d v="2005-08-29T00:00:00"/>
    <x v="3"/>
    <x v="4"/>
    <x v="2"/>
    <x v="3"/>
    <n v="1420.63"/>
    <x v="1751"/>
    <n v="668.53"/>
    <n v="0.32"/>
    <x v="0"/>
    <n v="8"/>
    <x v="10"/>
  </r>
  <r>
    <d v="2005-07-04T00:00:00"/>
    <x v="2"/>
    <x v="0"/>
    <x v="1"/>
    <x v="1"/>
    <n v="6603.42"/>
    <x v="1752"/>
    <n v="2201.14"/>
    <n v="0.25"/>
    <x v="0"/>
    <n v="7"/>
    <x v="9"/>
  </r>
  <r>
    <d v="2005-11-10T00:00:00"/>
    <x v="4"/>
    <x v="0"/>
    <x v="2"/>
    <x v="2"/>
    <n v="8311.6"/>
    <x v="1753"/>
    <n v="1133.4000000000001"/>
    <n v="0.12"/>
    <x v="0"/>
    <n v="11"/>
    <x v="11"/>
  </r>
  <r>
    <d v="2005-05-01T00:00:00"/>
    <x v="2"/>
    <x v="1"/>
    <x v="0"/>
    <x v="1"/>
    <n v="6820.56"/>
    <x v="1754"/>
    <n v="2273.52"/>
    <n v="0.25"/>
    <x v="0"/>
    <n v="5"/>
    <x v="7"/>
  </r>
  <r>
    <d v="2005-01-26T00:00:00"/>
    <x v="5"/>
    <x v="3"/>
    <x v="0"/>
    <x v="2"/>
    <n v="2611.64"/>
    <x v="1755"/>
    <n v="1229.01"/>
    <n v="0.32"/>
    <x v="0"/>
    <n v="1"/>
    <x v="2"/>
  </r>
  <r>
    <d v="2006-02-20T00:00:00"/>
    <x v="4"/>
    <x v="2"/>
    <x v="0"/>
    <x v="2"/>
    <n v="5014.63"/>
    <x v="1756"/>
    <n v="1671.54"/>
    <n v="0.25"/>
    <x v="1"/>
    <n v="2"/>
    <x v="1"/>
  </r>
  <r>
    <d v="2004-08-05T00:00:00"/>
    <x v="2"/>
    <x v="0"/>
    <x v="0"/>
    <x v="3"/>
    <n v="4561.2"/>
    <x v="1757"/>
    <n v="621.98"/>
    <n v="0.12"/>
    <x v="2"/>
    <n v="8"/>
    <x v="10"/>
  </r>
  <r>
    <d v="2006-02-19T00:00:00"/>
    <x v="4"/>
    <x v="0"/>
    <x v="0"/>
    <x v="2"/>
    <n v="1530.2"/>
    <x v="1758"/>
    <n v="1063.3599999999999"/>
    <n v="0.41"/>
    <x v="1"/>
    <n v="2"/>
    <x v="1"/>
  </r>
  <r>
    <d v="2006-01-12T00:00:00"/>
    <x v="3"/>
    <x v="0"/>
    <x v="2"/>
    <x v="1"/>
    <n v="2809.57"/>
    <x v="1759"/>
    <n v="2298.7399999999998"/>
    <n v="0.45"/>
    <x v="1"/>
    <n v="1"/>
    <x v="2"/>
  </r>
  <r>
    <d v="2005-01-21T00:00:00"/>
    <x v="2"/>
    <x v="2"/>
    <x v="2"/>
    <x v="3"/>
    <n v="8615.6200000000008"/>
    <x v="1760"/>
    <n v="1174.8599999999999"/>
    <n v="0.12"/>
    <x v="0"/>
    <n v="1"/>
    <x v="2"/>
  </r>
  <r>
    <d v="2006-05-18T00:00:00"/>
    <x v="2"/>
    <x v="3"/>
    <x v="1"/>
    <x v="1"/>
    <n v="3489.65"/>
    <x v="1761"/>
    <n v="1163.22"/>
    <n v="0.25"/>
    <x v="1"/>
    <n v="5"/>
    <x v="7"/>
  </r>
  <r>
    <d v="2006-03-01T00:00:00"/>
    <x v="3"/>
    <x v="4"/>
    <x v="0"/>
    <x v="0"/>
    <n v="3185.71"/>
    <x v="1762"/>
    <n v="5424.31"/>
    <n v="0.63"/>
    <x v="1"/>
    <n v="3"/>
    <x v="3"/>
  </r>
  <r>
    <d v="2006-03-22T00:00:00"/>
    <x v="2"/>
    <x v="3"/>
    <x v="0"/>
    <x v="2"/>
    <n v="4458.37"/>
    <x v="1763"/>
    <n v="309.94"/>
    <n v="6.5000000000000002E-2"/>
    <x v="1"/>
    <n v="3"/>
    <x v="3"/>
  </r>
  <r>
    <d v="2006-01-08T00:00:00"/>
    <x v="0"/>
    <x v="1"/>
    <x v="1"/>
    <x v="0"/>
    <n v="4349.1000000000004"/>
    <x v="1764"/>
    <n v="593.05999999999995"/>
    <n v="0.12"/>
    <x v="1"/>
    <n v="1"/>
    <x v="2"/>
  </r>
  <r>
    <d v="2005-04-25T00:00:00"/>
    <x v="4"/>
    <x v="4"/>
    <x v="1"/>
    <x v="3"/>
    <n v="4662.3"/>
    <x v="1765"/>
    <n v="2194.0300000000002"/>
    <n v="0.32"/>
    <x v="0"/>
    <n v="4"/>
    <x v="8"/>
  </r>
  <r>
    <d v="2006-04-11T00:00:00"/>
    <x v="1"/>
    <x v="1"/>
    <x v="1"/>
    <x v="1"/>
    <n v="3267.6"/>
    <x v="1766"/>
    <n v="4331.4799999999996"/>
    <n v="0.56999999999999995"/>
    <x v="1"/>
    <n v="4"/>
    <x v="8"/>
  </r>
  <r>
    <d v="2004-10-10T00:00:00"/>
    <x v="2"/>
    <x v="4"/>
    <x v="1"/>
    <x v="0"/>
    <n v="6162.92"/>
    <x v="1767"/>
    <n v="2054.3000000000002"/>
    <n v="0.25"/>
    <x v="2"/>
    <n v="10"/>
    <x v="0"/>
  </r>
  <r>
    <d v="2005-05-06T00:00:00"/>
    <x v="0"/>
    <x v="0"/>
    <x v="3"/>
    <x v="0"/>
    <n v="3437.81"/>
    <x v="1768"/>
    <n v="238.99"/>
    <n v="6.5000000000000002E-2"/>
    <x v="0"/>
    <n v="5"/>
    <x v="7"/>
  </r>
  <r>
    <d v="2005-09-13T00:00:00"/>
    <x v="5"/>
    <x v="0"/>
    <x v="2"/>
    <x v="2"/>
    <n v="2244.35"/>
    <x v="1769"/>
    <n v="156.02000000000001"/>
    <n v="6.5000000000000002E-2"/>
    <x v="0"/>
    <n v="9"/>
    <x v="6"/>
  </r>
  <r>
    <d v="2006-04-05T00:00:00"/>
    <x v="1"/>
    <x v="4"/>
    <x v="2"/>
    <x v="3"/>
    <n v="714.63"/>
    <x v="1770"/>
    <n v="873.44"/>
    <n v="0.55000000000000004"/>
    <x v="1"/>
    <n v="4"/>
    <x v="8"/>
  </r>
  <r>
    <d v="2005-05-01T00:00:00"/>
    <x v="3"/>
    <x v="2"/>
    <x v="2"/>
    <x v="0"/>
    <n v="3877.48"/>
    <x v="1771"/>
    <n v="3172.48"/>
    <n v="0.45"/>
    <x v="0"/>
    <n v="5"/>
    <x v="7"/>
  </r>
  <r>
    <d v="2005-03-25T00:00:00"/>
    <x v="2"/>
    <x v="4"/>
    <x v="2"/>
    <x v="3"/>
    <n v="1755.82"/>
    <x v="1772"/>
    <n v="1271.46"/>
    <n v="0.42"/>
    <x v="0"/>
    <n v="3"/>
    <x v="3"/>
  </r>
  <r>
    <d v="2006-06-10T00:00:00"/>
    <x v="2"/>
    <x v="3"/>
    <x v="1"/>
    <x v="2"/>
    <n v="209.3"/>
    <x v="1773"/>
    <n v="151.57"/>
    <n v="0.42"/>
    <x v="1"/>
    <n v="6"/>
    <x v="5"/>
  </r>
  <r>
    <d v="2005-05-18T00:00:00"/>
    <x v="4"/>
    <x v="1"/>
    <x v="2"/>
    <x v="2"/>
    <n v="567.88"/>
    <x v="1774"/>
    <n v="39.479999999999997"/>
    <n v="6.5000000000000002E-2"/>
    <x v="0"/>
    <n v="5"/>
    <x v="7"/>
  </r>
  <r>
    <d v="2004-10-13T00:00:00"/>
    <x v="1"/>
    <x v="2"/>
    <x v="2"/>
    <x v="2"/>
    <n v="1108.81"/>
    <x v="1775"/>
    <n v="77.08"/>
    <n v="6.5000000000000002E-2"/>
    <x v="2"/>
    <n v="10"/>
    <x v="0"/>
  </r>
  <r>
    <d v="2004-07-09T00:00:00"/>
    <x v="3"/>
    <x v="2"/>
    <x v="0"/>
    <x v="3"/>
    <n v="5626.65"/>
    <x v="1776"/>
    <n v="1875.55"/>
    <n v="0.25"/>
    <x v="2"/>
    <n v="7"/>
    <x v="9"/>
  </r>
  <r>
    <d v="2005-08-24T00:00:00"/>
    <x v="3"/>
    <x v="3"/>
    <x v="0"/>
    <x v="1"/>
    <n v="531.65"/>
    <x v="1777"/>
    <n v="384.99"/>
    <n v="0.42"/>
    <x v="0"/>
    <n v="8"/>
    <x v="10"/>
  </r>
  <r>
    <d v="2006-06-07T00:00:00"/>
    <x v="0"/>
    <x v="4"/>
    <x v="2"/>
    <x v="0"/>
    <n v="3401.72"/>
    <x v="1778"/>
    <n v="5792.12"/>
    <n v="0.63"/>
    <x v="1"/>
    <n v="6"/>
    <x v="5"/>
  </r>
  <r>
    <d v="2004-11-04T00:00:00"/>
    <x v="4"/>
    <x v="2"/>
    <x v="0"/>
    <x v="2"/>
    <n v="5753.49"/>
    <x v="1779"/>
    <n v="4166.32"/>
    <n v="0.42"/>
    <x v="2"/>
    <n v="11"/>
    <x v="11"/>
  </r>
  <r>
    <d v="2005-06-18T00:00:00"/>
    <x v="2"/>
    <x v="0"/>
    <x v="1"/>
    <x v="0"/>
    <n v="1911.54"/>
    <x v="1780"/>
    <n v="899.55"/>
    <n v="0.32"/>
    <x v="0"/>
    <n v="6"/>
    <x v="5"/>
  </r>
  <r>
    <d v="2005-03-06T00:00:00"/>
    <x v="5"/>
    <x v="2"/>
    <x v="0"/>
    <x v="3"/>
    <n v="2567.09"/>
    <x v="1781"/>
    <n v="3137.56"/>
    <n v="0.55000000000000004"/>
    <x v="0"/>
    <n v="3"/>
    <x v="3"/>
  </r>
  <r>
    <d v="2004-12-11T00:00:00"/>
    <x v="1"/>
    <x v="2"/>
    <x v="2"/>
    <x v="0"/>
    <n v="4424.62"/>
    <x v="1782"/>
    <n v="307.58999999999997"/>
    <n v="6.5000000000000002E-2"/>
    <x v="2"/>
    <n v="12"/>
    <x v="4"/>
  </r>
  <r>
    <d v="2005-04-03T00:00:00"/>
    <x v="2"/>
    <x v="2"/>
    <x v="2"/>
    <x v="3"/>
    <n v="7959.19"/>
    <x v="1783"/>
    <n v="1085.3399999999999"/>
    <n v="0.12"/>
    <x v="0"/>
    <n v="4"/>
    <x v="8"/>
  </r>
  <r>
    <d v="2005-07-07T00:00:00"/>
    <x v="0"/>
    <x v="3"/>
    <x v="1"/>
    <x v="0"/>
    <n v="1964.04"/>
    <x v="1784"/>
    <n v="3344.17"/>
    <n v="0.63"/>
    <x v="0"/>
    <n v="7"/>
    <x v="9"/>
  </r>
  <r>
    <d v="2005-06-28T00:00:00"/>
    <x v="3"/>
    <x v="2"/>
    <x v="3"/>
    <x v="2"/>
    <n v="3354.58"/>
    <x v="1785"/>
    <n v="457.44"/>
    <n v="0.12"/>
    <x v="0"/>
    <n v="6"/>
    <x v="5"/>
  </r>
  <r>
    <d v="2005-03-22T00:00:00"/>
    <x v="1"/>
    <x v="4"/>
    <x v="1"/>
    <x v="1"/>
    <n v="1371.71"/>
    <x v="1786"/>
    <n v="953.22"/>
    <n v="0.41"/>
    <x v="0"/>
    <n v="3"/>
    <x v="3"/>
  </r>
  <r>
    <d v="2006-04-17T00:00:00"/>
    <x v="0"/>
    <x v="4"/>
    <x v="0"/>
    <x v="2"/>
    <n v="3781.32"/>
    <x v="1787"/>
    <n v="4621.6099999999997"/>
    <n v="0.55000000000000004"/>
    <x v="1"/>
    <n v="4"/>
    <x v="8"/>
  </r>
  <r>
    <d v="2005-04-18T00:00:00"/>
    <x v="1"/>
    <x v="0"/>
    <x v="0"/>
    <x v="1"/>
    <n v="45.01"/>
    <x v="1788"/>
    <n v="36.82"/>
    <n v="0.45"/>
    <x v="0"/>
    <n v="4"/>
    <x v="8"/>
  </r>
  <r>
    <d v="2006-03-24T00:00:00"/>
    <x v="0"/>
    <x v="1"/>
    <x v="0"/>
    <x v="1"/>
    <n v="5628.87"/>
    <x v="1789"/>
    <n v="2648.88"/>
    <n v="0.32"/>
    <x v="1"/>
    <n v="3"/>
    <x v="3"/>
  </r>
  <r>
    <d v="2005-06-14T00:00:00"/>
    <x v="3"/>
    <x v="3"/>
    <x v="3"/>
    <x v="2"/>
    <n v="1378.24"/>
    <x v="1790"/>
    <n v="1826.98"/>
    <n v="0.56999999999999995"/>
    <x v="0"/>
    <n v="6"/>
    <x v="5"/>
  </r>
  <r>
    <d v="2005-02-17T00:00:00"/>
    <x v="3"/>
    <x v="0"/>
    <x v="0"/>
    <x v="1"/>
    <n v="2036.94"/>
    <x v="1791"/>
    <n v="1666.58"/>
    <n v="0.45"/>
    <x v="0"/>
    <n v="2"/>
    <x v="1"/>
  </r>
  <r>
    <d v="2004-10-30T00:00:00"/>
    <x v="2"/>
    <x v="0"/>
    <x v="0"/>
    <x v="0"/>
    <n v="4304"/>
    <x v="1792"/>
    <n v="3521.46"/>
    <n v="0.45"/>
    <x v="2"/>
    <n v="10"/>
    <x v="0"/>
  </r>
  <r>
    <d v="2006-05-03T00:00:00"/>
    <x v="1"/>
    <x v="3"/>
    <x v="1"/>
    <x v="1"/>
    <n v="3904.16"/>
    <x v="1793"/>
    <n v="1301.3800000000001"/>
    <n v="0.25"/>
    <x v="1"/>
    <n v="5"/>
    <x v="7"/>
  </r>
  <r>
    <d v="2005-11-18T00:00:00"/>
    <x v="5"/>
    <x v="4"/>
    <x v="1"/>
    <x v="3"/>
    <n v="1059.28"/>
    <x v="1794"/>
    <n v="498.49"/>
    <n v="0.32"/>
    <x v="0"/>
    <n v="11"/>
    <x v="11"/>
  </r>
  <r>
    <d v="2005-11-13T00:00:00"/>
    <x v="1"/>
    <x v="1"/>
    <x v="0"/>
    <x v="0"/>
    <n v="4231.46"/>
    <x v="1795"/>
    <n v="3462.11"/>
    <n v="0.45"/>
    <x v="0"/>
    <n v="11"/>
    <x v="11"/>
  </r>
  <r>
    <d v="2006-05-13T00:00:00"/>
    <x v="3"/>
    <x v="3"/>
    <x v="1"/>
    <x v="2"/>
    <n v="2076.52"/>
    <x v="1796"/>
    <n v="2537.98"/>
    <n v="0.55000000000000004"/>
    <x v="1"/>
    <n v="5"/>
    <x v="7"/>
  </r>
  <r>
    <d v="2004-11-21T00:00:00"/>
    <x v="4"/>
    <x v="2"/>
    <x v="3"/>
    <x v="3"/>
    <n v="2500.83"/>
    <x v="1797"/>
    <n v="4258.17"/>
    <n v="0.63"/>
    <x v="2"/>
    <n v="11"/>
    <x v="11"/>
  </r>
  <r>
    <d v="2004-06-24T00:00:00"/>
    <x v="4"/>
    <x v="2"/>
    <x v="1"/>
    <x v="0"/>
    <n v="1860.83"/>
    <x v="1798"/>
    <n v="129.36000000000001"/>
    <n v="6.5000000000000002E-2"/>
    <x v="2"/>
    <n v="6"/>
    <x v="5"/>
  </r>
  <r>
    <d v="2005-08-29T00:00:00"/>
    <x v="5"/>
    <x v="4"/>
    <x v="0"/>
    <x v="3"/>
    <n v="3739.07"/>
    <x v="1799"/>
    <n v="4956.45"/>
    <n v="0.56999999999999995"/>
    <x v="0"/>
    <n v="8"/>
    <x v="10"/>
  </r>
  <r>
    <d v="2004-11-27T00:00:00"/>
    <x v="3"/>
    <x v="3"/>
    <x v="3"/>
    <x v="2"/>
    <n v="2595.27"/>
    <x v="1800"/>
    <n v="180.42"/>
    <n v="6.5000000000000002E-2"/>
    <x v="2"/>
    <n v="11"/>
    <x v="11"/>
  </r>
  <r>
    <d v="2004-11-27T00:00:00"/>
    <x v="2"/>
    <x v="3"/>
    <x v="2"/>
    <x v="0"/>
    <n v="2003.94"/>
    <x v="1801"/>
    <n v="2449.2600000000002"/>
    <n v="0.55000000000000004"/>
    <x v="2"/>
    <n v="11"/>
    <x v="11"/>
  </r>
  <r>
    <d v="2004-10-01T00:00:00"/>
    <x v="3"/>
    <x v="1"/>
    <x v="2"/>
    <x v="1"/>
    <n v="3017.95"/>
    <x v="1802"/>
    <n v="2185.41"/>
    <n v="0.42"/>
    <x v="2"/>
    <n v="10"/>
    <x v="0"/>
  </r>
  <r>
    <d v="2005-02-09T00:00:00"/>
    <x v="5"/>
    <x v="3"/>
    <x v="0"/>
    <x v="3"/>
    <n v="2890.4"/>
    <x v="1803"/>
    <n v="963.46"/>
    <n v="0.25"/>
    <x v="0"/>
    <n v="2"/>
    <x v="1"/>
  </r>
  <r>
    <d v="2005-03-19T00:00:00"/>
    <x v="4"/>
    <x v="2"/>
    <x v="2"/>
    <x v="1"/>
    <n v="4351.8"/>
    <x v="1804"/>
    <n v="3024.14"/>
    <n v="0.41"/>
    <x v="0"/>
    <n v="3"/>
    <x v="3"/>
  </r>
  <r>
    <d v="2005-04-03T00:00:00"/>
    <x v="2"/>
    <x v="2"/>
    <x v="2"/>
    <x v="0"/>
    <n v="1174.98"/>
    <x v="1805"/>
    <n v="1436.08"/>
    <n v="0.55000000000000004"/>
    <x v="0"/>
    <n v="4"/>
    <x v="8"/>
  </r>
  <r>
    <d v="2004-08-29T00:00:00"/>
    <x v="3"/>
    <x v="4"/>
    <x v="3"/>
    <x v="1"/>
    <n v="1451.19"/>
    <x v="1806"/>
    <n v="1008.46"/>
    <n v="0.41"/>
    <x v="2"/>
    <n v="8"/>
    <x v="10"/>
  </r>
  <r>
    <d v="2005-03-13T00:00:00"/>
    <x v="1"/>
    <x v="2"/>
    <x v="3"/>
    <x v="2"/>
    <n v="3604.66"/>
    <x v="1807"/>
    <n v="2949.26"/>
    <n v="0.45"/>
    <x v="0"/>
    <n v="3"/>
    <x v="3"/>
  </r>
  <r>
    <d v="2004-12-21T00:00:00"/>
    <x v="4"/>
    <x v="2"/>
    <x v="3"/>
    <x v="1"/>
    <n v="2432.7399999999998"/>
    <x v="1808"/>
    <n v="4142.22"/>
    <n v="0.63"/>
    <x v="2"/>
    <n v="12"/>
    <x v="4"/>
  </r>
  <r>
    <d v="2005-10-17T00:00:00"/>
    <x v="4"/>
    <x v="3"/>
    <x v="3"/>
    <x v="0"/>
    <n v="5729.63"/>
    <x v="1809"/>
    <n v="1909.88"/>
    <n v="0.25"/>
    <x v="0"/>
    <n v="10"/>
    <x v="0"/>
  </r>
  <r>
    <d v="2004-11-10T00:00:00"/>
    <x v="4"/>
    <x v="2"/>
    <x v="1"/>
    <x v="3"/>
    <n v="243.9"/>
    <x v="1810"/>
    <n v="199.56"/>
    <n v="0.45"/>
    <x v="2"/>
    <n v="11"/>
    <x v="11"/>
  </r>
  <r>
    <d v="2005-03-14T00:00:00"/>
    <x v="0"/>
    <x v="0"/>
    <x v="3"/>
    <x v="3"/>
    <n v="2282.1799999999998"/>
    <x v="1811"/>
    <n v="1073.97"/>
    <n v="0.32"/>
    <x v="0"/>
    <n v="3"/>
    <x v="3"/>
  </r>
  <r>
    <d v="2006-02-10T00:00:00"/>
    <x v="2"/>
    <x v="2"/>
    <x v="1"/>
    <x v="0"/>
    <n v="2542.44"/>
    <x v="1812"/>
    <n v="3370.21"/>
    <n v="0.56999999999999995"/>
    <x v="1"/>
    <n v="2"/>
    <x v="1"/>
  </r>
  <r>
    <d v="2005-12-17T00:00:00"/>
    <x v="2"/>
    <x v="3"/>
    <x v="0"/>
    <x v="1"/>
    <n v="8077.53"/>
    <x v="1813"/>
    <n v="561.54"/>
    <n v="6.5000000000000002E-2"/>
    <x v="0"/>
    <n v="12"/>
    <x v="4"/>
  </r>
  <r>
    <d v="2004-08-03T00:00:00"/>
    <x v="5"/>
    <x v="1"/>
    <x v="0"/>
    <x v="2"/>
    <n v="3758.96"/>
    <x v="1814"/>
    <n v="4982.8100000000004"/>
    <n v="0.56999999999999995"/>
    <x v="2"/>
    <n v="8"/>
    <x v="10"/>
  </r>
  <r>
    <d v="2005-08-04T00:00:00"/>
    <x v="0"/>
    <x v="1"/>
    <x v="1"/>
    <x v="1"/>
    <n v="2881.43"/>
    <x v="1815"/>
    <n v="3819.56"/>
    <n v="0.56999999999999995"/>
    <x v="0"/>
    <n v="8"/>
    <x v="10"/>
  </r>
  <r>
    <d v="2005-12-29T00:00:00"/>
    <x v="4"/>
    <x v="4"/>
    <x v="3"/>
    <x v="1"/>
    <n v="359.26"/>
    <x v="1816"/>
    <n v="260.16000000000003"/>
    <n v="0.42"/>
    <x v="0"/>
    <n v="12"/>
    <x v="4"/>
  </r>
  <r>
    <d v="2004-10-23T00:00:00"/>
    <x v="1"/>
    <x v="1"/>
    <x v="3"/>
    <x v="1"/>
    <n v="564.32000000000005"/>
    <x v="1817"/>
    <n v="461.72"/>
    <n v="0.45"/>
    <x v="2"/>
    <n v="10"/>
    <x v="0"/>
  </r>
  <r>
    <d v="2006-05-03T00:00:00"/>
    <x v="0"/>
    <x v="3"/>
    <x v="2"/>
    <x v="2"/>
    <n v="4846.96"/>
    <x v="1818"/>
    <n v="336.95"/>
    <n v="6.5000000000000002E-2"/>
    <x v="1"/>
    <n v="5"/>
    <x v="7"/>
  </r>
  <r>
    <d v="2004-07-24T00:00:00"/>
    <x v="3"/>
    <x v="3"/>
    <x v="0"/>
    <x v="0"/>
    <n v="660.76"/>
    <x v="1819"/>
    <n v="220.25"/>
    <n v="0.25"/>
    <x v="2"/>
    <n v="7"/>
    <x v="9"/>
  </r>
  <r>
    <d v="2005-06-21T00:00:00"/>
    <x v="3"/>
    <x v="4"/>
    <x v="1"/>
    <x v="2"/>
    <n v="1874.01"/>
    <x v="1820"/>
    <n v="881.89"/>
    <n v="0.32"/>
    <x v="0"/>
    <n v="6"/>
    <x v="5"/>
  </r>
  <r>
    <d v="2004-06-17T00:00:00"/>
    <x v="2"/>
    <x v="2"/>
    <x v="3"/>
    <x v="3"/>
    <n v="2181.2399999999998"/>
    <x v="1821"/>
    <n v="2665.96"/>
    <n v="0.55000000000000004"/>
    <x v="2"/>
    <n v="6"/>
    <x v="5"/>
  </r>
  <r>
    <d v="2004-11-14T00:00:00"/>
    <x v="2"/>
    <x v="3"/>
    <x v="3"/>
    <x v="1"/>
    <n v="28.54"/>
    <x v="1822"/>
    <n v="19.829999999999998"/>
    <n v="0.41"/>
    <x v="2"/>
    <n v="11"/>
    <x v="11"/>
  </r>
  <r>
    <d v="2004-08-18T00:00:00"/>
    <x v="1"/>
    <x v="2"/>
    <x v="3"/>
    <x v="2"/>
    <n v="2420.96"/>
    <x v="1823"/>
    <n v="4122.18"/>
    <n v="0.63"/>
    <x v="2"/>
    <n v="8"/>
    <x v="10"/>
  </r>
  <r>
    <d v="2004-10-31T00:00:00"/>
    <x v="5"/>
    <x v="2"/>
    <x v="3"/>
    <x v="1"/>
    <n v="4549.04"/>
    <x v="1824"/>
    <n v="3161.19"/>
    <n v="0.41"/>
    <x v="2"/>
    <n v="10"/>
    <x v="0"/>
  </r>
  <r>
    <d v="2005-07-16T00:00:00"/>
    <x v="0"/>
    <x v="4"/>
    <x v="2"/>
    <x v="3"/>
    <n v="2287.73"/>
    <x v="1825"/>
    <n v="762.58"/>
    <n v="0.25"/>
    <x v="0"/>
    <n v="7"/>
    <x v="9"/>
  </r>
  <r>
    <d v="2006-01-15T00:00:00"/>
    <x v="0"/>
    <x v="2"/>
    <x v="2"/>
    <x v="3"/>
    <n v="78.91"/>
    <x v="1826"/>
    <n v="104.6"/>
    <n v="0.56999999999999995"/>
    <x v="1"/>
    <n v="1"/>
    <x v="2"/>
  </r>
  <r>
    <d v="2004-10-11T00:00:00"/>
    <x v="2"/>
    <x v="1"/>
    <x v="2"/>
    <x v="3"/>
    <n v="7307.3"/>
    <x v="1827"/>
    <n v="507.99"/>
    <n v="6.5000000000000002E-2"/>
    <x v="2"/>
    <n v="10"/>
    <x v="0"/>
  </r>
  <r>
    <d v="2005-04-28T00:00:00"/>
    <x v="2"/>
    <x v="0"/>
    <x v="2"/>
    <x v="0"/>
    <n v="2659.68"/>
    <x v="1828"/>
    <n v="1848.26"/>
    <n v="0.41"/>
    <x v="0"/>
    <n v="4"/>
    <x v="8"/>
  </r>
  <r>
    <d v="2004-06-20T00:00:00"/>
    <x v="3"/>
    <x v="2"/>
    <x v="3"/>
    <x v="2"/>
    <n v="8722.3799999999992"/>
    <x v="1829"/>
    <n v="1189.4100000000001"/>
    <n v="0.12"/>
    <x v="2"/>
    <n v="6"/>
    <x v="5"/>
  </r>
  <r>
    <d v="2006-04-12T00:00:00"/>
    <x v="1"/>
    <x v="1"/>
    <x v="3"/>
    <x v="0"/>
    <n v="5928.82"/>
    <x v="1830"/>
    <n v="1976.27"/>
    <n v="0.25"/>
    <x v="1"/>
    <n v="4"/>
    <x v="8"/>
  </r>
  <r>
    <d v="2006-03-23T00:00:00"/>
    <x v="1"/>
    <x v="3"/>
    <x v="2"/>
    <x v="3"/>
    <n v="3132.06"/>
    <x v="1831"/>
    <n v="2562.59"/>
    <n v="0.45"/>
    <x v="1"/>
    <n v="3"/>
    <x v="3"/>
  </r>
  <r>
    <d v="2005-06-06T00:00:00"/>
    <x v="0"/>
    <x v="3"/>
    <x v="3"/>
    <x v="1"/>
    <n v="3305.37"/>
    <x v="1832"/>
    <n v="4039.89"/>
    <n v="0.55000000000000004"/>
    <x v="0"/>
    <n v="6"/>
    <x v="5"/>
  </r>
  <r>
    <d v="2004-09-06T00:00:00"/>
    <x v="4"/>
    <x v="3"/>
    <x v="3"/>
    <x v="0"/>
    <n v="3595.48"/>
    <x v="1833"/>
    <n v="4766.1099999999997"/>
    <n v="0.56999999999999995"/>
    <x v="2"/>
    <n v="9"/>
    <x v="6"/>
  </r>
  <r>
    <d v="2005-10-04T00:00:00"/>
    <x v="3"/>
    <x v="4"/>
    <x v="2"/>
    <x v="2"/>
    <n v="8748.7800000000007"/>
    <x v="1834"/>
    <n v="1193.01"/>
    <n v="0.12"/>
    <x v="0"/>
    <n v="10"/>
    <x v="0"/>
  </r>
  <r>
    <d v="2006-01-26T00:00:00"/>
    <x v="4"/>
    <x v="0"/>
    <x v="3"/>
    <x v="3"/>
    <n v="1404.8"/>
    <x v="1835"/>
    <n v="1716.98"/>
    <n v="0.55000000000000004"/>
    <x v="1"/>
    <n v="1"/>
    <x v="2"/>
  </r>
  <r>
    <d v="2005-11-29T00:00:00"/>
    <x v="4"/>
    <x v="1"/>
    <x v="2"/>
    <x v="3"/>
    <n v="840.78"/>
    <x v="1836"/>
    <n v="687.91"/>
    <n v="0.45"/>
    <x v="0"/>
    <n v="11"/>
    <x v="11"/>
  </r>
  <r>
    <d v="2006-04-19T00:00:00"/>
    <x v="3"/>
    <x v="3"/>
    <x v="0"/>
    <x v="0"/>
    <n v="1741.02"/>
    <x v="1837"/>
    <n v="2307.87"/>
    <n v="0.56999999999999995"/>
    <x v="1"/>
    <n v="4"/>
    <x v="8"/>
  </r>
  <r>
    <d v="2006-01-01T00:00:00"/>
    <x v="2"/>
    <x v="3"/>
    <x v="2"/>
    <x v="1"/>
    <n v="1251.68"/>
    <x v="1838"/>
    <n v="869.82"/>
    <n v="0.41"/>
    <x v="1"/>
    <n v="1"/>
    <x v="2"/>
  </r>
  <r>
    <d v="2005-05-29T00:00:00"/>
    <x v="0"/>
    <x v="0"/>
    <x v="0"/>
    <x v="0"/>
    <n v="2669.89"/>
    <x v="1839"/>
    <n v="2184.4499999999998"/>
    <n v="0.45"/>
    <x v="0"/>
    <n v="5"/>
    <x v="7"/>
  </r>
  <r>
    <d v="2005-07-14T00:00:00"/>
    <x v="3"/>
    <x v="1"/>
    <x v="0"/>
    <x v="3"/>
    <n v="7702.47"/>
    <x v="1840"/>
    <n v="535.47"/>
    <n v="6.5000000000000002E-2"/>
    <x v="0"/>
    <n v="7"/>
    <x v="9"/>
  </r>
  <r>
    <d v="2005-02-24T00:00:00"/>
    <x v="4"/>
    <x v="0"/>
    <x v="1"/>
    <x v="3"/>
    <n v="1958.97"/>
    <x v="1841"/>
    <n v="1418.56"/>
    <n v="0.42"/>
    <x v="0"/>
    <n v="2"/>
    <x v="1"/>
  </r>
  <r>
    <d v="2005-10-08T00:00:00"/>
    <x v="3"/>
    <x v="1"/>
    <x v="0"/>
    <x v="3"/>
    <n v="6220.44"/>
    <x v="1842"/>
    <n v="432.44"/>
    <n v="6.5000000000000002E-2"/>
    <x v="0"/>
    <n v="10"/>
    <x v="0"/>
  </r>
  <r>
    <d v="2005-07-27T00:00:00"/>
    <x v="1"/>
    <x v="4"/>
    <x v="0"/>
    <x v="2"/>
    <n v="2690.7"/>
    <x v="1843"/>
    <n v="4581.47"/>
    <n v="0.63"/>
    <x v="0"/>
    <n v="7"/>
    <x v="9"/>
  </r>
  <r>
    <d v="2004-06-20T00:00:00"/>
    <x v="2"/>
    <x v="2"/>
    <x v="0"/>
    <x v="3"/>
    <n v="4481.37"/>
    <x v="1844"/>
    <n v="3114.17"/>
    <n v="0.41"/>
    <x v="2"/>
    <n v="6"/>
    <x v="5"/>
  </r>
  <r>
    <d v="2004-12-18T00:00:00"/>
    <x v="5"/>
    <x v="1"/>
    <x v="2"/>
    <x v="0"/>
    <n v="758.19"/>
    <x v="1845"/>
    <n v="1005.04"/>
    <n v="0.56999999999999995"/>
    <x v="2"/>
    <n v="12"/>
    <x v="4"/>
  </r>
  <r>
    <d v="2005-07-24T00:00:00"/>
    <x v="3"/>
    <x v="2"/>
    <x v="2"/>
    <x v="2"/>
    <n v="3234.28"/>
    <x v="1846"/>
    <n v="5507.02"/>
    <n v="0.63"/>
    <x v="0"/>
    <n v="7"/>
    <x v="9"/>
  </r>
  <r>
    <d v="2004-07-30T00:00:00"/>
    <x v="1"/>
    <x v="2"/>
    <x v="1"/>
    <x v="0"/>
    <n v="816.15"/>
    <x v="1847"/>
    <n v="56.74"/>
    <n v="6.5000000000000002E-2"/>
    <x v="2"/>
    <n v="7"/>
    <x v="9"/>
  </r>
  <r>
    <d v="2006-05-12T00:00:00"/>
    <x v="5"/>
    <x v="3"/>
    <x v="1"/>
    <x v="2"/>
    <n v="4596.96"/>
    <x v="1848"/>
    <n v="3761.14"/>
    <n v="0.45"/>
    <x v="1"/>
    <n v="5"/>
    <x v="7"/>
  </r>
  <r>
    <d v="2004-09-12T00:00:00"/>
    <x v="5"/>
    <x v="0"/>
    <x v="0"/>
    <x v="3"/>
    <n v="1454.76"/>
    <x v="1849"/>
    <n v="484.92"/>
    <n v="0.25"/>
    <x v="2"/>
    <n v="9"/>
    <x v="6"/>
  </r>
  <r>
    <d v="2005-10-15T00:00:00"/>
    <x v="2"/>
    <x v="4"/>
    <x v="2"/>
    <x v="2"/>
    <n v="321.41000000000003"/>
    <x v="1850"/>
    <n v="262.97000000000003"/>
    <n v="0.45"/>
    <x v="0"/>
    <n v="10"/>
    <x v="0"/>
  </r>
  <r>
    <d v="2006-06-06T00:00:00"/>
    <x v="1"/>
    <x v="1"/>
    <x v="1"/>
    <x v="3"/>
    <n v="1701.54"/>
    <x v="1851"/>
    <n v="1182.43"/>
    <n v="0.41"/>
    <x v="1"/>
    <n v="6"/>
    <x v="5"/>
  </r>
  <r>
    <d v="2004-07-25T00:00:00"/>
    <x v="2"/>
    <x v="2"/>
    <x v="3"/>
    <x v="1"/>
    <n v="7400.68"/>
    <x v="1852"/>
    <n v="2466.89"/>
    <n v="0.25"/>
    <x v="2"/>
    <n v="7"/>
    <x v="9"/>
  </r>
  <r>
    <d v="2005-07-18T00:00:00"/>
    <x v="1"/>
    <x v="4"/>
    <x v="0"/>
    <x v="2"/>
    <n v="4445.83"/>
    <x v="1853"/>
    <n v="3219.4"/>
    <n v="0.42"/>
    <x v="0"/>
    <n v="7"/>
    <x v="9"/>
  </r>
  <r>
    <d v="2006-02-04T00:00:00"/>
    <x v="4"/>
    <x v="2"/>
    <x v="1"/>
    <x v="1"/>
    <n v="1142.98"/>
    <x v="1854"/>
    <n v="1515.12"/>
    <n v="0.56999999999999995"/>
    <x v="1"/>
    <n v="2"/>
    <x v="1"/>
  </r>
  <r>
    <d v="2006-03-28T00:00:00"/>
    <x v="3"/>
    <x v="1"/>
    <x v="2"/>
    <x v="3"/>
    <n v="6103.36"/>
    <x v="1855"/>
    <n v="832.28"/>
    <n v="0.12"/>
    <x v="1"/>
    <n v="3"/>
    <x v="3"/>
  </r>
  <r>
    <d v="2004-07-10T00:00:00"/>
    <x v="3"/>
    <x v="0"/>
    <x v="1"/>
    <x v="2"/>
    <n v="1904.67"/>
    <x v="1856"/>
    <n v="1323.59"/>
    <n v="0.41"/>
    <x v="2"/>
    <n v="7"/>
    <x v="9"/>
  </r>
  <r>
    <d v="2005-12-07T00:00:00"/>
    <x v="3"/>
    <x v="2"/>
    <x v="3"/>
    <x v="1"/>
    <n v="5858.1"/>
    <x v="1857"/>
    <n v="4070.89"/>
    <n v="0.41"/>
    <x v="0"/>
    <n v="12"/>
    <x v="4"/>
  </r>
  <r>
    <d v="2004-08-23T00:00:00"/>
    <x v="3"/>
    <x v="3"/>
    <x v="1"/>
    <x v="2"/>
    <n v="969.23"/>
    <x v="1858"/>
    <n v="793.01"/>
    <n v="0.45"/>
    <x v="2"/>
    <n v="8"/>
    <x v="10"/>
  </r>
  <r>
    <d v="2005-10-21T00:00:00"/>
    <x v="4"/>
    <x v="4"/>
    <x v="3"/>
    <x v="2"/>
    <n v="8597.4599999999991"/>
    <x v="1859"/>
    <n v="597.67999999999995"/>
    <n v="6.5000000000000002E-2"/>
    <x v="0"/>
    <n v="10"/>
    <x v="0"/>
  </r>
  <r>
    <d v="2006-04-30T00:00:00"/>
    <x v="0"/>
    <x v="4"/>
    <x v="0"/>
    <x v="0"/>
    <n v="2796.4"/>
    <x v="1860"/>
    <n v="381.33"/>
    <n v="0.12"/>
    <x v="1"/>
    <n v="4"/>
    <x v="8"/>
  </r>
  <r>
    <d v="2005-07-30T00:00:00"/>
    <x v="2"/>
    <x v="4"/>
    <x v="1"/>
    <x v="2"/>
    <n v="1054.81"/>
    <x v="1861"/>
    <n v="733"/>
    <n v="0.41"/>
    <x v="0"/>
    <n v="7"/>
    <x v="9"/>
  </r>
  <r>
    <d v="2004-12-28T00:00:00"/>
    <x v="0"/>
    <x v="0"/>
    <x v="3"/>
    <x v="2"/>
    <n v="3621.75"/>
    <x v="1862"/>
    <n v="6166.76"/>
    <n v="0.63"/>
    <x v="2"/>
    <n v="12"/>
    <x v="4"/>
  </r>
  <r>
    <d v="2004-11-07T00:00:00"/>
    <x v="5"/>
    <x v="0"/>
    <x v="1"/>
    <x v="0"/>
    <n v="3407.48"/>
    <x v="1863"/>
    <n v="2787.93"/>
    <n v="0.45"/>
    <x v="2"/>
    <n v="11"/>
    <x v="11"/>
  </r>
  <r>
    <d v="2006-04-04T00:00:00"/>
    <x v="3"/>
    <x v="3"/>
    <x v="1"/>
    <x v="2"/>
    <n v="4973.3999999999996"/>
    <x v="1864"/>
    <n v="4069.15"/>
    <n v="0.45"/>
    <x v="1"/>
    <n v="4"/>
    <x v="8"/>
  </r>
  <r>
    <d v="2005-12-20T00:00:00"/>
    <x v="2"/>
    <x v="3"/>
    <x v="1"/>
    <x v="1"/>
    <n v="653.47"/>
    <x v="1865"/>
    <n v="534.66"/>
    <n v="0.45"/>
    <x v="0"/>
    <n v="12"/>
    <x v="4"/>
  </r>
  <r>
    <d v="2004-08-31T00:00:00"/>
    <x v="1"/>
    <x v="4"/>
    <x v="0"/>
    <x v="1"/>
    <n v="5802.57"/>
    <x v="1866"/>
    <n v="4032.3"/>
    <n v="0.41"/>
    <x v="2"/>
    <n v="8"/>
    <x v="10"/>
  </r>
  <r>
    <d v="2005-08-14T00:00:00"/>
    <x v="4"/>
    <x v="1"/>
    <x v="3"/>
    <x v="0"/>
    <n v="4049.01"/>
    <x v="1867"/>
    <n v="5367.3"/>
    <n v="0.56999999999999995"/>
    <x v="0"/>
    <n v="8"/>
    <x v="10"/>
  </r>
  <r>
    <d v="2004-12-05T00:00:00"/>
    <x v="5"/>
    <x v="2"/>
    <x v="3"/>
    <x v="0"/>
    <n v="2640.13"/>
    <x v="1868"/>
    <n v="2160.11"/>
    <n v="0.45"/>
    <x v="2"/>
    <n v="12"/>
    <x v="4"/>
  </r>
  <r>
    <d v="2005-08-01T00:00:00"/>
    <x v="4"/>
    <x v="2"/>
    <x v="2"/>
    <x v="3"/>
    <n v="295.25"/>
    <x v="1869"/>
    <n v="241.56"/>
    <n v="0.45"/>
    <x v="0"/>
    <n v="8"/>
    <x v="10"/>
  </r>
  <r>
    <d v="2005-10-17T00:00:00"/>
    <x v="4"/>
    <x v="0"/>
    <x v="0"/>
    <x v="0"/>
    <n v="4464.9399999999996"/>
    <x v="1870"/>
    <n v="1488.31"/>
    <n v="0.25"/>
    <x v="0"/>
    <n v="10"/>
    <x v="0"/>
  </r>
  <r>
    <d v="2004-08-12T00:00:00"/>
    <x v="5"/>
    <x v="1"/>
    <x v="3"/>
    <x v="1"/>
    <n v="6187.33"/>
    <x v="1871"/>
    <n v="2911.69"/>
    <n v="0.32"/>
    <x v="2"/>
    <n v="8"/>
    <x v="10"/>
  </r>
  <r>
    <d v="2005-09-28T00:00:00"/>
    <x v="0"/>
    <x v="0"/>
    <x v="3"/>
    <x v="3"/>
    <n v="1000.48"/>
    <x v="1872"/>
    <n v="333.49"/>
    <n v="0.25"/>
    <x v="0"/>
    <n v="9"/>
    <x v="6"/>
  </r>
  <r>
    <d v="2004-11-29T00:00:00"/>
    <x v="1"/>
    <x v="4"/>
    <x v="3"/>
    <x v="1"/>
    <n v="2669.4"/>
    <x v="1873"/>
    <n v="3262.6"/>
    <n v="0.55000000000000004"/>
    <x v="2"/>
    <n v="11"/>
    <x v="11"/>
  </r>
  <r>
    <d v="2005-09-25T00:00:00"/>
    <x v="1"/>
    <x v="3"/>
    <x v="3"/>
    <x v="3"/>
    <n v="4152.54"/>
    <x v="1874"/>
    <n v="5075.33"/>
    <n v="0.55000000000000004"/>
    <x v="0"/>
    <n v="9"/>
    <x v="6"/>
  </r>
  <r>
    <d v="2006-05-24T00:00:00"/>
    <x v="4"/>
    <x v="1"/>
    <x v="2"/>
    <x v="3"/>
    <n v="823.98"/>
    <x v="1875"/>
    <n v="1402.99"/>
    <n v="0.63"/>
    <x v="1"/>
    <n v="5"/>
    <x v="7"/>
  </r>
  <r>
    <d v="2004-12-17T00:00:00"/>
    <x v="1"/>
    <x v="4"/>
    <x v="3"/>
    <x v="0"/>
    <n v="4085.49"/>
    <x v="1876"/>
    <n v="4993.38"/>
    <n v="0.55000000000000004"/>
    <x v="2"/>
    <n v="12"/>
    <x v="4"/>
  </r>
  <r>
    <d v="2004-09-23T00:00:00"/>
    <x v="4"/>
    <x v="3"/>
    <x v="3"/>
    <x v="2"/>
    <n v="1559.5"/>
    <x v="1877"/>
    <n v="2067.2399999999998"/>
    <n v="0.56999999999999995"/>
    <x v="2"/>
    <n v="9"/>
    <x v="6"/>
  </r>
  <r>
    <d v="2006-04-04T00:00:00"/>
    <x v="3"/>
    <x v="3"/>
    <x v="1"/>
    <x v="1"/>
    <n v="1231.8"/>
    <x v="1878"/>
    <n v="1505.53"/>
    <n v="0.55000000000000004"/>
    <x v="1"/>
    <n v="4"/>
    <x v="8"/>
  </r>
  <r>
    <d v="2004-11-03T00:00:00"/>
    <x v="5"/>
    <x v="3"/>
    <x v="1"/>
    <x v="2"/>
    <n v="462.1"/>
    <x v="1879"/>
    <n v="217.46"/>
    <n v="0.32"/>
    <x v="2"/>
    <n v="11"/>
    <x v="11"/>
  </r>
  <r>
    <d v="2005-10-06T00:00:00"/>
    <x v="4"/>
    <x v="0"/>
    <x v="0"/>
    <x v="1"/>
    <n v="981.54"/>
    <x v="1880"/>
    <n v="1671.27"/>
    <n v="0.63"/>
    <x v="0"/>
    <n v="10"/>
    <x v="0"/>
  </r>
  <r>
    <d v="2005-06-11T00:00:00"/>
    <x v="5"/>
    <x v="0"/>
    <x v="2"/>
    <x v="3"/>
    <n v="2204.46"/>
    <x v="1881"/>
    <n v="2694.35"/>
    <n v="0.55000000000000004"/>
    <x v="0"/>
    <n v="6"/>
    <x v="5"/>
  </r>
  <r>
    <d v="2006-01-05T00:00:00"/>
    <x v="3"/>
    <x v="4"/>
    <x v="2"/>
    <x v="1"/>
    <n v="1349.83"/>
    <x v="1882"/>
    <n v="2298.35"/>
    <n v="0.63"/>
    <x v="1"/>
    <n v="1"/>
    <x v="2"/>
  </r>
  <r>
    <d v="2006-03-26T00:00:00"/>
    <x v="3"/>
    <x v="3"/>
    <x v="3"/>
    <x v="2"/>
    <n v="3488.55"/>
    <x v="1883"/>
    <n v="475.71"/>
    <n v="0.12"/>
    <x v="1"/>
    <n v="3"/>
    <x v="3"/>
  </r>
  <r>
    <d v="2005-08-28T00:00:00"/>
    <x v="3"/>
    <x v="4"/>
    <x v="2"/>
    <x v="2"/>
    <n v="2067.91"/>
    <x v="1884"/>
    <n v="2741.18"/>
    <n v="0.56999999999999995"/>
    <x v="0"/>
    <n v="8"/>
    <x v="10"/>
  </r>
  <r>
    <d v="2005-02-20T00:00:00"/>
    <x v="3"/>
    <x v="2"/>
    <x v="0"/>
    <x v="0"/>
    <n v="4808.46"/>
    <x v="1885"/>
    <n v="3481.99"/>
    <n v="0.42"/>
    <x v="0"/>
    <n v="2"/>
    <x v="1"/>
  </r>
  <r>
    <d v="2004-08-27T00:00:00"/>
    <x v="4"/>
    <x v="4"/>
    <x v="2"/>
    <x v="3"/>
    <n v="757.38"/>
    <x v="1886"/>
    <n v="619.66999999999996"/>
    <n v="0.45"/>
    <x v="2"/>
    <n v="8"/>
    <x v="10"/>
  </r>
  <r>
    <d v="2004-09-16T00:00:00"/>
    <x v="5"/>
    <x v="4"/>
    <x v="2"/>
    <x v="2"/>
    <n v="5286.07"/>
    <x v="1887"/>
    <n v="1762.02"/>
    <n v="0.25"/>
    <x v="2"/>
    <n v="9"/>
    <x v="6"/>
  </r>
  <r>
    <d v="2004-12-17T00:00:00"/>
    <x v="4"/>
    <x v="4"/>
    <x v="2"/>
    <x v="0"/>
    <n v="758.7"/>
    <x v="1888"/>
    <n v="357.03"/>
    <n v="0.32"/>
    <x v="2"/>
    <n v="12"/>
    <x v="4"/>
  </r>
  <r>
    <d v="2006-06-08T00:00:00"/>
    <x v="0"/>
    <x v="2"/>
    <x v="1"/>
    <x v="1"/>
    <n v="4949.53"/>
    <x v="1889"/>
    <n v="3439.51"/>
    <n v="0.41"/>
    <x v="1"/>
    <n v="6"/>
    <x v="5"/>
  </r>
  <r>
    <d v="2004-12-25T00:00:00"/>
    <x v="2"/>
    <x v="2"/>
    <x v="0"/>
    <x v="0"/>
    <n v="3664.68"/>
    <x v="1890"/>
    <n v="4479.05"/>
    <n v="0.55000000000000004"/>
    <x v="2"/>
    <n v="12"/>
    <x v="4"/>
  </r>
  <r>
    <d v="2004-09-04T00:00:00"/>
    <x v="0"/>
    <x v="3"/>
    <x v="3"/>
    <x v="3"/>
    <n v="5988.93"/>
    <x v="1891"/>
    <n v="1996.31"/>
    <n v="0.25"/>
    <x v="2"/>
    <n v="9"/>
    <x v="6"/>
  </r>
  <r>
    <d v="2005-05-14T00:00:00"/>
    <x v="0"/>
    <x v="4"/>
    <x v="2"/>
    <x v="3"/>
    <n v="4029.06"/>
    <x v="1892"/>
    <n v="2799.86"/>
    <n v="0.41"/>
    <x v="0"/>
    <n v="5"/>
    <x v="7"/>
  </r>
  <r>
    <d v="2005-01-02T00:00:00"/>
    <x v="4"/>
    <x v="0"/>
    <x v="0"/>
    <x v="1"/>
    <n v="2437.66"/>
    <x v="1893"/>
    <n v="1147.1400000000001"/>
    <n v="0.32"/>
    <x v="0"/>
    <n v="1"/>
    <x v="2"/>
  </r>
  <r>
    <d v="2005-03-20T00:00:00"/>
    <x v="4"/>
    <x v="0"/>
    <x v="3"/>
    <x v="3"/>
    <n v="3705.64"/>
    <x v="1894"/>
    <n v="2683.39"/>
    <n v="0.42"/>
    <x v="0"/>
    <n v="3"/>
    <x v="3"/>
  </r>
  <r>
    <d v="2004-09-07T00:00:00"/>
    <x v="2"/>
    <x v="1"/>
    <x v="2"/>
    <x v="1"/>
    <n v="3498.19"/>
    <x v="1895"/>
    <n v="4637.13"/>
    <n v="0.56999999999999995"/>
    <x v="2"/>
    <n v="9"/>
    <x v="6"/>
  </r>
  <r>
    <d v="2004-08-17T00:00:00"/>
    <x v="5"/>
    <x v="0"/>
    <x v="2"/>
    <x v="1"/>
    <n v="3740.28"/>
    <x v="1896"/>
    <n v="1246.76"/>
    <n v="0.25"/>
    <x v="2"/>
    <n v="8"/>
    <x v="10"/>
  </r>
  <r>
    <d v="2005-05-21T00:00:00"/>
    <x v="2"/>
    <x v="4"/>
    <x v="0"/>
    <x v="3"/>
    <n v="268.97000000000003"/>
    <x v="1897"/>
    <n v="89.66"/>
    <n v="0.25"/>
    <x v="0"/>
    <n v="5"/>
    <x v="7"/>
  </r>
  <r>
    <d v="2004-09-18T00:00:00"/>
    <x v="3"/>
    <x v="0"/>
    <x v="2"/>
    <x v="3"/>
    <n v="4373.8"/>
    <x v="1898"/>
    <n v="3167.24"/>
    <n v="0.42"/>
    <x v="2"/>
    <n v="9"/>
    <x v="6"/>
  </r>
  <r>
    <d v="2004-06-21T00:00:00"/>
    <x v="4"/>
    <x v="4"/>
    <x v="0"/>
    <x v="0"/>
    <n v="4843.5"/>
    <x v="1899"/>
    <n v="3365.83"/>
    <n v="0.41"/>
    <x v="2"/>
    <n v="6"/>
    <x v="5"/>
  </r>
  <r>
    <d v="2006-05-24T00:00:00"/>
    <x v="0"/>
    <x v="0"/>
    <x v="2"/>
    <x v="3"/>
    <n v="2175.6799999999998"/>
    <x v="1900"/>
    <n v="2884.03"/>
    <n v="0.56999999999999995"/>
    <x v="1"/>
    <n v="5"/>
    <x v="7"/>
  </r>
  <r>
    <d v="2005-12-02T00:00:00"/>
    <x v="4"/>
    <x v="3"/>
    <x v="0"/>
    <x v="2"/>
    <n v="3290.26"/>
    <x v="1901"/>
    <n v="2382.61"/>
    <n v="0.42"/>
    <x v="0"/>
    <n v="12"/>
    <x v="4"/>
  </r>
  <r>
    <d v="2006-04-06T00:00:00"/>
    <x v="1"/>
    <x v="2"/>
    <x v="3"/>
    <x v="2"/>
    <n v="1934.53"/>
    <x v="1902"/>
    <n v="263.8"/>
    <n v="0.12"/>
    <x v="1"/>
    <n v="4"/>
    <x v="8"/>
  </r>
  <r>
    <d v="2006-03-22T00:00:00"/>
    <x v="2"/>
    <x v="1"/>
    <x v="3"/>
    <x v="1"/>
    <n v="2230.5700000000002"/>
    <x v="1903"/>
    <n v="304.17"/>
    <n v="0.12"/>
    <x v="1"/>
    <n v="3"/>
    <x v="3"/>
  </r>
  <r>
    <d v="2005-08-04T00:00:00"/>
    <x v="4"/>
    <x v="4"/>
    <x v="3"/>
    <x v="1"/>
    <n v="872.39"/>
    <x v="1904"/>
    <n v="410.54"/>
    <n v="0.32"/>
    <x v="0"/>
    <n v="8"/>
    <x v="10"/>
  </r>
  <r>
    <d v="2005-03-17T00:00:00"/>
    <x v="5"/>
    <x v="4"/>
    <x v="2"/>
    <x v="3"/>
    <n v="1445.64"/>
    <x v="1905"/>
    <n v="2461.4899999999998"/>
    <n v="0.63"/>
    <x v="0"/>
    <n v="3"/>
    <x v="3"/>
  </r>
  <r>
    <d v="2005-07-28T00:00:00"/>
    <x v="3"/>
    <x v="0"/>
    <x v="3"/>
    <x v="2"/>
    <n v="1115.28"/>
    <x v="1906"/>
    <n v="912.51"/>
    <n v="0.45"/>
    <x v="0"/>
    <n v="7"/>
    <x v="9"/>
  </r>
  <r>
    <d v="2005-03-26T00:00:00"/>
    <x v="4"/>
    <x v="2"/>
    <x v="2"/>
    <x v="1"/>
    <n v="4993.1899999999996"/>
    <x v="1907"/>
    <n v="4085.34"/>
    <n v="0.45"/>
    <x v="0"/>
    <n v="3"/>
    <x v="3"/>
  </r>
  <r>
    <d v="2004-08-23T00:00:00"/>
    <x v="4"/>
    <x v="2"/>
    <x v="3"/>
    <x v="3"/>
    <n v="3304.61"/>
    <x v="1908"/>
    <n v="4038.96"/>
    <n v="0.55000000000000004"/>
    <x v="2"/>
    <n v="8"/>
    <x v="10"/>
  </r>
  <r>
    <d v="2005-09-02T00:00:00"/>
    <x v="0"/>
    <x v="3"/>
    <x v="0"/>
    <x v="3"/>
    <n v="4357.24"/>
    <x v="1909"/>
    <n v="1452.42"/>
    <n v="0.25"/>
    <x v="0"/>
    <n v="9"/>
    <x v="6"/>
  </r>
  <r>
    <d v="2005-12-02T00:00:00"/>
    <x v="4"/>
    <x v="4"/>
    <x v="0"/>
    <x v="2"/>
    <n v="2579.63"/>
    <x v="1910"/>
    <n v="2110.61"/>
    <n v="0.45"/>
    <x v="0"/>
    <n v="12"/>
    <x v="4"/>
  </r>
  <r>
    <d v="2006-02-12T00:00:00"/>
    <x v="2"/>
    <x v="2"/>
    <x v="3"/>
    <x v="3"/>
    <n v="236.19"/>
    <x v="1911"/>
    <n v="16.420000000000002"/>
    <n v="6.5000000000000002E-2"/>
    <x v="1"/>
    <n v="2"/>
    <x v="1"/>
  </r>
  <r>
    <d v="2006-01-05T00:00:00"/>
    <x v="0"/>
    <x v="2"/>
    <x v="0"/>
    <x v="3"/>
    <n v="241.66"/>
    <x v="1912"/>
    <n v="80.55"/>
    <n v="0.25"/>
    <x v="1"/>
    <n v="1"/>
    <x v="2"/>
  </r>
  <r>
    <d v="2004-08-01T00:00:00"/>
    <x v="4"/>
    <x v="3"/>
    <x v="2"/>
    <x v="2"/>
    <n v="4595.21"/>
    <x v="1913"/>
    <n v="3759.71"/>
    <n v="0.45"/>
    <x v="2"/>
    <n v="8"/>
    <x v="10"/>
  </r>
  <r>
    <d v="2006-01-31T00:00:00"/>
    <x v="0"/>
    <x v="2"/>
    <x v="1"/>
    <x v="1"/>
    <n v="3047.44"/>
    <x v="1914"/>
    <n v="2493.36"/>
    <n v="0.45"/>
    <x v="1"/>
    <n v="1"/>
    <x v="2"/>
  </r>
  <r>
    <d v="2006-02-13T00:00:00"/>
    <x v="4"/>
    <x v="3"/>
    <x v="1"/>
    <x v="2"/>
    <n v="4096.3999999999996"/>
    <x v="1915"/>
    <n v="5430.11"/>
    <n v="0.56999999999999995"/>
    <x v="1"/>
    <n v="2"/>
    <x v="1"/>
  </r>
  <r>
    <d v="2005-09-09T00:00:00"/>
    <x v="1"/>
    <x v="4"/>
    <x v="1"/>
    <x v="0"/>
    <n v="4390.8599999999997"/>
    <x v="1916"/>
    <n v="305.25"/>
    <n v="6.5000000000000002E-2"/>
    <x v="0"/>
    <n v="9"/>
    <x v="6"/>
  </r>
  <r>
    <d v="2004-09-08T00:00:00"/>
    <x v="5"/>
    <x v="4"/>
    <x v="1"/>
    <x v="3"/>
    <n v="1054.19"/>
    <x v="1917"/>
    <n v="763.38"/>
    <n v="0.42"/>
    <x v="2"/>
    <n v="9"/>
    <x v="6"/>
  </r>
  <r>
    <d v="2005-04-28T00:00:00"/>
    <x v="4"/>
    <x v="4"/>
    <x v="3"/>
    <x v="3"/>
    <n v="3689.25"/>
    <x v="1918"/>
    <n v="2563.71"/>
    <n v="0.41"/>
    <x v="0"/>
    <n v="4"/>
    <x v="8"/>
  </r>
  <r>
    <d v="2005-07-20T00:00:00"/>
    <x v="5"/>
    <x v="0"/>
    <x v="2"/>
    <x v="1"/>
    <n v="3220.41"/>
    <x v="1919"/>
    <n v="1073.47"/>
    <n v="0.25"/>
    <x v="0"/>
    <n v="7"/>
    <x v="9"/>
  </r>
  <r>
    <d v="2004-09-24T00:00:00"/>
    <x v="4"/>
    <x v="1"/>
    <x v="1"/>
    <x v="0"/>
    <n v="1267.4000000000001"/>
    <x v="1920"/>
    <n v="1036.96"/>
    <n v="0.45"/>
    <x v="2"/>
    <n v="9"/>
    <x v="6"/>
  </r>
  <r>
    <d v="2004-12-16T00:00:00"/>
    <x v="5"/>
    <x v="1"/>
    <x v="0"/>
    <x v="0"/>
    <n v="4145.58"/>
    <x v="1921"/>
    <n v="2880.83"/>
    <n v="0.41"/>
    <x v="2"/>
    <n v="12"/>
    <x v="4"/>
  </r>
  <r>
    <d v="2005-05-16T00:00:00"/>
    <x v="4"/>
    <x v="0"/>
    <x v="1"/>
    <x v="3"/>
    <n v="2000.28"/>
    <x v="1922"/>
    <n v="2651.54"/>
    <n v="0.56999999999999995"/>
    <x v="0"/>
    <n v="5"/>
    <x v="7"/>
  </r>
  <r>
    <d v="2005-06-07T00:00:00"/>
    <x v="1"/>
    <x v="2"/>
    <x v="3"/>
    <x v="1"/>
    <n v="4825.25"/>
    <x v="1923"/>
    <n v="657.99"/>
    <n v="0.12"/>
    <x v="0"/>
    <n v="6"/>
    <x v="5"/>
  </r>
  <r>
    <d v="2004-07-15T00:00:00"/>
    <x v="0"/>
    <x v="3"/>
    <x v="3"/>
    <x v="0"/>
    <n v="4614.51"/>
    <x v="1924"/>
    <n v="2171.5300000000002"/>
    <n v="0.32"/>
    <x v="2"/>
    <n v="7"/>
    <x v="9"/>
  </r>
  <r>
    <d v="2005-04-21T00:00:00"/>
    <x v="3"/>
    <x v="0"/>
    <x v="2"/>
    <x v="1"/>
    <n v="2494.63"/>
    <x v="1925"/>
    <n v="1806.45"/>
    <n v="0.42"/>
    <x v="0"/>
    <n v="4"/>
    <x v="8"/>
  </r>
  <r>
    <d v="2006-01-29T00:00:00"/>
    <x v="4"/>
    <x v="4"/>
    <x v="0"/>
    <x v="1"/>
    <n v="429.6"/>
    <x v="1926"/>
    <n v="29.87"/>
    <n v="6.5000000000000002E-2"/>
    <x v="1"/>
    <n v="1"/>
    <x v="2"/>
  </r>
  <r>
    <d v="2005-08-24T00:00:00"/>
    <x v="0"/>
    <x v="2"/>
    <x v="0"/>
    <x v="1"/>
    <n v="4788.72"/>
    <x v="1927"/>
    <n v="3327.75"/>
    <n v="0.41"/>
    <x v="0"/>
    <n v="8"/>
    <x v="10"/>
  </r>
  <r>
    <d v="2004-09-08T00:00:00"/>
    <x v="1"/>
    <x v="1"/>
    <x v="3"/>
    <x v="3"/>
    <n v="422.72"/>
    <x v="1928"/>
    <n v="345.87"/>
    <n v="0.45"/>
    <x v="2"/>
    <n v="9"/>
    <x v="6"/>
  </r>
  <r>
    <d v="2005-12-17T00:00:00"/>
    <x v="1"/>
    <x v="4"/>
    <x v="1"/>
    <x v="0"/>
    <n v="1693.79"/>
    <x v="1929"/>
    <n v="2884.01"/>
    <n v="0.63"/>
    <x v="0"/>
    <n v="12"/>
    <x v="4"/>
  </r>
  <r>
    <d v="2005-12-17T00:00:00"/>
    <x v="4"/>
    <x v="4"/>
    <x v="3"/>
    <x v="2"/>
    <n v="1382.03"/>
    <x v="1930"/>
    <n v="1831.99"/>
    <n v="0.56999999999999995"/>
    <x v="0"/>
    <n v="12"/>
    <x v="4"/>
  </r>
  <r>
    <d v="2004-10-15T00:00:00"/>
    <x v="4"/>
    <x v="1"/>
    <x v="3"/>
    <x v="3"/>
    <n v="56.57"/>
    <x v="1931"/>
    <n v="18.86"/>
    <n v="0.25"/>
    <x v="2"/>
    <n v="10"/>
    <x v="0"/>
  </r>
  <r>
    <d v="2004-12-04T00:00:00"/>
    <x v="1"/>
    <x v="1"/>
    <x v="2"/>
    <x v="3"/>
    <n v="4262.5200000000004"/>
    <x v="1932"/>
    <n v="3487.51"/>
    <n v="0.45"/>
    <x v="2"/>
    <n v="12"/>
    <x v="4"/>
  </r>
  <r>
    <d v="2006-05-05T00:00:00"/>
    <x v="5"/>
    <x v="3"/>
    <x v="3"/>
    <x v="3"/>
    <n v="1974.5"/>
    <x v="1933"/>
    <n v="2617.37"/>
    <n v="0.56999999999999995"/>
    <x v="1"/>
    <n v="5"/>
    <x v="7"/>
  </r>
  <r>
    <d v="2004-10-03T00:00:00"/>
    <x v="3"/>
    <x v="2"/>
    <x v="2"/>
    <x v="2"/>
    <n v="2067.7600000000002"/>
    <x v="1934"/>
    <n v="3520.79"/>
    <n v="0.63"/>
    <x v="2"/>
    <n v="10"/>
    <x v="0"/>
  </r>
  <r>
    <d v="2004-08-30T00:00:00"/>
    <x v="4"/>
    <x v="0"/>
    <x v="0"/>
    <x v="1"/>
    <n v="744.84"/>
    <x v="1935"/>
    <n v="1268.25"/>
    <n v="0.63"/>
    <x v="2"/>
    <n v="8"/>
    <x v="10"/>
  </r>
  <r>
    <d v="2005-02-20T00:00:00"/>
    <x v="2"/>
    <x v="1"/>
    <x v="0"/>
    <x v="0"/>
    <n v="3261.69"/>
    <x v="1936"/>
    <n v="226.75"/>
    <n v="6.5000000000000002E-2"/>
    <x v="0"/>
    <n v="2"/>
    <x v="1"/>
  </r>
  <r>
    <d v="2004-07-29T00:00:00"/>
    <x v="3"/>
    <x v="1"/>
    <x v="0"/>
    <x v="0"/>
    <n v="4675.34"/>
    <x v="1937"/>
    <n v="3825.27"/>
    <n v="0.45"/>
    <x v="2"/>
    <n v="7"/>
    <x v="9"/>
  </r>
  <r>
    <d v="2006-02-06T00:00:00"/>
    <x v="2"/>
    <x v="4"/>
    <x v="1"/>
    <x v="3"/>
    <n v="3138.51"/>
    <x v="1938"/>
    <n v="4160.3500000000004"/>
    <n v="0.56999999999999995"/>
    <x v="1"/>
    <n v="2"/>
    <x v="1"/>
  </r>
  <r>
    <d v="2005-08-15T00:00:00"/>
    <x v="2"/>
    <x v="2"/>
    <x v="2"/>
    <x v="0"/>
    <n v="3647.28"/>
    <x v="158"/>
    <n v="1215.76"/>
    <n v="0.25"/>
    <x v="0"/>
    <n v="8"/>
    <x v="10"/>
  </r>
  <r>
    <d v="2004-09-23T00:00:00"/>
    <x v="5"/>
    <x v="0"/>
    <x v="0"/>
    <x v="3"/>
    <n v="1657.2"/>
    <x v="1939"/>
    <n v="1200.04"/>
    <n v="0.42"/>
    <x v="2"/>
    <n v="9"/>
    <x v="6"/>
  </r>
  <r>
    <d v="2005-06-18T00:00:00"/>
    <x v="4"/>
    <x v="2"/>
    <x v="3"/>
    <x v="1"/>
    <n v="4302.01"/>
    <x v="1940"/>
    <n v="5258.01"/>
    <n v="0.55000000000000004"/>
    <x v="0"/>
    <n v="6"/>
    <x v="5"/>
  </r>
  <r>
    <d v="2006-01-17T00:00:00"/>
    <x v="4"/>
    <x v="4"/>
    <x v="1"/>
    <x v="3"/>
    <n v="746.97"/>
    <x v="1941"/>
    <n v="51.93"/>
    <n v="6.5000000000000002E-2"/>
    <x v="1"/>
    <n v="1"/>
    <x v="2"/>
  </r>
  <r>
    <d v="2004-11-07T00:00:00"/>
    <x v="2"/>
    <x v="2"/>
    <x v="0"/>
    <x v="3"/>
    <n v="2972.24"/>
    <x v="1942"/>
    <n v="1398.7"/>
    <n v="0.32"/>
    <x v="2"/>
    <n v="11"/>
    <x v="11"/>
  </r>
  <r>
    <d v="2004-06-28T00:00:00"/>
    <x v="4"/>
    <x v="2"/>
    <x v="3"/>
    <x v="1"/>
    <n v="844.62"/>
    <x v="1943"/>
    <n v="58.72"/>
    <n v="6.5000000000000002E-2"/>
    <x v="2"/>
    <n v="6"/>
    <x v="5"/>
  </r>
  <r>
    <d v="2006-04-10T00:00:00"/>
    <x v="1"/>
    <x v="1"/>
    <x v="3"/>
    <x v="3"/>
    <n v="2373.2800000000002"/>
    <x v="1944"/>
    <n v="1718.58"/>
    <n v="0.42"/>
    <x v="1"/>
    <n v="4"/>
    <x v="8"/>
  </r>
  <r>
    <d v="2005-06-01T00:00:00"/>
    <x v="4"/>
    <x v="3"/>
    <x v="1"/>
    <x v="3"/>
    <n v="8346.09"/>
    <x v="1945"/>
    <n v="580.21"/>
    <n v="6.5000000000000002E-2"/>
    <x v="0"/>
    <n v="6"/>
    <x v="5"/>
  </r>
  <r>
    <d v="2005-05-02T00:00:00"/>
    <x v="2"/>
    <x v="1"/>
    <x v="0"/>
    <x v="0"/>
    <n v="1178.5"/>
    <x v="1946"/>
    <n v="2006.63"/>
    <n v="0.63"/>
    <x v="0"/>
    <n v="5"/>
    <x v="7"/>
  </r>
  <r>
    <d v="2004-09-20T00:00:00"/>
    <x v="1"/>
    <x v="0"/>
    <x v="0"/>
    <x v="0"/>
    <n v="2081.29"/>
    <x v="1947"/>
    <n v="693.76"/>
    <n v="0.25"/>
    <x v="2"/>
    <n v="9"/>
    <x v="6"/>
  </r>
  <r>
    <d v="2006-02-07T00:00:00"/>
    <x v="4"/>
    <x v="0"/>
    <x v="2"/>
    <x v="2"/>
    <n v="4087.7"/>
    <x v="1948"/>
    <n v="2960.05"/>
    <n v="0.42"/>
    <x v="1"/>
    <n v="2"/>
    <x v="1"/>
  </r>
  <r>
    <d v="2005-12-17T00:00:00"/>
    <x v="3"/>
    <x v="1"/>
    <x v="1"/>
    <x v="3"/>
    <n v="3549.92"/>
    <x v="1949"/>
    <n v="4338.78"/>
    <n v="0.55000000000000004"/>
    <x v="0"/>
    <n v="12"/>
    <x v="4"/>
  </r>
  <r>
    <d v="2005-01-12T00:00:00"/>
    <x v="2"/>
    <x v="3"/>
    <x v="1"/>
    <x v="0"/>
    <n v="2647.84"/>
    <x v="1950"/>
    <n v="3236.25"/>
    <n v="0.55000000000000004"/>
    <x v="0"/>
    <n v="1"/>
    <x v="2"/>
  </r>
  <r>
    <d v="2005-08-08T00:00:00"/>
    <x v="2"/>
    <x v="3"/>
    <x v="3"/>
    <x v="3"/>
    <n v="2237.46"/>
    <x v="1951"/>
    <n v="1554.85"/>
    <n v="0.41"/>
    <x v="0"/>
    <n v="8"/>
    <x v="10"/>
  </r>
  <r>
    <d v="2004-11-30T00:00:00"/>
    <x v="0"/>
    <x v="1"/>
    <x v="3"/>
    <x v="0"/>
    <n v="6499.44"/>
    <x v="1952"/>
    <n v="451.83"/>
    <n v="6.5000000000000002E-2"/>
    <x v="2"/>
    <n v="11"/>
    <x v="11"/>
  </r>
  <r>
    <d v="2005-01-05T00:00:00"/>
    <x v="1"/>
    <x v="3"/>
    <x v="3"/>
    <x v="1"/>
    <n v="218.96"/>
    <x v="1953"/>
    <n v="15.22"/>
    <n v="6.5000000000000002E-2"/>
    <x v="0"/>
    <n v="1"/>
    <x v="2"/>
  </r>
  <r>
    <d v="2004-10-28T00:00:00"/>
    <x v="2"/>
    <x v="3"/>
    <x v="3"/>
    <x v="3"/>
    <n v="748.32"/>
    <x v="1954"/>
    <n v="914.62"/>
    <n v="0.55000000000000004"/>
    <x v="2"/>
    <n v="10"/>
    <x v="0"/>
  </r>
  <r>
    <d v="2005-03-10T00:00:00"/>
    <x v="5"/>
    <x v="1"/>
    <x v="0"/>
    <x v="1"/>
    <n v="113.48"/>
    <x v="1955"/>
    <n v="37.82"/>
    <n v="0.25"/>
    <x v="0"/>
    <n v="3"/>
    <x v="3"/>
  </r>
  <r>
    <d v="2005-02-07T00:00:00"/>
    <x v="3"/>
    <x v="4"/>
    <x v="3"/>
    <x v="3"/>
    <n v="1000.89"/>
    <x v="1956"/>
    <n v="1704.23"/>
    <n v="0.63"/>
    <x v="0"/>
    <n v="2"/>
    <x v="1"/>
  </r>
  <r>
    <d v="2006-05-03T00:00:00"/>
    <x v="4"/>
    <x v="4"/>
    <x v="1"/>
    <x v="2"/>
    <n v="3843.07"/>
    <x v="1957"/>
    <n v="2670.6"/>
    <n v="0.41"/>
    <x v="1"/>
    <n v="5"/>
    <x v="7"/>
  </r>
  <r>
    <d v="2005-08-28T00:00:00"/>
    <x v="1"/>
    <x v="4"/>
    <x v="1"/>
    <x v="1"/>
    <n v="489.08"/>
    <x v="1958"/>
    <n v="597.76"/>
    <n v="0.55000000000000004"/>
    <x v="0"/>
    <n v="8"/>
    <x v="10"/>
  </r>
  <r>
    <d v="2004-12-17T00:00:00"/>
    <x v="4"/>
    <x v="3"/>
    <x v="0"/>
    <x v="1"/>
    <n v="3075.82"/>
    <x v="1959"/>
    <n v="2516.58"/>
    <n v="0.45"/>
    <x v="2"/>
    <n v="12"/>
    <x v="4"/>
  </r>
  <r>
    <d v="2005-11-24T00:00:00"/>
    <x v="3"/>
    <x v="2"/>
    <x v="3"/>
    <x v="3"/>
    <n v="3269.84"/>
    <x v="1960"/>
    <n v="4334.45"/>
    <n v="0.56999999999999995"/>
    <x v="0"/>
    <n v="11"/>
    <x v="11"/>
  </r>
  <r>
    <d v="2006-05-27T00:00:00"/>
    <x v="4"/>
    <x v="4"/>
    <x v="2"/>
    <x v="3"/>
    <n v="87.25"/>
    <x v="1961"/>
    <n v="106.63"/>
    <n v="0.55000000000000004"/>
    <x v="1"/>
    <n v="5"/>
    <x v="7"/>
  </r>
  <r>
    <d v="2006-03-23T00:00:00"/>
    <x v="2"/>
    <x v="4"/>
    <x v="1"/>
    <x v="3"/>
    <n v="1050.79"/>
    <x v="1962"/>
    <n v="1789.17"/>
    <n v="0.63"/>
    <x v="1"/>
    <n v="3"/>
    <x v="3"/>
  </r>
  <r>
    <d v="2004-10-09T00:00:00"/>
    <x v="0"/>
    <x v="1"/>
    <x v="3"/>
    <x v="0"/>
    <n v="5385.81"/>
    <x v="1963"/>
    <n v="1795.27"/>
    <n v="0.25"/>
    <x v="2"/>
    <n v="10"/>
    <x v="0"/>
  </r>
  <r>
    <d v="2004-12-25T00:00:00"/>
    <x v="0"/>
    <x v="1"/>
    <x v="2"/>
    <x v="0"/>
    <n v="2636.73"/>
    <x v="1964"/>
    <n v="3222.68"/>
    <n v="0.55000000000000004"/>
    <x v="2"/>
    <n v="12"/>
    <x v="4"/>
  </r>
  <r>
    <d v="2004-12-23T00:00:00"/>
    <x v="5"/>
    <x v="4"/>
    <x v="3"/>
    <x v="2"/>
    <n v="4064.72"/>
    <x v="1965"/>
    <n v="3325.68"/>
    <n v="0.45"/>
    <x v="2"/>
    <n v="12"/>
    <x v="4"/>
  </r>
  <r>
    <d v="2006-02-20T00:00:00"/>
    <x v="5"/>
    <x v="0"/>
    <x v="1"/>
    <x v="1"/>
    <n v="1003.51"/>
    <x v="1966"/>
    <n v="697.35"/>
    <n v="0.41"/>
    <x v="1"/>
    <n v="2"/>
    <x v="1"/>
  </r>
  <r>
    <d v="2006-05-29T00:00:00"/>
    <x v="0"/>
    <x v="0"/>
    <x v="3"/>
    <x v="3"/>
    <n v="305.02"/>
    <x v="1967"/>
    <n v="21.2"/>
    <n v="6.5000000000000002E-2"/>
    <x v="1"/>
    <n v="5"/>
    <x v="7"/>
  </r>
  <r>
    <d v="2004-12-31T00:00:00"/>
    <x v="2"/>
    <x v="0"/>
    <x v="2"/>
    <x v="1"/>
    <n v="5394.14"/>
    <x v="1968"/>
    <n v="3906.11"/>
    <n v="0.42"/>
    <x v="2"/>
    <n v="12"/>
    <x v="4"/>
  </r>
  <r>
    <d v="2005-02-14T00:00:00"/>
    <x v="1"/>
    <x v="1"/>
    <x v="1"/>
    <x v="0"/>
    <n v="8318.6200000000008"/>
    <x v="1969"/>
    <n v="578.29999999999995"/>
    <n v="6.5000000000000002E-2"/>
    <x v="0"/>
    <n v="2"/>
    <x v="1"/>
  </r>
  <r>
    <d v="2005-12-01T00:00:00"/>
    <x v="1"/>
    <x v="3"/>
    <x v="3"/>
    <x v="2"/>
    <n v="5728.75"/>
    <x v="1970"/>
    <n v="781.19"/>
    <n v="0.12"/>
    <x v="0"/>
    <n v="12"/>
    <x v="4"/>
  </r>
  <r>
    <d v="2005-12-19T00:00:00"/>
    <x v="1"/>
    <x v="3"/>
    <x v="3"/>
    <x v="3"/>
    <n v="1619.35"/>
    <x v="1971"/>
    <n v="1324.92"/>
    <n v="0.45"/>
    <x v="0"/>
    <n v="12"/>
    <x v="4"/>
  </r>
  <r>
    <d v="2005-05-20T00:00:00"/>
    <x v="3"/>
    <x v="0"/>
    <x v="1"/>
    <x v="1"/>
    <n v="3266.35"/>
    <x v="1972"/>
    <n v="445.41"/>
    <n v="0.12"/>
    <x v="0"/>
    <n v="5"/>
    <x v="7"/>
  </r>
  <r>
    <d v="2005-01-12T00:00:00"/>
    <x v="0"/>
    <x v="0"/>
    <x v="2"/>
    <x v="3"/>
    <n v="2118.48"/>
    <x v="1973"/>
    <n v="3607.13"/>
    <n v="0.63"/>
    <x v="0"/>
    <n v="1"/>
    <x v="2"/>
  </r>
  <r>
    <d v="2005-07-12T00:00:00"/>
    <x v="1"/>
    <x v="3"/>
    <x v="3"/>
    <x v="1"/>
    <n v="3653.87"/>
    <x v="1974"/>
    <n v="6221.45"/>
    <n v="0.63"/>
    <x v="0"/>
    <n v="7"/>
    <x v="9"/>
  </r>
  <r>
    <d v="2006-03-26T00:00:00"/>
    <x v="4"/>
    <x v="3"/>
    <x v="2"/>
    <x v="1"/>
    <n v="2675.93"/>
    <x v="1975"/>
    <n v="891.98"/>
    <n v="0.25"/>
    <x v="1"/>
    <n v="3"/>
    <x v="3"/>
  </r>
  <r>
    <d v="2005-07-01T00:00:00"/>
    <x v="2"/>
    <x v="1"/>
    <x v="2"/>
    <x v="2"/>
    <n v="7429.13"/>
    <x v="1976"/>
    <n v="1013.06"/>
    <n v="0.12"/>
    <x v="0"/>
    <n v="7"/>
    <x v="9"/>
  </r>
  <r>
    <d v="2004-10-07T00:00:00"/>
    <x v="1"/>
    <x v="4"/>
    <x v="2"/>
    <x v="2"/>
    <n v="4572.01"/>
    <x v="1977"/>
    <n v="3310.76"/>
    <n v="0.42"/>
    <x v="2"/>
    <n v="10"/>
    <x v="0"/>
  </r>
  <r>
    <d v="2005-08-30T00:00:00"/>
    <x v="5"/>
    <x v="2"/>
    <x v="0"/>
    <x v="1"/>
    <n v="1506.7"/>
    <x v="1978"/>
    <n v="1997.26"/>
    <n v="0.56999999999999995"/>
    <x v="0"/>
    <n v="8"/>
    <x v="10"/>
  </r>
  <r>
    <d v="2004-10-20T00:00:00"/>
    <x v="2"/>
    <x v="1"/>
    <x v="1"/>
    <x v="3"/>
    <n v="5499.78"/>
    <x v="1979"/>
    <n v="2588.13"/>
    <n v="0.32"/>
    <x v="2"/>
    <n v="10"/>
    <x v="0"/>
  </r>
  <r>
    <d v="2005-10-02T00:00:00"/>
    <x v="1"/>
    <x v="4"/>
    <x v="1"/>
    <x v="0"/>
    <n v="96.99"/>
    <x v="1980"/>
    <n v="45.64"/>
    <n v="0.32"/>
    <x v="0"/>
    <n v="10"/>
    <x v="0"/>
  </r>
  <r>
    <d v="2004-06-26T00:00:00"/>
    <x v="2"/>
    <x v="0"/>
    <x v="2"/>
    <x v="0"/>
    <n v="3712.22"/>
    <x v="1981"/>
    <n v="2579.67"/>
    <n v="0.41"/>
    <x v="2"/>
    <n v="6"/>
    <x v="5"/>
  </r>
  <r>
    <d v="2004-08-30T00:00:00"/>
    <x v="1"/>
    <x v="4"/>
    <x v="2"/>
    <x v="0"/>
    <n v="3366.82"/>
    <x v="1982"/>
    <n v="2754.67"/>
    <n v="0.45"/>
    <x v="2"/>
    <n v="8"/>
    <x v="10"/>
  </r>
  <r>
    <d v="2006-03-06T00:00:00"/>
    <x v="1"/>
    <x v="2"/>
    <x v="1"/>
    <x v="2"/>
    <n v="1880.97"/>
    <x v="1983"/>
    <n v="2493.39"/>
    <n v="0.56999999999999995"/>
    <x v="1"/>
    <n v="3"/>
    <x v="3"/>
  </r>
  <r>
    <d v="2005-05-04T00:00:00"/>
    <x v="3"/>
    <x v="4"/>
    <x v="0"/>
    <x v="2"/>
    <n v="424.68"/>
    <x v="1984"/>
    <n v="347.47"/>
    <n v="0.45"/>
    <x v="0"/>
    <n v="5"/>
    <x v="7"/>
  </r>
  <r>
    <d v="2006-04-20T00:00:00"/>
    <x v="2"/>
    <x v="0"/>
    <x v="1"/>
    <x v="2"/>
    <n v="5717.91"/>
    <x v="1985"/>
    <n v="3973.47"/>
    <n v="0.41"/>
    <x v="1"/>
    <n v="4"/>
    <x v="8"/>
  </r>
  <r>
    <d v="2004-09-16T00:00:00"/>
    <x v="5"/>
    <x v="2"/>
    <x v="1"/>
    <x v="1"/>
    <n v="2182.1999999999998"/>
    <x v="1986"/>
    <n v="151.69999999999999"/>
    <n v="6.5000000000000002E-2"/>
    <x v="2"/>
    <n v="9"/>
    <x v="6"/>
  </r>
  <r>
    <d v="2004-08-13T00:00:00"/>
    <x v="4"/>
    <x v="2"/>
    <x v="2"/>
    <x v="3"/>
    <n v="2791.89"/>
    <x v="1987"/>
    <n v="4753.75"/>
    <n v="0.63"/>
    <x v="2"/>
    <n v="8"/>
    <x v="10"/>
  </r>
  <r>
    <d v="2004-10-07T00:00:00"/>
    <x v="0"/>
    <x v="0"/>
    <x v="0"/>
    <x v="1"/>
    <n v="1155.08"/>
    <x v="1988"/>
    <n v="1966.76"/>
    <n v="0.63"/>
    <x v="2"/>
    <n v="10"/>
    <x v="0"/>
  </r>
  <r>
    <d v="2005-01-07T00:00:00"/>
    <x v="3"/>
    <x v="2"/>
    <x v="3"/>
    <x v="3"/>
    <n v="2851.18"/>
    <x v="1989"/>
    <n v="3484.77"/>
    <n v="0.55000000000000004"/>
    <x v="0"/>
    <n v="1"/>
    <x v="2"/>
  </r>
  <r>
    <d v="2005-03-20T00:00:00"/>
    <x v="4"/>
    <x v="0"/>
    <x v="3"/>
    <x v="2"/>
    <n v="877.49"/>
    <x v="1990"/>
    <n v="717.94"/>
    <n v="0.45"/>
    <x v="0"/>
    <n v="3"/>
    <x v="3"/>
  </r>
  <r>
    <d v="2005-02-12T00:00:00"/>
    <x v="3"/>
    <x v="3"/>
    <x v="0"/>
    <x v="2"/>
    <n v="6955.61"/>
    <x v="1991"/>
    <n v="483.54"/>
    <n v="6.5000000000000002E-2"/>
    <x v="0"/>
    <n v="2"/>
    <x v="1"/>
  </r>
  <r>
    <d v="2005-09-18T00:00:00"/>
    <x v="4"/>
    <x v="4"/>
    <x v="2"/>
    <x v="1"/>
    <n v="3598.85"/>
    <x v="1992"/>
    <n v="2606.06"/>
    <n v="0.42"/>
    <x v="0"/>
    <n v="9"/>
    <x v="6"/>
  </r>
  <r>
    <d v="2005-01-14T00:00:00"/>
    <x v="4"/>
    <x v="0"/>
    <x v="2"/>
    <x v="3"/>
    <n v="7063.19"/>
    <x v="1993"/>
    <n v="963.16"/>
    <n v="0.12"/>
    <x v="0"/>
    <n v="1"/>
    <x v="2"/>
  </r>
  <r>
    <d v="2005-01-15T00:00:00"/>
    <x v="4"/>
    <x v="1"/>
    <x v="0"/>
    <x v="2"/>
    <n v="2585.06"/>
    <x v="1994"/>
    <n v="1871.94"/>
    <n v="0.42"/>
    <x v="0"/>
    <n v="1"/>
    <x v="2"/>
  </r>
  <r>
    <d v="2004-08-23T00:00:00"/>
    <x v="5"/>
    <x v="2"/>
    <x v="3"/>
    <x v="3"/>
    <n v="3081.97"/>
    <x v="1995"/>
    <n v="214.25"/>
    <n v="6.5000000000000002E-2"/>
    <x v="2"/>
    <n v="8"/>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02E2C7-D788-4D57-8F35-375EE965F58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K11:L40" firstHeaderRow="1" firstDataRow="1" firstDataCol="1"/>
  <pivotFields count="12">
    <pivotField numFmtId="164" showAll="0"/>
    <pivotField showAll="0">
      <items count="7">
        <item x="1"/>
        <item x="4"/>
        <item x="5"/>
        <item x="3"/>
        <item x="0"/>
        <item x="2"/>
        <item t="default"/>
      </items>
    </pivotField>
    <pivotField showAll="0"/>
    <pivotField showAll="0"/>
    <pivotField showAll="0"/>
    <pivotField numFmtId="4" showAll="0"/>
    <pivotField dataField="1" numFmtId="4" showAll="0"/>
    <pivotField numFmtId="4" showAll="0"/>
    <pivotField numFmtId="10" showAll="0"/>
    <pivotField axis="axisRow" showAll="0">
      <items count="4">
        <item x="2"/>
        <item x="0"/>
        <item x="1"/>
        <item t="default" sd="0"/>
      </items>
    </pivotField>
    <pivotField showAll="0"/>
    <pivotField axis="axisRow" showAll="0">
      <items count="13">
        <item x="2"/>
        <item x="1"/>
        <item x="3"/>
        <item x="8"/>
        <item x="7"/>
        <item x="5"/>
        <item x="9"/>
        <item x="10"/>
        <item x="6"/>
        <item x="0"/>
        <item x="11"/>
        <item x="4"/>
        <item t="default"/>
      </items>
    </pivotField>
  </pivotFields>
  <rowFields count="2">
    <field x="9"/>
    <field x="11"/>
  </rowFields>
  <rowItems count="29">
    <i>
      <x/>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t="grand">
      <x/>
    </i>
  </rowItems>
  <colItems count="1">
    <i/>
  </colItems>
  <dataFields count="1">
    <dataField name="Sum of Sale" fld="6" baseField="0" baseItem="0" numFmtId="4"/>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AD662EB-FC48-464A-9C4C-E4100062B927}"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location ref="A3:D10" firstHeaderRow="0" firstDataRow="1" firstDataCol="1"/>
  <pivotFields count="12">
    <pivotField numFmtId="164" showAll="0"/>
    <pivotField axis="axisRow" showAll="0">
      <items count="7">
        <item x="1"/>
        <item x="4"/>
        <item x="5"/>
        <item x="3"/>
        <item x="0"/>
        <item x="2"/>
        <item t="default"/>
      </items>
    </pivotField>
    <pivotField showAll="0"/>
    <pivotField showAll="0"/>
    <pivotField showAll="0"/>
    <pivotField numFmtId="4" showAll="0"/>
    <pivotField dataField="1" numFmtId="4" showAll="0"/>
    <pivotField dataField="1" numFmtId="4" showAll="0"/>
    <pivotField dataField="1" numFmtId="10" showAll="0"/>
    <pivotField showAll="0">
      <items count="4">
        <item x="2"/>
        <item x="0"/>
        <item x="1"/>
        <item t="default"/>
      </items>
    </pivotField>
    <pivotField showAll="0"/>
    <pivotField showAll="0"/>
  </pivotFields>
  <rowFields count="1">
    <field x="1"/>
  </rowFields>
  <rowItems count="7">
    <i>
      <x/>
    </i>
    <i>
      <x v="1"/>
    </i>
    <i>
      <x v="2"/>
    </i>
    <i>
      <x v="3"/>
    </i>
    <i>
      <x v="4"/>
    </i>
    <i>
      <x v="5"/>
    </i>
    <i t="grand">
      <x/>
    </i>
  </rowItems>
  <colFields count="1">
    <field x="-2"/>
  </colFields>
  <colItems count="3">
    <i>
      <x/>
    </i>
    <i i="1">
      <x v="1"/>
    </i>
    <i i="2">
      <x v="2"/>
    </i>
  </colItems>
  <dataFields count="3">
    <dataField name="Sum of Sale" fld="6" baseField="0" baseItem="0" numFmtId="4"/>
    <dataField name="Sum of Profit" fld="7" baseField="0" baseItem="0" numFmtId="4"/>
    <dataField name="Average of Margin %" fld="8" subtotal="average" baseField="1" baseItem="0" numFmtId="2"/>
  </dataFields>
  <formats count="11">
    <format dxfId="34">
      <pivotArea type="all" dataOnly="0" outline="0" fieldPosition="0"/>
    </format>
    <format dxfId="33">
      <pivotArea outline="0" collapsedLevelsAreSubtotals="1" fieldPosition="0"/>
    </format>
    <format dxfId="32">
      <pivotArea field="1" type="button" dataOnly="0" labelOnly="1" outline="0" axis="axisRow" fieldPosition="0"/>
    </format>
    <format dxfId="31">
      <pivotArea dataOnly="0" labelOnly="1" fieldPosition="0">
        <references count="1">
          <reference field="1" count="0"/>
        </references>
      </pivotArea>
    </format>
    <format dxfId="30">
      <pivotArea dataOnly="0" labelOnly="1" grandRow="1" outline="0" fieldPosition="0"/>
    </format>
    <format dxfId="29">
      <pivotArea dataOnly="0" labelOnly="1" outline="0" fieldPosition="0">
        <references count="1">
          <reference field="4294967294" count="3">
            <x v="0"/>
            <x v="1"/>
            <x v="2"/>
          </reference>
        </references>
      </pivotArea>
    </format>
    <format dxfId="28">
      <pivotArea outline="0" collapsedLevelsAreSubtotals="1" fieldPosition="0">
        <references count="1">
          <reference field="4294967294" count="1" selected="0">
            <x v="2"/>
          </reference>
        </references>
      </pivotArea>
    </format>
    <format dxfId="27">
      <pivotArea dataOnly="0" labelOnly="1" outline="0" fieldPosition="0">
        <references count="1">
          <reference field="4294967294" count="1">
            <x v="2"/>
          </reference>
        </references>
      </pivotArea>
    </format>
    <format dxfId="26">
      <pivotArea field="1" grandRow="1" outline="0" collapsedLevelsAreSubtotals="1" axis="axisRow" fieldPosition="0">
        <references count="1">
          <reference field="4294967294" count="1" selected="0">
            <x v="0"/>
          </reference>
        </references>
      </pivotArea>
    </format>
    <format dxfId="25">
      <pivotArea field="1" grandRow="1" outline="0" collapsedLevelsAreSubtotals="1" axis="axisRow" fieldPosition="0">
        <references count="1">
          <reference field="4294967294" count="1" selected="0">
            <x v="1"/>
          </reference>
        </references>
      </pivotArea>
    </format>
    <format dxfId="24">
      <pivotArea field="1" grandRow="1" outline="0" collapsedLevelsAreSubtotals="1" axis="axisRow" fieldPosition="0">
        <references count="1">
          <reference field="4294967294" count="1" selected="0">
            <x v="2"/>
          </reference>
        </references>
      </pivotArea>
    </format>
  </formats>
  <chartFormats count="3">
    <chartFormat chart="8" format="6"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CD506D-7570-4F25-9680-5DFBAC3D572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F12:H17" firstHeaderRow="0" firstDataRow="1" firstDataCol="1"/>
  <pivotFields count="12">
    <pivotField numFmtId="164" showAll="0"/>
    <pivotField showAll="0">
      <items count="7">
        <item x="1"/>
        <item x="4"/>
        <item x="5"/>
        <item x="3"/>
        <item x="0"/>
        <item x="2"/>
        <item t="default"/>
      </items>
    </pivotField>
    <pivotField showAll="0"/>
    <pivotField showAll="0"/>
    <pivotField axis="axisRow" showAll="0">
      <items count="5">
        <item x="2"/>
        <item x="1"/>
        <item x="3"/>
        <item x="0"/>
        <item t="default"/>
      </items>
    </pivotField>
    <pivotField numFmtId="4" showAll="0"/>
    <pivotField dataField="1" numFmtId="4" showAll="0"/>
    <pivotField dataField="1" numFmtId="4" showAll="0"/>
    <pivotField numFmtId="10" showAll="0"/>
    <pivotField showAll="0">
      <items count="4">
        <item x="2"/>
        <item x="0"/>
        <item x="1"/>
        <item t="default"/>
      </items>
    </pivotField>
    <pivotField showAll="0"/>
    <pivotField showAll="0"/>
  </pivotFields>
  <rowFields count="1">
    <field x="4"/>
  </rowFields>
  <rowItems count="5">
    <i>
      <x/>
    </i>
    <i>
      <x v="1"/>
    </i>
    <i>
      <x v="2"/>
    </i>
    <i>
      <x v="3"/>
    </i>
    <i t="grand">
      <x/>
    </i>
  </rowItems>
  <colFields count="1">
    <field x="-2"/>
  </colFields>
  <colItems count="2">
    <i>
      <x/>
    </i>
    <i i="1">
      <x v="1"/>
    </i>
  </colItems>
  <dataFields count="2">
    <dataField name="Sum of Sale" fld="6" baseField="0" baseItem="0" numFmtId="4"/>
    <dataField name="Sum of Profit" fld="7" baseField="0" baseItem="0" numFmtId="4"/>
  </dataFields>
  <chartFormats count="2">
    <chartFormat chart="17"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7865E6B-8EA1-4A3B-A416-4F9CAA8C7F1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F3:H9" firstHeaderRow="0" firstDataRow="1" firstDataCol="1"/>
  <pivotFields count="12">
    <pivotField numFmtId="164" showAll="0"/>
    <pivotField showAll="0">
      <items count="7">
        <item x="1"/>
        <item x="4"/>
        <item x="5"/>
        <item x="3"/>
        <item x="0"/>
        <item x="2"/>
        <item t="default"/>
      </items>
    </pivotField>
    <pivotField axis="axisRow" showAll="0">
      <items count="6">
        <item x="2"/>
        <item x="4"/>
        <item x="3"/>
        <item x="1"/>
        <item x="0"/>
        <item t="default"/>
      </items>
    </pivotField>
    <pivotField showAll="0"/>
    <pivotField showAll="0"/>
    <pivotField numFmtId="4" showAll="0"/>
    <pivotField dataField="1" numFmtId="4" showAll="0"/>
    <pivotField dataField="1" numFmtId="4" showAll="0"/>
    <pivotField numFmtId="10" showAll="0"/>
    <pivotField showAll="0">
      <items count="4">
        <item x="2"/>
        <item x="0"/>
        <item x="1"/>
        <item t="default"/>
      </items>
    </pivotField>
    <pivotField showAll="0"/>
    <pivotField showAll="0"/>
  </pivotFields>
  <rowFields count="1">
    <field x="2"/>
  </rowFields>
  <rowItems count="6">
    <i>
      <x/>
    </i>
    <i>
      <x v="1"/>
    </i>
    <i>
      <x v="2"/>
    </i>
    <i>
      <x v="3"/>
    </i>
    <i>
      <x v="4"/>
    </i>
    <i t="grand">
      <x/>
    </i>
  </rowItems>
  <colFields count="1">
    <field x="-2"/>
  </colFields>
  <colItems count="2">
    <i>
      <x/>
    </i>
    <i i="1">
      <x v="1"/>
    </i>
  </colItems>
  <dataFields count="2">
    <dataField name="Sum of Sale" fld="6" baseField="0" baseItem="0" numFmtId="4"/>
    <dataField name="Sum of Profit" fld="7" baseField="0" baseItem="0" numFmtId="4"/>
  </dataFields>
  <chartFormats count="2">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7B7E7F2-9F02-48B4-927B-F4FF9BA73B4C}"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2:D17" firstHeaderRow="0" firstDataRow="1" firstDataCol="1"/>
  <pivotFields count="12">
    <pivotField numFmtId="164" showAll="0"/>
    <pivotField showAll="0">
      <items count="7">
        <item x="1"/>
        <item x="4"/>
        <item x="5"/>
        <item x="3"/>
        <item x="0"/>
        <item x="2"/>
        <item t="default"/>
      </items>
    </pivotField>
    <pivotField showAll="0"/>
    <pivotField axis="axisRow" showAll="0">
      <items count="5">
        <item x="3"/>
        <item x="2"/>
        <item x="0"/>
        <item x="1"/>
        <item t="default"/>
      </items>
    </pivotField>
    <pivotField showAll="0"/>
    <pivotField numFmtId="4" showAll="0"/>
    <pivotField dataField="1" numFmtId="4" showAll="0"/>
    <pivotField dataField="1" numFmtId="4" showAll="0"/>
    <pivotField dataField="1" numFmtId="10" showAll="0"/>
    <pivotField showAll="0">
      <items count="4">
        <item x="2"/>
        <item x="0"/>
        <item x="1"/>
        <item t="default"/>
      </items>
    </pivotField>
    <pivotField showAll="0"/>
    <pivotField showAll="0"/>
  </pivotFields>
  <rowFields count="1">
    <field x="3"/>
  </rowFields>
  <rowItems count="5">
    <i>
      <x/>
    </i>
    <i>
      <x v="1"/>
    </i>
    <i>
      <x v="2"/>
    </i>
    <i>
      <x v="3"/>
    </i>
    <i t="grand">
      <x/>
    </i>
  </rowItems>
  <colFields count="1">
    <field x="-2"/>
  </colFields>
  <colItems count="3">
    <i>
      <x/>
    </i>
    <i i="1">
      <x v="1"/>
    </i>
    <i i="2">
      <x v="2"/>
    </i>
  </colItems>
  <dataFields count="3">
    <dataField name="Sum of Sale" fld="6" baseField="0" baseItem="0" numFmtId="4"/>
    <dataField name="Sum of Profit" fld="7" baseField="0" baseItem="0" numFmtId="4"/>
    <dataField name="Sum of Margin %" fld="8"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0B828917-A3B3-43DD-97D2-D9A342FD4069}" sourceName="City">
  <pivotTables>
    <pivotTable tabId="2" name="PivotTable5"/>
    <pivotTable tabId="2" name="PivotTable1"/>
    <pivotTable tabId="2" name="PivotTable2"/>
    <pivotTable tabId="2" name="PivotTable3"/>
    <pivotTable tabId="2" name="PivotTable4"/>
  </pivotTables>
  <data>
    <tabular pivotCacheId="575416612">
      <items count="6">
        <i x="1" s="1"/>
        <i x="4" s="1"/>
        <i x="5" s="1"/>
        <i x="3"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883742B-8121-4FFA-B0F0-5099B262A4AA}" sourceName="Year">
  <pivotTables>
    <pivotTable tabId="2" name="PivotTable5"/>
    <pivotTable tabId="2" name="PivotTable1"/>
    <pivotTable tabId="2" name="PivotTable2"/>
    <pivotTable tabId="2" name="PivotTable3"/>
    <pivotTable tabId="2" name="PivotTable4"/>
  </pivotTables>
  <data>
    <tabular pivotCacheId="575416612">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073A0B3D-DA85-4EDE-8C5D-3ADD857E5EA7}" cache="Slicer_City" caption="City" style="SlicerStyleDark5 2" rowHeight="324000"/>
  <slicer name="Year" xr10:uid="{11EE3635-ECF0-4B94-B528-03D002CA0B1C}" cache="Slicer_Year" caption="Year" style="SlicerStyleDark5 2" rowHeight="36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702B334-C91D-4CBE-806D-E14109359EFA}" name="Table1" displayName="Table1" ref="A1:M1999" totalsRowShown="0" headerRowDxfId="45" dataDxfId="44">
  <autoFilter ref="A1:M1999" xr:uid="{C702B334-C91D-4CBE-806D-E14109359EFA}"/>
  <tableColumns count="13">
    <tableColumn id="1" xr3:uid="{9673F037-98A2-4690-ADEA-C0518D774CBC}" name="Date" dataDxfId="43"/>
    <tableColumn id="2" xr3:uid="{E7BFAB6A-9044-43F8-918E-BECC91EB9FCC}" name="City"/>
    <tableColumn id="3" xr3:uid="{0FC73538-EB30-4D29-A4A2-9305083E3572}" name="Rep"/>
    <tableColumn id="4" xr3:uid="{8254C1E9-2130-4772-B8A8-9A3AA71A765D}" name="Store"/>
    <tableColumn id="5" xr3:uid="{F13BB321-9680-4648-B8BF-6286C87A69B5}" name="Prod"/>
    <tableColumn id="6" xr3:uid="{F8DC9DD3-4F8D-4A41-B71D-B67DC1D37A1E}" name="Cost" dataDxfId="42"/>
    <tableColumn id="7" xr3:uid="{C34E62B0-0071-4BF2-9A76-10A80B0CC7D2}" name="Sale" dataDxfId="41"/>
    <tableColumn id="8" xr3:uid="{16DEBC3D-F04C-4D7B-AB30-B8ECA7599362}" name="Profit" dataDxfId="40">
      <calculatedColumnFormula>Table1[[#This Row],[Sale]]-Table1[[#This Row],[Cost]]</calculatedColumnFormula>
    </tableColumn>
    <tableColumn id="9" xr3:uid="{B5417387-C18E-4829-A83A-E71879467602}" name="Margin %" dataDxfId="39">
      <calculatedColumnFormula>Table1[[#This Row],[Profit]]/Table1[[#This Row],[Sale]]</calculatedColumnFormula>
    </tableColumn>
    <tableColumn id="10" xr3:uid="{F23293BE-8DEB-4BD5-8135-7F5724A302C6}" name="Year" dataDxfId="38">
      <calculatedColumnFormula>YEAR(A:A)</calculatedColumnFormula>
    </tableColumn>
    <tableColumn id="11" xr3:uid="{48ABC071-9218-46C1-A2C2-1F8431546D39}" name="Month" dataDxfId="37">
      <calculatedColumnFormula>MONTH(Table1[[#This Row],[Date]])</calculatedColumnFormula>
    </tableColumn>
    <tableColumn id="12" xr3:uid="{EC2950DF-33FA-4205-A57E-CCC10400C1C6}" name="Day" dataDxfId="36">
      <calculatedColumnFormula>DAY(Table1[[#This Row],[Date]])</calculatedColumnFormula>
    </tableColumn>
    <tableColumn id="13" xr3:uid="{20A4A032-B2FC-4BDF-BDF0-63E041D0A453}" name="month name" dataDxfId="35">
      <calculatedColumnFormula>CHOOSE(K2,"Jan", "Feb", "Mar", "Apr", "May", "Jun", "Jul", "Aug", "Sep", "Oct", "Nov", "Dec")</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5455630-CF26-466F-8956-3DEBABD6B888}" name="Table3" displayName="Table3" ref="L2:N10" totalsRowShown="0">
  <autoFilter ref="L2:N10" xr:uid="{B5455630-CF26-466F-8956-3DEBABD6B888}"/>
  <tableColumns count="3">
    <tableColumn id="1" xr3:uid="{85960644-B5BA-4B82-9355-3929433FE632}" name="Metric"/>
    <tableColumn id="2" xr3:uid="{155FC11B-7C68-4322-9269-19964609D915}" name="Sales Stat" dataDxfId="23"/>
    <tableColumn id="3" xr3:uid="{119B21CF-9827-44F0-9AC3-32E7A2A09059}" name="Profit Stat" dataDxfId="2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999"/>
  <sheetViews>
    <sheetView workbookViewId="0">
      <selection activeCell="M2" sqref="M2"/>
    </sheetView>
  </sheetViews>
  <sheetFormatPr defaultRowHeight="15" x14ac:dyDescent="0.25"/>
  <cols>
    <col min="1" max="1" width="13" customWidth="1"/>
    <col min="2" max="3" width="10" customWidth="1"/>
    <col min="4" max="4" width="12" customWidth="1"/>
    <col min="5" max="7" width="10" customWidth="1"/>
    <col min="8" max="8" width="11" customWidth="1"/>
    <col min="9" max="9" width="11.42578125" customWidth="1"/>
    <col min="10" max="11" width="10" customWidth="1"/>
    <col min="12" max="12" width="14.85546875" customWidth="1"/>
    <col min="13" max="13" width="11.28515625" customWidth="1"/>
  </cols>
  <sheetData>
    <row r="1" spans="1:21" x14ac:dyDescent="0.25">
      <c r="A1" s="1" t="s">
        <v>0</v>
      </c>
      <c r="B1" s="1" t="s">
        <v>1</v>
      </c>
      <c r="C1" s="1" t="s">
        <v>2</v>
      </c>
      <c r="D1" s="1" t="s">
        <v>3</v>
      </c>
      <c r="E1" s="1" t="s">
        <v>4</v>
      </c>
      <c r="F1" s="1" t="s">
        <v>5</v>
      </c>
      <c r="G1" s="1" t="s">
        <v>6</v>
      </c>
      <c r="H1" s="1" t="s">
        <v>7</v>
      </c>
      <c r="I1" s="1" t="s">
        <v>8</v>
      </c>
      <c r="J1" s="1" t="s">
        <v>9</v>
      </c>
      <c r="K1" s="1" t="s">
        <v>10</v>
      </c>
      <c r="L1" s="18" t="s">
        <v>49</v>
      </c>
      <c r="M1" s="18" t="s">
        <v>51</v>
      </c>
    </row>
    <row r="2" spans="1:21" x14ac:dyDescent="0.25">
      <c r="A2" s="2">
        <v>38634</v>
      </c>
      <c r="B2" t="s">
        <v>11</v>
      </c>
      <c r="C2" t="s">
        <v>12</v>
      </c>
      <c r="D2" t="s">
        <v>13</v>
      </c>
      <c r="E2" t="s">
        <v>14</v>
      </c>
      <c r="F2" s="3">
        <v>373.66</v>
      </c>
      <c r="G2" s="3">
        <v>498.22</v>
      </c>
      <c r="H2" s="3">
        <f>Table1[[#This Row],[Sale]]-Table1[[#This Row],[Cost]]</f>
        <v>124.56</v>
      </c>
      <c r="I2" s="4">
        <f>Table1[[#This Row],[Profit]]/Table1[[#This Row],[Sale]]</f>
        <v>0.25001003572718877</v>
      </c>
      <c r="J2" s="5">
        <f t="shared" ref="J2:J65" si="0">YEAR(A:A)</f>
        <v>2005</v>
      </c>
      <c r="K2" s="5">
        <f>MONTH(Table1[[#This Row],[Date]])</f>
        <v>10</v>
      </c>
      <c r="L2" s="5">
        <f>DAY(Table1[[#This Row],[Date]])</f>
        <v>9</v>
      </c>
      <c r="M2" s="5" t="str">
        <f t="shared" ref="M2:M65" si="1">CHOOSE(K2,"Jan", "Feb", "Mar", "Apr", "May", "Jun", "Jul", "Aug", "Sep", "Oct", "Nov", "Dec")</f>
        <v>Oct</v>
      </c>
    </row>
    <row r="3" spans="1:21" x14ac:dyDescent="0.25">
      <c r="A3" s="2">
        <v>38653</v>
      </c>
      <c r="B3" t="s">
        <v>15</v>
      </c>
      <c r="C3" t="s">
        <v>12</v>
      </c>
      <c r="D3" t="s">
        <v>16</v>
      </c>
      <c r="E3" t="s">
        <v>14</v>
      </c>
      <c r="F3" s="3">
        <v>2714.01</v>
      </c>
      <c r="G3" s="3">
        <v>4600.01</v>
      </c>
      <c r="H3" s="3">
        <f>Table1[[#This Row],[Sale]]-Table1[[#This Row],[Cost]]</f>
        <v>1886</v>
      </c>
      <c r="I3" s="4">
        <f>Table1[[#This Row],[Profit]]/Table1[[#This Row],[Sale]]</f>
        <v>0.40999910869758976</v>
      </c>
      <c r="J3" s="5">
        <f t="shared" si="0"/>
        <v>2005</v>
      </c>
      <c r="K3" s="5">
        <f>MONTH(Table1[[#This Row],[Date]])</f>
        <v>10</v>
      </c>
      <c r="L3" s="5">
        <f>DAY(Table1[[#This Row],[Date]])</f>
        <v>28</v>
      </c>
      <c r="M3" s="5" t="str">
        <f t="shared" si="1"/>
        <v>Oct</v>
      </c>
    </row>
    <row r="4" spans="1:21" x14ac:dyDescent="0.25">
      <c r="A4" s="2">
        <v>38766</v>
      </c>
      <c r="B4" t="s">
        <v>17</v>
      </c>
      <c r="C4" t="s">
        <v>18</v>
      </c>
      <c r="D4" t="s">
        <v>19</v>
      </c>
      <c r="E4" t="s">
        <v>20</v>
      </c>
      <c r="F4" s="3">
        <v>3718.96</v>
      </c>
      <c r="G4" s="3">
        <v>4958.62</v>
      </c>
      <c r="H4" s="3">
        <f>Table1[[#This Row],[Sale]]-Table1[[#This Row],[Cost]]</f>
        <v>1239.6599999999999</v>
      </c>
      <c r="I4" s="4">
        <f>Table1[[#This Row],[Profit]]/Table1[[#This Row],[Sale]]</f>
        <v>0.25000100834506372</v>
      </c>
      <c r="J4" s="5">
        <f t="shared" si="0"/>
        <v>2006</v>
      </c>
      <c r="K4" s="5">
        <f>MONTH(Table1[[#This Row],[Date]])</f>
        <v>2</v>
      </c>
      <c r="L4" s="5">
        <f>DAY(Table1[[#This Row],[Date]])</f>
        <v>18</v>
      </c>
      <c r="M4" s="5" t="str">
        <f t="shared" si="1"/>
        <v>Feb</v>
      </c>
      <c r="N4" s="8"/>
      <c r="R4" s="7"/>
    </row>
    <row r="5" spans="1:21" ht="15" customHeight="1" x14ac:dyDescent="0.25">
      <c r="A5" s="2">
        <v>38718</v>
      </c>
      <c r="B5" t="s">
        <v>11</v>
      </c>
      <c r="C5" t="s">
        <v>12</v>
      </c>
      <c r="D5" t="s">
        <v>16</v>
      </c>
      <c r="E5" t="s">
        <v>20</v>
      </c>
      <c r="F5" s="3">
        <v>2791.45</v>
      </c>
      <c r="G5" s="3">
        <v>4731.2700000000004</v>
      </c>
      <c r="H5" s="3">
        <f>Table1[[#This Row],[Sale]]-Table1[[#This Row],[Cost]]</f>
        <v>1939.8200000000006</v>
      </c>
      <c r="I5" s="4">
        <f>Table1[[#This Row],[Profit]]/Table1[[#This Row],[Sale]]</f>
        <v>0.40999985204818168</v>
      </c>
      <c r="J5" s="5">
        <f t="shared" si="0"/>
        <v>2006</v>
      </c>
      <c r="K5" s="5">
        <f>MONTH(Table1[[#This Row],[Date]])</f>
        <v>1</v>
      </c>
      <c r="L5" s="5">
        <f>DAY(Table1[[#This Row],[Date]])</f>
        <v>1</v>
      </c>
      <c r="M5" s="5" t="str">
        <f t="shared" si="1"/>
        <v>Jan</v>
      </c>
      <c r="R5" s="7"/>
    </row>
    <row r="6" spans="1:21" x14ac:dyDescent="0.25">
      <c r="A6" s="2">
        <v>38381</v>
      </c>
      <c r="B6" t="s">
        <v>21</v>
      </c>
      <c r="C6" t="s">
        <v>18</v>
      </c>
      <c r="D6" t="s">
        <v>16</v>
      </c>
      <c r="E6" t="s">
        <v>20</v>
      </c>
      <c r="F6" s="3">
        <v>2929.76</v>
      </c>
      <c r="G6" s="3">
        <v>272.62</v>
      </c>
      <c r="H6" s="3">
        <f>Table1[[#This Row],[Sale]]-Table1[[#This Row],[Cost]]</f>
        <v>-2657.1400000000003</v>
      </c>
      <c r="I6" s="4">
        <f>Table1[[#This Row],[Profit]]/Table1[[#This Row],[Sale]]</f>
        <v>-9.746680360941971</v>
      </c>
      <c r="J6" s="5">
        <f t="shared" si="0"/>
        <v>2005</v>
      </c>
      <c r="K6" s="5">
        <f>MONTH(Table1[[#This Row],[Date]])</f>
        <v>1</v>
      </c>
      <c r="L6" s="5">
        <f>DAY(Table1[[#This Row],[Date]])</f>
        <v>29</v>
      </c>
      <c r="M6" s="5" t="str">
        <f t="shared" si="1"/>
        <v>Jan</v>
      </c>
      <c r="N6" s="7"/>
      <c r="O6" s="7"/>
      <c r="P6" s="7"/>
      <c r="Q6" s="7"/>
      <c r="R6" s="7"/>
    </row>
    <row r="7" spans="1:21" x14ac:dyDescent="0.25">
      <c r="A7" s="2">
        <v>38364</v>
      </c>
      <c r="B7" t="s">
        <v>22</v>
      </c>
      <c r="C7" t="s">
        <v>23</v>
      </c>
      <c r="D7" t="s">
        <v>13</v>
      </c>
      <c r="E7" t="s">
        <v>24</v>
      </c>
      <c r="F7" s="3">
        <v>3276.93</v>
      </c>
      <c r="G7" s="3">
        <v>7346.45</v>
      </c>
      <c r="H7" s="3">
        <f>Table1[[#This Row],[Sale]]-Table1[[#This Row],[Cost]]</f>
        <v>4069.52</v>
      </c>
      <c r="I7" s="4">
        <f>Table1[[#This Row],[Profit]]/Table1[[#This Row],[Sale]]</f>
        <v>0.55394374153502712</v>
      </c>
      <c r="J7" s="5">
        <f t="shared" si="0"/>
        <v>2005</v>
      </c>
      <c r="K7" s="5">
        <f>MONTH(Table1[[#This Row],[Date]])</f>
        <v>1</v>
      </c>
      <c r="L7" s="5">
        <f>DAY(Table1[[#This Row],[Date]])</f>
        <v>12</v>
      </c>
      <c r="M7" s="5" t="str">
        <f t="shared" si="1"/>
        <v>Jan</v>
      </c>
      <c r="N7" s="7"/>
      <c r="O7" s="7"/>
      <c r="P7" s="7"/>
      <c r="Q7" s="7"/>
      <c r="R7" s="7"/>
    </row>
    <row r="8" spans="1:21" ht="15" customHeight="1" x14ac:dyDescent="0.25">
      <c r="A8" s="2">
        <v>38736</v>
      </c>
      <c r="B8" t="s">
        <v>22</v>
      </c>
      <c r="C8" t="s">
        <v>12</v>
      </c>
      <c r="D8" t="s">
        <v>19</v>
      </c>
      <c r="E8" t="s">
        <v>25</v>
      </c>
      <c r="F8" s="3">
        <v>4896.58</v>
      </c>
      <c r="G8" s="3">
        <v>7880.54</v>
      </c>
      <c r="H8" s="3">
        <f>Table1[[#This Row],[Sale]]-Table1[[#This Row],[Cost]]</f>
        <v>2983.96</v>
      </c>
      <c r="I8" s="4">
        <f>Table1[[#This Row],[Profit]]/Table1[[#This Row],[Sale]]</f>
        <v>0.3786491788633774</v>
      </c>
      <c r="J8" s="5">
        <f t="shared" si="0"/>
        <v>2006</v>
      </c>
      <c r="K8" s="5">
        <f>MONTH(Table1[[#This Row],[Date]])</f>
        <v>1</v>
      </c>
      <c r="L8" s="5">
        <f>DAY(Table1[[#This Row],[Date]])</f>
        <v>19</v>
      </c>
      <c r="M8" s="5" t="str">
        <f t="shared" si="1"/>
        <v>Jan</v>
      </c>
      <c r="N8" s="7"/>
      <c r="O8" s="7"/>
      <c r="P8" s="7"/>
      <c r="Q8" s="7"/>
      <c r="R8" s="7"/>
    </row>
    <row r="9" spans="1:21" x14ac:dyDescent="0.25">
      <c r="A9" s="2">
        <v>38272</v>
      </c>
      <c r="B9" t="s">
        <v>26</v>
      </c>
      <c r="C9" t="s">
        <v>12</v>
      </c>
      <c r="D9" t="s">
        <v>13</v>
      </c>
      <c r="E9" t="s">
        <v>14</v>
      </c>
      <c r="F9" s="3">
        <v>7133.74</v>
      </c>
      <c r="G9" s="3">
        <v>9511.66</v>
      </c>
      <c r="H9" s="3">
        <f>Table1[[#This Row],[Sale]]-Table1[[#This Row],[Cost]]</f>
        <v>2377.92</v>
      </c>
      <c r="I9" s="4">
        <f>Table1[[#This Row],[Profit]]/Table1[[#This Row],[Sale]]</f>
        <v>0.250000525670598</v>
      </c>
      <c r="J9" s="5">
        <f t="shared" si="0"/>
        <v>2004</v>
      </c>
      <c r="K9" s="5">
        <f>MONTH(Table1[[#This Row],[Date]])</f>
        <v>10</v>
      </c>
      <c r="L9" s="5">
        <f>DAY(Table1[[#This Row],[Date]])</f>
        <v>12</v>
      </c>
      <c r="M9" s="5" t="str">
        <f t="shared" si="1"/>
        <v>Oct</v>
      </c>
      <c r="N9" s="7"/>
      <c r="O9" s="7"/>
      <c r="P9" s="7"/>
      <c r="Q9" s="7"/>
      <c r="R9" s="7"/>
      <c r="S9" s="7"/>
      <c r="T9" s="7"/>
      <c r="U9" s="7"/>
    </row>
    <row r="10" spans="1:21" x14ac:dyDescent="0.25">
      <c r="A10" s="2">
        <v>38426</v>
      </c>
      <c r="B10" t="s">
        <v>22</v>
      </c>
      <c r="C10" t="s">
        <v>27</v>
      </c>
      <c r="D10" t="s">
        <v>28</v>
      </c>
      <c r="E10" t="s">
        <v>24</v>
      </c>
      <c r="F10" s="3">
        <v>3491.87</v>
      </c>
      <c r="G10" s="3">
        <v>8120.63</v>
      </c>
      <c r="H10" s="3">
        <f>Table1[[#This Row],[Sale]]-Table1[[#This Row],[Cost]]</f>
        <v>4628.76</v>
      </c>
      <c r="I10" s="4">
        <f>Table1[[#This Row],[Profit]]/Table1[[#This Row],[Sale]]</f>
        <v>0.57000011082883961</v>
      </c>
      <c r="J10" s="5">
        <f t="shared" si="0"/>
        <v>2005</v>
      </c>
      <c r="K10" s="5">
        <f>MONTH(Table1[[#This Row],[Date]])</f>
        <v>3</v>
      </c>
      <c r="L10" s="5">
        <f>DAY(Table1[[#This Row],[Date]])</f>
        <v>15</v>
      </c>
      <c r="M10" s="5" t="str">
        <f t="shared" si="1"/>
        <v>Mar</v>
      </c>
      <c r="N10" s="7"/>
      <c r="O10" s="7"/>
      <c r="P10" s="7"/>
      <c r="Q10" s="7"/>
      <c r="R10" s="7"/>
      <c r="S10" s="7"/>
      <c r="T10" s="7"/>
      <c r="U10" s="7"/>
    </row>
    <row r="11" spans="1:21" x14ac:dyDescent="0.25">
      <c r="A11" s="2">
        <v>38765</v>
      </c>
      <c r="B11" t="s">
        <v>21</v>
      </c>
      <c r="C11" t="s">
        <v>12</v>
      </c>
      <c r="D11" t="s">
        <v>19</v>
      </c>
      <c r="E11" t="s">
        <v>25</v>
      </c>
      <c r="F11" s="3">
        <v>1350.06</v>
      </c>
      <c r="G11" s="3">
        <v>3000.14</v>
      </c>
      <c r="H11" s="3">
        <f>Table1[[#This Row],[Sale]]-Table1[[#This Row],[Cost]]</f>
        <v>1650.08</v>
      </c>
      <c r="I11" s="4">
        <f>Table1[[#This Row],[Profit]]/Table1[[#This Row],[Sale]]</f>
        <v>0.55000099995333551</v>
      </c>
      <c r="J11" s="5">
        <f t="shared" si="0"/>
        <v>2006</v>
      </c>
      <c r="K11" s="5">
        <f>MONTH(Table1[[#This Row],[Date]])</f>
        <v>2</v>
      </c>
      <c r="L11" s="5">
        <f>DAY(Table1[[#This Row],[Date]])</f>
        <v>17</v>
      </c>
      <c r="M11" s="5" t="str">
        <f t="shared" si="1"/>
        <v>Feb</v>
      </c>
      <c r="N11" s="7"/>
      <c r="O11" s="7"/>
      <c r="P11" s="7"/>
      <c r="Q11" s="7"/>
      <c r="R11" s="7"/>
      <c r="S11" s="7"/>
      <c r="T11" s="7"/>
      <c r="U11" s="7"/>
    </row>
    <row r="12" spans="1:21" x14ac:dyDescent="0.25">
      <c r="A12" s="2">
        <v>38700</v>
      </c>
      <c r="B12" t="s">
        <v>11</v>
      </c>
      <c r="C12" t="s">
        <v>12</v>
      </c>
      <c r="D12" t="s">
        <v>28</v>
      </c>
      <c r="E12" t="s">
        <v>24</v>
      </c>
      <c r="F12" s="3">
        <v>947.64</v>
      </c>
      <c r="G12" s="3">
        <v>2203.81</v>
      </c>
      <c r="H12" s="3">
        <f>Table1[[#This Row],[Sale]]-Table1[[#This Row],[Cost]]</f>
        <v>1256.17</v>
      </c>
      <c r="I12" s="4">
        <f>Table1[[#This Row],[Profit]]/Table1[[#This Row],[Sale]]</f>
        <v>0.56999922860863694</v>
      </c>
      <c r="J12" s="5">
        <f t="shared" si="0"/>
        <v>2005</v>
      </c>
      <c r="K12" s="5">
        <f>MONTH(Table1[[#This Row],[Date]])</f>
        <v>12</v>
      </c>
      <c r="L12" s="5">
        <f>DAY(Table1[[#This Row],[Date]])</f>
        <v>14</v>
      </c>
      <c r="M12" s="5" t="str">
        <f t="shared" si="1"/>
        <v>Dec</v>
      </c>
      <c r="N12" s="7"/>
      <c r="O12" s="7"/>
      <c r="P12" s="7"/>
      <c r="Q12" s="7"/>
      <c r="R12" s="7"/>
      <c r="S12" s="7"/>
      <c r="T12" s="7"/>
      <c r="U12" s="7"/>
    </row>
    <row r="13" spans="1:21" x14ac:dyDescent="0.25">
      <c r="A13" s="2">
        <v>38275</v>
      </c>
      <c r="B13" t="s">
        <v>21</v>
      </c>
      <c r="C13" t="s">
        <v>29</v>
      </c>
      <c r="D13" t="s">
        <v>16</v>
      </c>
      <c r="E13" t="s">
        <v>20</v>
      </c>
      <c r="F13" s="3">
        <v>2648.96</v>
      </c>
      <c r="G13" s="3">
        <v>3531.95</v>
      </c>
      <c r="H13" s="3">
        <f>Table1[[#This Row],[Sale]]-Table1[[#This Row],[Cost]]</f>
        <v>882.98999999999978</v>
      </c>
      <c r="I13" s="4">
        <f>Table1[[#This Row],[Profit]]/Table1[[#This Row],[Sale]]</f>
        <v>0.25000070782428963</v>
      </c>
      <c r="J13" s="5">
        <f t="shared" si="0"/>
        <v>2004</v>
      </c>
      <c r="K13" s="5">
        <f>MONTH(Table1[[#This Row],[Date]])</f>
        <v>10</v>
      </c>
      <c r="L13" s="5">
        <f>DAY(Table1[[#This Row],[Date]])</f>
        <v>15</v>
      </c>
      <c r="M13" s="5" t="str">
        <f t="shared" si="1"/>
        <v>Oct</v>
      </c>
      <c r="N13" s="7"/>
      <c r="O13" s="7"/>
      <c r="P13" s="7"/>
      <c r="Q13" s="7"/>
      <c r="R13" s="7"/>
      <c r="S13" s="7"/>
      <c r="T13" s="7"/>
      <c r="U13" s="7"/>
    </row>
    <row r="14" spans="1:21" x14ac:dyDescent="0.25">
      <c r="A14" s="2">
        <v>38712</v>
      </c>
      <c r="B14" t="s">
        <v>21</v>
      </c>
      <c r="C14" t="s">
        <v>27</v>
      </c>
      <c r="D14" t="s">
        <v>28</v>
      </c>
      <c r="E14" t="s">
        <v>20</v>
      </c>
      <c r="F14" s="3">
        <v>3309.46</v>
      </c>
      <c r="G14" s="3">
        <v>3760.75</v>
      </c>
      <c r="H14" s="3">
        <f>Table1[[#This Row],[Sale]]-Table1[[#This Row],[Cost]]</f>
        <v>451.28999999999996</v>
      </c>
      <c r="I14" s="4">
        <f>Table1[[#This Row],[Profit]]/Table1[[#This Row],[Sale]]</f>
        <v>0.12</v>
      </c>
      <c r="J14" s="5">
        <f t="shared" si="0"/>
        <v>2005</v>
      </c>
      <c r="K14" s="5">
        <f>MONTH(Table1[[#This Row],[Date]])</f>
        <v>12</v>
      </c>
      <c r="L14" s="5">
        <f>DAY(Table1[[#This Row],[Date]])</f>
        <v>26</v>
      </c>
      <c r="M14" s="5" t="str">
        <f t="shared" si="1"/>
        <v>Dec</v>
      </c>
      <c r="N14" s="7"/>
      <c r="O14" s="7"/>
      <c r="P14" s="7"/>
      <c r="Q14" s="7"/>
      <c r="R14" s="7"/>
      <c r="S14" s="7"/>
      <c r="T14" s="7"/>
      <c r="U14" s="7"/>
    </row>
    <row r="15" spans="1:21" x14ac:dyDescent="0.25">
      <c r="A15" s="2">
        <v>38777</v>
      </c>
      <c r="B15" t="s">
        <v>21</v>
      </c>
      <c r="C15" t="s">
        <v>27</v>
      </c>
      <c r="D15" t="s">
        <v>28</v>
      </c>
      <c r="E15" t="s">
        <v>14</v>
      </c>
      <c r="F15" s="3">
        <v>1277.97</v>
      </c>
      <c r="G15" s="3">
        <v>2972.02</v>
      </c>
      <c r="H15" s="3">
        <f>Table1[[#This Row],[Sale]]-Table1[[#This Row],[Cost]]</f>
        <v>1694.05</v>
      </c>
      <c r="I15" s="4">
        <f>Table1[[#This Row],[Profit]]/Table1[[#This Row],[Sale]]</f>
        <v>0.5699995289399129</v>
      </c>
      <c r="J15" s="5">
        <f t="shared" si="0"/>
        <v>2006</v>
      </c>
      <c r="K15" s="5">
        <f>MONTH(Table1[[#This Row],[Date]])</f>
        <v>3</v>
      </c>
      <c r="L15" s="5">
        <f>DAY(Table1[[#This Row],[Date]])</f>
        <v>1</v>
      </c>
      <c r="M15" s="5" t="str">
        <f t="shared" si="1"/>
        <v>Mar</v>
      </c>
      <c r="Q15" s="7"/>
      <c r="R15" s="7"/>
      <c r="S15" s="7"/>
      <c r="T15" s="7"/>
      <c r="U15" s="7"/>
    </row>
    <row r="16" spans="1:21" x14ac:dyDescent="0.25">
      <c r="A16" s="2">
        <v>38695</v>
      </c>
      <c r="B16" t="s">
        <v>22</v>
      </c>
      <c r="C16" t="s">
        <v>12</v>
      </c>
      <c r="D16" t="s">
        <v>19</v>
      </c>
      <c r="E16" t="s">
        <v>25</v>
      </c>
      <c r="F16" s="3">
        <v>3923.22</v>
      </c>
      <c r="G16" s="3">
        <v>5769.44</v>
      </c>
      <c r="H16" s="3">
        <f>Table1[[#This Row],[Sale]]-Table1[[#This Row],[Cost]]</f>
        <v>1846.2199999999998</v>
      </c>
      <c r="I16" s="4">
        <f>Table1[[#This Row],[Profit]]/Table1[[#This Row],[Sale]]</f>
        <v>0.31999986133836211</v>
      </c>
      <c r="J16" s="5">
        <f t="shared" si="0"/>
        <v>2005</v>
      </c>
      <c r="K16" s="5">
        <f>MONTH(Table1[[#This Row],[Date]])</f>
        <v>12</v>
      </c>
      <c r="L16" s="5">
        <f>DAY(Table1[[#This Row],[Date]])</f>
        <v>9</v>
      </c>
      <c r="M16" s="5" t="str">
        <f t="shared" si="1"/>
        <v>Dec</v>
      </c>
      <c r="Q16" s="7"/>
      <c r="R16" s="7"/>
      <c r="S16" s="7"/>
      <c r="T16" s="7"/>
      <c r="U16" s="7"/>
    </row>
    <row r="17" spans="1:21" x14ac:dyDescent="0.25">
      <c r="A17" s="2">
        <v>38336</v>
      </c>
      <c r="B17" t="s">
        <v>17</v>
      </c>
      <c r="C17" t="s">
        <v>27</v>
      </c>
      <c r="D17" t="s">
        <v>19</v>
      </c>
      <c r="E17" t="s">
        <v>25</v>
      </c>
      <c r="F17" s="3">
        <v>1378.59</v>
      </c>
      <c r="G17" s="3">
        <v>3206.03</v>
      </c>
      <c r="H17" s="3">
        <f>Table1[[#This Row],[Sale]]-Table1[[#This Row],[Cost]]</f>
        <v>1827.4400000000003</v>
      </c>
      <c r="I17" s="4">
        <f>Table1[[#This Row],[Profit]]/Table1[[#This Row],[Sale]]</f>
        <v>0.57000090454549712</v>
      </c>
      <c r="J17" s="5">
        <f t="shared" si="0"/>
        <v>2004</v>
      </c>
      <c r="K17" s="5">
        <f>MONTH(Table1[[#This Row],[Date]])</f>
        <v>12</v>
      </c>
      <c r="L17" s="5">
        <f>DAY(Table1[[#This Row],[Date]])</f>
        <v>15</v>
      </c>
      <c r="M17" s="5" t="str">
        <f t="shared" si="1"/>
        <v>Dec</v>
      </c>
      <c r="Q17" s="7"/>
      <c r="R17" s="7"/>
      <c r="S17" s="7"/>
      <c r="T17" s="7"/>
      <c r="U17" s="7"/>
    </row>
    <row r="18" spans="1:21" x14ac:dyDescent="0.25">
      <c r="A18" s="2">
        <v>38883</v>
      </c>
      <c r="B18" t="s">
        <v>26</v>
      </c>
      <c r="C18" t="s">
        <v>23</v>
      </c>
      <c r="D18" t="s">
        <v>28</v>
      </c>
      <c r="E18" t="s">
        <v>25</v>
      </c>
      <c r="F18" s="3">
        <v>5406.27</v>
      </c>
      <c r="G18" s="3">
        <v>9163.17</v>
      </c>
      <c r="H18" s="3">
        <f>Table1[[#This Row],[Sale]]-Table1[[#This Row],[Cost]]</f>
        <v>3756.8999999999996</v>
      </c>
      <c r="I18" s="4">
        <f>Table1[[#This Row],[Profit]]/Table1[[#This Row],[Sale]]</f>
        <v>0.41000003273976143</v>
      </c>
      <c r="J18" s="5">
        <f t="shared" si="0"/>
        <v>2006</v>
      </c>
      <c r="K18" s="5">
        <f>MONTH(Table1[[#This Row],[Date]])</f>
        <v>6</v>
      </c>
      <c r="L18" s="5">
        <f>DAY(Table1[[#This Row],[Date]])</f>
        <v>15</v>
      </c>
      <c r="M18" s="5" t="str">
        <f t="shared" si="1"/>
        <v>Jun</v>
      </c>
      <c r="Q18" s="7"/>
      <c r="R18" s="7"/>
      <c r="S18" s="7"/>
      <c r="T18" s="7"/>
      <c r="U18" s="7"/>
    </row>
    <row r="19" spans="1:21" x14ac:dyDescent="0.25">
      <c r="A19" s="2">
        <v>38636</v>
      </c>
      <c r="B19" t="s">
        <v>17</v>
      </c>
      <c r="C19" t="s">
        <v>27</v>
      </c>
      <c r="D19" t="s">
        <v>16</v>
      </c>
      <c r="E19" t="s">
        <v>24</v>
      </c>
      <c r="F19" s="3">
        <v>396.13</v>
      </c>
      <c r="G19" s="3">
        <v>720.23</v>
      </c>
      <c r="H19" s="3">
        <f>Table1[[#This Row],[Sale]]-Table1[[#This Row],[Cost]]</f>
        <v>324.10000000000002</v>
      </c>
      <c r="I19" s="4">
        <f>Table1[[#This Row],[Profit]]/Table1[[#This Row],[Sale]]</f>
        <v>0.44999514044124794</v>
      </c>
      <c r="J19" s="5">
        <f t="shared" si="0"/>
        <v>2005</v>
      </c>
      <c r="K19" s="5">
        <f>MONTH(Table1[[#This Row],[Date]])</f>
        <v>10</v>
      </c>
      <c r="L19" s="5">
        <f>DAY(Table1[[#This Row],[Date]])</f>
        <v>11</v>
      </c>
      <c r="M19" s="5" t="str">
        <f t="shared" si="1"/>
        <v>Oct</v>
      </c>
      <c r="Q19" s="7"/>
      <c r="R19" s="7"/>
      <c r="S19" s="7"/>
      <c r="T19" s="7"/>
      <c r="U19" s="7"/>
    </row>
    <row r="20" spans="1:21" x14ac:dyDescent="0.25">
      <c r="A20" s="2">
        <v>38611</v>
      </c>
      <c r="B20" t="s">
        <v>17</v>
      </c>
      <c r="C20" t="s">
        <v>29</v>
      </c>
      <c r="D20" t="s">
        <v>19</v>
      </c>
      <c r="E20" t="s">
        <v>24</v>
      </c>
      <c r="F20" s="3">
        <v>266.3</v>
      </c>
      <c r="G20" s="3">
        <v>451.36</v>
      </c>
      <c r="H20" s="3">
        <f>Table1[[#This Row],[Sale]]-Table1[[#This Row],[Cost]]</f>
        <v>185.06</v>
      </c>
      <c r="I20" s="4">
        <f>Table1[[#This Row],[Profit]]/Table1[[#This Row],[Sale]]</f>
        <v>0.4100053172633818</v>
      </c>
      <c r="J20" s="5">
        <f t="shared" si="0"/>
        <v>2005</v>
      </c>
      <c r="K20" s="5">
        <f>MONTH(Table1[[#This Row],[Date]])</f>
        <v>9</v>
      </c>
      <c r="L20" s="5">
        <f>DAY(Table1[[#This Row],[Date]])</f>
        <v>16</v>
      </c>
      <c r="M20" s="5" t="str">
        <f t="shared" si="1"/>
        <v>Sep</v>
      </c>
    </row>
    <row r="21" spans="1:21" x14ac:dyDescent="0.25">
      <c r="A21" s="2">
        <v>38598</v>
      </c>
      <c r="B21" t="s">
        <v>11</v>
      </c>
      <c r="C21" t="s">
        <v>29</v>
      </c>
      <c r="D21" t="s">
        <v>28</v>
      </c>
      <c r="E21" t="s">
        <v>25</v>
      </c>
      <c r="F21" s="3">
        <v>2499.63</v>
      </c>
      <c r="G21" s="3">
        <v>4544.78</v>
      </c>
      <c r="H21" s="3">
        <f>Table1[[#This Row],[Sale]]-Table1[[#This Row],[Cost]]</f>
        <v>2045.1499999999996</v>
      </c>
      <c r="I21" s="4">
        <f>Table1[[#This Row],[Profit]]/Table1[[#This Row],[Sale]]</f>
        <v>0.44999977996734708</v>
      </c>
      <c r="J21" s="5">
        <f t="shared" si="0"/>
        <v>2005</v>
      </c>
      <c r="K21" s="5">
        <f>MONTH(Table1[[#This Row],[Date]])</f>
        <v>9</v>
      </c>
      <c r="L21" s="5">
        <f>DAY(Table1[[#This Row],[Date]])</f>
        <v>3</v>
      </c>
      <c r="M21" s="5" t="str">
        <f t="shared" si="1"/>
        <v>Sep</v>
      </c>
    </row>
    <row r="22" spans="1:21" x14ac:dyDescent="0.25">
      <c r="A22" s="2">
        <v>38347</v>
      </c>
      <c r="B22" t="s">
        <v>11</v>
      </c>
      <c r="C22" t="s">
        <v>23</v>
      </c>
      <c r="D22" t="s">
        <v>28</v>
      </c>
      <c r="E22" t="s">
        <v>20</v>
      </c>
      <c r="F22" s="3">
        <v>4914.3</v>
      </c>
      <c r="G22" s="3">
        <v>5584.43</v>
      </c>
      <c r="H22" s="3">
        <f>Table1[[#This Row],[Sale]]-Table1[[#This Row],[Cost]]</f>
        <v>670.13000000000011</v>
      </c>
      <c r="I22" s="4">
        <f>Table1[[#This Row],[Profit]]/Table1[[#This Row],[Sale]]</f>
        <v>0.1199997134891117</v>
      </c>
      <c r="J22" s="5">
        <f t="shared" si="0"/>
        <v>2004</v>
      </c>
      <c r="K22" s="5">
        <f>MONTH(Table1[[#This Row],[Date]])</f>
        <v>12</v>
      </c>
      <c r="L22" s="5">
        <f>DAY(Table1[[#This Row],[Date]])</f>
        <v>26</v>
      </c>
      <c r="M22" s="5" t="str">
        <f t="shared" si="1"/>
        <v>Dec</v>
      </c>
    </row>
    <row r="23" spans="1:21" x14ac:dyDescent="0.25">
      <c r="A23" s="2">
        <v>38714</v>
      </c>
      <c r="B23" t="s">
        <v>22</v>
      </c>
      <c r="C23" t="s">
        <v>27</v>
      </c>
      <c r="D23" t="s">
        <v>28</v>
      </c>
      <c r="E23" t="s">
        <v>14</v>
      </c>
      <c r="F23" s="3">
        <v>7221.7</v>
      </c>
      <c r="G23" s="3">
        <v>8206.48</v>
      </c>
      <c r="H23" s="3">
        <f>Table1[[#This Row],[Sale]]-Table1[[#This Row],[Cost]]</f>
        <v>984.77999999999975</v>
      </c>
      <c r="I23" s="4">
        <f>Table1[[#This Row],[Profit]]/Table1[[#This Row],[Sale]]</f>
        <v>0.12000029245181854</v>
      </c>
      <c r="J23" s="5">
        <f t="shared" si="0"/>
        <v>2005</v>
      </c>
      <c r="K23" s="5">
        <f>MONTH(Table1[[#This Row],[Date]])</f>
        <v>12</v>
      </c>
      <c r="L23" s="5">
        <f>DAY(Table1[[#This Row],[Date]])</f>
        <v>28</v>
      </c>
      <c r="M23" s="5" t="str">
        <f t="shared" si="1"/>
        <v>Dec</v>
      </c>
    </row>
    <row r="24" spans="1:21" x14ac:dyDescent="0.25">
      <c r="A24" s="2">
        <v>38492</v>
      </c>
      <c r="B24" t="s">
        <v>26</v>
      </c>
      <c r="C24" t="s">
        <v>23</v>
      </c>
      <c r="D24" t="s">
        <v>19</v>
      </c>
      <c r="E24" t="s">
        <v>24</v>
      </c>
      <c r="F24" s="3">
        <v>2929.71</v>
      </c>
      <c r="G24" s="3">
        <v>4308.3999999999996</v>
      </c>
      <c r="H24" s="3">
        <f>Table1[[#This Row],[Sale]]-Table1[[#This Row],[Cost]]</f>
        <v>1378.6899999999996</v>
      </c>
      <c r="I24" s="4">
        <f>Table1[[#This Row],[Profit]]/Table1[[#This Row],[Sale]]</f>
        <v>0.32000046420945122</v>
      </c>
      <c r="J24" s="5">
        <f t="shared" si="0"/>
        <v>2005</v>
      </c>
      <c r="K24" s="5">
        <f>MONTH(Table1[[#This Row],[Date]])</f>
        <v>5</v>
      </c>
      <c r="L24" s="5">
        <f>DAY(Table1[[#This Row],[Date]])</f>
        <v>20</v>
      </c>
      <c r="M24" s="5" t="str">
        <f t="shared" si="1"/>
        <v>May</v>
      </c>
    </row>
    <row r="25" spans="1:21" x14ac:dyDescent="0.25">
      <c r="A25" s="2">
        <v>38791</v>
      </c>
      <c r="B25" t="s">
        <v>21</v>
      </c>
      <c r="C25" t="s">
        <v>29</v>
      </c>
      <c r="D25" t="s">
        <v>19</v>
      </c>
      <c r="E25" t="s">
        <v>24</v>
      </c>
      <c r="F25" s="3">
        <v>3260</v>
      </c>
      <c r="G25" s="3">
        <v>3704.55</v>
      </c>
      <c r="H25" s="3">
        <f>Table1[[#This Row],[Sale]]-Table1[[#This Row],[Cost]]</f>
        <v>444.55000000000018</v>
      </c>
      <c r="I25" s="4">
        <f>Table1[[#This Row],[Profit]]/Table1[[#This Row],[Sale]]</f>
        <v>0.12000107975327642</v>
      </c>
      <c r="J25" s="5">
        <f t="shared" si="0"/>
        <v>2006</v>
      </c>
      <c r="K25" s="5">
        <f>MONTH(Table1[[#This Row],[Date]])</f>
        <v>3</v>
      </c>
      <c r="L25" s="5">
        <f>DAY(Table1[[#This Row],[Date]])</f>
        <v>15</v>
      </c>
      <c r="M25" s="5" t="str">
        <f t="shared" si="1"/>
        <v>Mar</v>
      </c>
    </row>
    <row r="26" spans="1:21" x14ac:dyDescent="0.25">
      <c r="A26" s="2">
        <v>38728</v>
      </c>
      <c r="B26" t="s">
        <v>21</v>
      </c>
      <c r="C26" t="s">
        <v>27</v>
      </c>
      <c r="D26" t="s">
        <v>16</v>
      </c>
      <c r="E26" t="s">
        <v>20</v>
      </c>
      <c r="F26" s="3">
        <v>3249.56</v>
      </c>
      <c r="G26" s="3">
        <v>3475.47</v>
      </c>
      <c r="H26" s="3">
        <f>Table1[[#This Row],[Sale]]-Table1[[#This Row],[Cost]]</f>
        <v>225.90999999999985</v>
      </c>
      <c r="I26" s="4">
        <f>Table1[[#This Row],[Profit]]/Table1[[#This Row],[Sale]]</f>
        <v>6.5001280402362804E-2</v>
      </c>
      <c r="J26" s="5">
        <f t="shared" si="0"/>
        <v>2006</v>
      </c>
      <c r="K26" s="5">
        <f>MONTH(Table1[[#This Row],[Date]])</f>
        <v>1</v>
      </c>
      <c r="L26" s="5">
        <f>DAY(Table1[[#This Row],[Date]])</f>
        <v>11</v>
      </c>
      <c r="M26" s="5" t="str">
        <f t="shared" si="1"/>
        <v>Jan</v>
      </c>
    </row>
    <row r="27" spans="1:21" x14ac:dyDescent="0.25">
      <c r="A27" s="2">
        <v>38447</v>
      </c>
      <c r="B27" t="s">
        <v>15</v>
      </c>
      <c r="C27" t="s">
        <v>12</v>
      </c>
      <c r="D27" t="s">
        <v>16</v>
      </c>
      <c r="E27" t="s">
        <v>14</v>
      </c>
      <c r="F27" s="3">
        <v>4593.6899999999996</v>
      </c>
      <c r="G27" s="3">
        <v>6755.43</v>
      </c>
      <c r="H27" s="3">
        <f>Table1[[#This Row],[Sale]]-Table1[[#This Row],[Cost]]</f>
        <v>2161.7400000000007</v>
      </c>
      <c r="I27" s="4">
        <f>Table1[[#This Row],[Profit]]/Table1[[#This Row],[Sale]]</f>
        <v>0.32000035526976084</v>
      </c>
      <c r="J27" s="5">
        <f t="shared" si="0"/>
        <v>2005</v>
      </c>
      <c r="K27" s="5">
        <f>MONTH(Table1[[#This Row],[Date]])</f>
        <v>4</v>
      </c>
      <c r="L27" s="5">
        <f>DAY(Table1[[#This Row],[Date]])</f>
        <v>5</v>
      </c>
      <c r="M27" s="5" t="str">
        <f t="shared" si="1"/>
        <v>Apr</v>
      </c>
    </row>
    <row r="28" spans="1:21" x14ac:dyDescent="0.25">
      <c r="A28" s="2">
        <v>38164</v>
      </c>
      <c r="B28" t="s">
        <v>15</v>
      </c>
      <c r="C28" t="s">
        <v>18</v>
      </c>
      <c r="D28" t="s">
        <v>13</v>
      </c>
      <c r="E28" t="s">
        <v>25</v>
      </c>
      <c r="F28" s="3">
        <v>5927.72</v>
      </c>
      <c r="G28" s="3">
        <v>6736.05</v>
      </c>
      <c r="H28" s="3">
        <f>Table1[[#This Row],[Sale]]-Table1[[#This Row],[Cost]]</f>
        <v>808.32999999999993</v>
      </c>
      <c r="I28" s="4">
        <f>Table1[[#This Row],[Profit]]/Table1[[#This Row],[Sale]]</f>
        <v>0.1200005938198202</v>
      </c>
      <c r="J28" s="5">
        <f t="shared" si="0"/>
        <v>2004</v>
      </c>
      <c r="K28" s="5">
        <f>MONTH(Table1[[#This Row],[Date]])</f>
        <v>6</v>
      </c>
      <c r="L28" s="5">
        <f>DAY(Table1[[#This Row],[Date]])</f>
        <v>26</v>
      </c>
      <c r="M28" s="5" t="str">
        <f t="shared" si="1"/>
        <v>Jun</v>
      </c>
    </row>
    <row r="29" spans="1:21" x14ac:dyDescent="0.25">
      <c r="A29" s="2">
        <v>38550</v>
      </c>
      <c r="B29" t="s">
        <v>15</v>
      </c>
      <c r="C29" t="s">
        <v>29</v>
      </c>
      <c r="D29" t="s">
        <v>19</v>
      </c>
      <c r="E29" t="s">
        <v>14</v>
      </c>
      <c r="F29" s="3">
        <v>245.78</v>
      </c>
      <c r="G29" s="3">
        <v>327.71</v>
      </c>
      <c r="H29" s="3">
        <f>Table1[[#This Row],[Sale]]-Table1[[#This Row],[Cost]]</f>
        <v>81.929999999999978</v>
      </c>
      <c r="I29" s="4">
        <f>Table1[[#This Row],[Profit]]/Table1[[#This Row],[Sale]]</f>
        <v>0.25000762869610321</v>
      </c>
      <c r="J29" s="5">
        <f t="shared" si="0"/>
        <v>2005</v>
      </c>
      <c r="K29" s="5">
        <f>MONTH(Table1[[#This Row],[Date]])</f>
        <v>7</v>
      </c>
      <c r="L29" s="5">
        <f>DAY(Table1[[#This Row],[Date]])</f>
        <v>17</v>
      </c>
      <c r="M29" s="5" t="str">
        <f t="shared" si="1"/>
        <v>Jul</v>
      </c>
    </row>
    <row r="30" spans="1:21" x14ac:dyDescent="0.25">
      <c r="A30" s="2">
        <v>38625</v>
      </c>
      <c r="B30" t="s">
        <v>26</v>
      </c>
      <c r="C30" t="s">
        <v>29</v>
      </c>
      <c r="D30" t="s">
        <v>28</v>
      </c>
      <c r="E30" t="s">
        <v>20</v>
      </c>
      <c r="F30" s="3">
        <v>627.94000000000005</v>
      </c>
      <c r="G30" s="3">
        <v>923.44</v>
      </c>
      <c r="H30" s="3">
        <f>Table1[[#This Row],[Sale]]-Table1[[#This Row],[Cost]]</f>
        <v>295.5</v>
      </c>
      <c r="I30" s="4">
        <f>Table1[[#This Row],[Profit]]/Table1[[#This Row],[Sale]]</f>
        <v>0.31999913367408817</v>
      </c>
      <c r="J30" s="5">
        <f t="shared" si="0"/>
        <v>2005</v>
      </c>
      <c r="K30" s="5">
        <f>MONTH(Table1[[#This Row],[Date]])</f>
        <v>9</v>
      </c>
      <c r="L30" s="5">
        <f>DAY(Table1[[#This Row],[Date]])</f>
        <v>30</v>
      </c>
      <c r="M30" s="5" t="str">
        <f t="shared" si="1"/>
        <v>Sep</v>
      </c>
    </row>
    <row r="31" spans="1:21" x14ac:dyDescent="0.25">
      <c r="A31" s="2">
        <v>38619</v>
      </c>
      <c r="B31" t="s">
        <v>21</v>
      </c>
      <c r="C31" t="s">
        <v>29</v>
      </c>
      <c r="D31" t="s">
        <v>28</v>
      </c>
      <c r="E31" t="s">
        <v>14</v>
      </c>
      <c r="F31" s="3">
        <v>2393.39</v>
      </c>
      <c r="G31" s="3">
        <v>5318.64</v>
      </c>
      <c r="H31" s="3">
        <f>Table1[[#This Row],[Sale]]-Table1[[#This Row],[Cost]]</f>
        <v>2925.2500000000005</v>
      </c>
      <c r="I31" s="4">
        <f>Table1[[#This Row],[Profit]]/Table1[[#This Row],[Sale]]</f>
        <v>0.54999962396402091</v>
      </c>
      <c r="J31" s="5">
        <f t="shared" si="0"/>
        <v>2005</v>
      </c>
      <c r="K31" s="5">
        <f>MONTH(Table1[[#This Row],[Date]])</f>
        <v>9</v>
      </c>
      <c r="L31" s="5">
        <f>DAY(Table1[[#This Row],[Date]])</f>
        <v>24</v>
      </c>
      <c r="M31" s="5" t="str">
        <f t="shared" si="1"/>
        <v>Sep</v>
      </c>
    </row>
    <row r="32" spans="1:21" x14ac:dyDescent="0.25">
      <c r="A32" s="2">
        <v>38582</v>
      </c>
      <c r="B32" t="s">
        <v>11</v>
      </c>
      <c r="C32" t="s">
        <v>27</v>
      </c>
      <c r="D32" t="s">
        <v>19</v>
      </c>
      <c r="E32" t="s">
        <v>25</v>
      </c>
      <c r="F32" s="3">
        <v>3170.6</v>
      </c>
      <c r="G32" s="3">
        <v>4227.46</v>
      </c>
      <c r="H32" s="3">
        <f>Table1[[#This Row],[Sale]]-Table1[[#This Row],[Cost]]</f>
        <v>1056.8600000000001</v>
      </c>
      <c r="I32" s="4">
        <f>Table1[[#This Row],[Profit]]/Table1[[#This Row],[Sale]]</f>
        <v>0.2499988172566979</v>
      </c>
      <c r="J32" s="5">
        <f t="shared" si="0"/>
        <v>2005</v>
      </c>
      <c r="K32" s="5">
        <f>MONTH(Table1[[#This Row],[Date]])</f>
        <v>8</v>
      </c>
      <c r="L32" s="5">
        <f>DAY(Table1[[#This Row],[Date]])</f>
        <v>18</v>
      </c>
      <c r="M32" s="5" t="str">
        <f t="shared" si="1"/>
        <v>Aug</v>
      </c>
    </row>
    <row r="33" spans="1:13" x14ac:dyDescent="0.25">
      <c r="A33" s="2">
        <v>38552</v>
      </c>
      <c r="B33" t="s">
        <v>11</v>
      </c>
      <c r="C33" t="s">
        <v>23</v>
      </c>
      <c r="D33" t="s">
        <v>19</v>
      </c>
      <c r="E33" t="s">
        <v>25</v>
      </c>
      <c r="F33" s="3">
        <v>5064.12</v>
      </c>
      <c r="G33" s="3">
        <v>7447.23</v>
      </c>
      <c r="H33" s="3">
        <f>Table1[[#This Row],[Sale]]-Table1[[#This Row],[Cost]]</f>
        <v>2383.1099999999997</v>
      </c>
      <c r="I33" s="4">
        <f>Table1[[#This Row],[Profit]]/Table1[[#This Row],[Sale]]</f>
        <v>0.31999951659878906</v>
      </c>
      <c r="J33" s="5">
        <f t="shared" si="0"/>
        <v>2005</v>
      </c>
      <c r="K33" s="5">
        <f>MONTH(Table1[[#This Row],[Date]])</f>
        <v>7</v>
      </c>
      <c r="L33" s="5">
        <f>DAY(Table1[[#This Row],[Date]])</f>
        <v>19</v>
      </c>
      <c r="M33" s="5" t="str">
        <f t="shared" si="1"/>
        <v>Jul</v>
      </c>
    </row>
    <row r="34" spans="1:13" x14ac:dyDescent="0.25">
      <c r="A34" s="2">
        <v>38292</v>
      </c>
      <c r="B34" t="s">
        <v>15</v>
      </c>
      <c r="C34" t="s">
        <v>18</v>
      </c>
      <c r="D34" t="s">
        <v>19</v>
      </c>
      <c r="E34" t="s">
        <v>25</v>
      </c>
      <c r="F34" s="3">
        <v>3679.82</v>
      </c>
      <c r="G34" s="3">
        <v>9945.4699999999993</v>
      </c>
      <c r="H34" s="3">
        <f>Table1[[#This Row],[Sale]]-Table1[[#This Row],[Cost]]</f>
        <v>6265.65</v>
      </c>
      <c r="I34" s="4">
        <f>Table1[[#This Row],[Profit]]/Table1[[#This Row],[Sale]]</f>
        <v>0.63000039213833037</v>
      </c>
      <c r="J34" s="5">
        <f t="shared" si="0"/>
        <v>2004</v>
      </c>
      <c r="K34" s="5">
        <f>MONTH(Table1[[#This Row],[Date]])</f>
        <v>11</v>
      </c>
      <c r="L34" s="5">
        <f>DAY(Table1[[#This Row],[Date]])</f>
        <v>1</v>
      </c>
      <c r="M34" s="5" t="str">
        <f t="shared" si="1"/>
        <v>Nov</v>
      </c>
    </row>
    <row r="35" spans="1:13" x14ac:dyDescent="0.25">
      <c r="A35" s="2">
        <v>38580</v>
      </c>
      <c r="B35" t="s">
        <v>17</v>
      </c>
      <c r="C35" t="s">
        <v>29</v>
      </c>
      <c r="D35" t="s">
        <v>19</v>
      </c>
      <c r="E35" t="s">
        <v>25</v>
      </c>
      <c r="F35" s="3">
        <v>1384.2</v>
      </c>
      <c r="G35" s="3">
        <v>2516.7199999999998</v>
      </c>
      <c r="H35" s="3">
        <f>Table1[[#This Row],[Sale]]-Table1[[#This Row],[Cost]]</f>
        <v>1132.5199999999998</v>
      </c>
      <c r="I35" s="4">
        <f>Table1[[#This Row],[Profit]]/Table1[[#This Row],[Sale]]</f>
        <v>0.44999841062970847</v>
      </c>
      <c r="J35" s="5">
        <f t="shared" si="0"/>
        <v>2005</v>
      </c>
      <c r="K35" s="5">
        <f>MONTH(Table1[[#This Row],[Date]])</f>
        <v>8</v>
      </c>
      <c r="L35" s="5">
        <f>DAY(Table1[[#This Row],[Date]])</f>
        <v>16</v>
      </c>
      <c r="M35" s="5" t="str">
        <f t="shared" si="1"/>
        <v>Aug</v>
      </c>
    </row>
    <row r="36" spans="1:13" x14ac:dyDescent="0.25">
      <c r="A36" s="2">
        <v>38303</v>
      </c>
      <c r="B36" t="s">
        <v>15</v>
      </c>
      <c r="C36" t="s">
        <v>27</v>
      </c>
      <c r="D36" t="s">
        <v>13</v>
      </c>
      <c r="E36" t="s">
        <v>20</v>
      </c>
      <c r="F36" s="3">
        <v>6395.68</v>
      </c>
      <c r="G36" s="3">
        <v>8527.57</v>
      </c>
      <c r="H36" s="3">
        <f>Table1[[#This Row],[Sale]]-Table1[[#This Row],[Cost]]</f>
        <v>2131.8899999999994</v>
      </c>
      <c r="I36" s="4">
        <f>Table1[[#This Row],[Profit]]/Table1[[#This Row],[Sale]]</f>
        <v>0.24999970683324788</v>
      </c>
      <c r="J36" s="5">
        <f t="shared" si="0"/>
        <v>2004</v>
      </c>
      <c r="K36" s="5">
        <f>MONTH(Table1[[#This Row],[Date]])</f>
        <v>11</v>
      </c>
      <c r="L36" s="5">
        <f>DAY(Table1[[#This Row],[Date]])</f>
        <v>12</v>
      </c>
      <c r="M36" s="5" t="str">
        <f t="shared" si="1"/>
        <v>Nov</v>
      </c>
    </row>
    <row r="37" spans="1:13" x14ac:dyDescent="0.25">
      <c r="A37" s="2">
        <v>38770</v>
      </c>
      <c r="B37" t="s">
        <v>17</v>
      </c>
      <c r="C37" t="s">
        <v>23</v>
      </c>
      <c r="D37" t="s">
        <v>28</v>
      </c>
      <c r="E37" t="s">
        <v>20</v>
      </c>
      <c r="F37" s="3">
        <v>793.91</v>
      </c>
      <c r="G37" s="3">
        <v>1167.51</v>
      </c>
      <c r="H37" s="3">
        <f>Table1[[#This Row],[Sale]]-Table1[[#This Row],[Cost]]</f>
        <v>373.6</v>
      </c>
      <c r="I37" s="4">
        <f>Table1[[#This Row],[Profit]]/Table1[[#This Row],[Sale]]</f>
        <v>0.31999725912411886</v>
      </c>
      <c r="J37" s="5">
        <f t="shared" si="0"/>
        <v>2006</v>
      </c>
      <c r="K37" s="5">
        <f>MONTH(Table1[[#This Row],[Date]])</f>
        <v>2</v>
      </c>
      <c r="L37" s="5">
        <f>DAY(Table1[[#This Row],[Date]])</f>
        <v>22</v>
      </c>
      <c r="M37" s="5" t="str">
        <f t="shared" si="1"/>
        <v>Feb</v>
      </c>
    </row>
    <row r="38" spans="1:13" x14ac:dyDescent="0.25">
      <c r="A38" s="2">
        <v>38647</v>
      </c>
      <c r="B38" t="s">
        <v>21</v>
      </c>
      <c r="C38" t="s">
        <v>23</v>
      </c>
      <c r="D38" t="s">
        <v>16</v>
      </c>
      <c r="E38" t="s">
        <v>20</v>
      </c>
      <c r="F38" s="3">
        <v>113.68</v>
      </c>
      <c r="G38" s="3">
        <v>121.58</v>
      </c>
      <c r="H38" s="3">
        <f>Table1[[#This Row],[Sale]]-Table1[[#This Row],[Cost]]</f>
        <v>7.8999999999999915</v>
      </c>
      <c r="I38" s="4">
        <f>Table1[[#This Row],[Profit]]/Table1[[#This Row],[Sale]]</f>
        <v>6.4977792400065737E-2</v>
      </c>
      <c r="J38" s="5">
        <f t="shared" si="0"/>
        <v>2005</v>
      </c>
      <c r="K38" s="5">
        <f>MONTH(Table1[[#This Row],[Date]])</f>
        <v>10</v>
      </c>
      <c r="L38" s="5">
        <f>DAY(Table1[[#This Row],[Date]])</f>
        <v>22</v>
      </c>
      <c r="M38" s="5" t="str">
        <f t="shared" si="1"/>
        <v>Oct</v>
      </c>
    </row>
    <row r="39" spans="1:13" x14ac:dyDescent="0.25">
      <c r="A39" s="2">
        <v>38605</v>
      </c>
      <c r="B39" t="s">
        <v>22</v>
      </c>
      <c r="C39" t="s">
        <v>27</v>
      </c>
      <c r="D39" t="s">
        <v>16</v>
      </c>
      <c r="E39" t="s">
        <v>24</v>
      </c>
      <c r="F39" s="3">
        <v>5758.38</v>
      </c>
      <c r="G39" s="3">
        <v>6158.69</v>
      </c>
      <c r="H39" s="3">
        <f>Table1[[#This Row],[Sale]]-Table1[[#This Row],[Cost]]</f>
        <v>400.30999999999949</v>
      </c>
      <c r="I39" s="4">
        <f>Table1[[#This Row],[Profit]]/Table1[[#This Row],[Sale]]</f>
        <v>6.49992124948649E-2</v>
      </c>
      <c r="J39" s="5">
        <f t="shared" si="0"/>
        <v>2005</v>
      </c>
      <c r="K39" s="5">
        <f>MONTH(Table1[[#This Row],[Date]])</f>
        <v>9</v>
      </c>
      <c r="L39" s="5">
        <f>DAY(Table1[[#This Row],[Date]])</f>
        <v>10</v>
      </c>
      <c r="M39" s="5" t="str">
        <f t="shared" si="1"/>
        <v>Sep</v>
      </c>
    </row>
    <row r="40" spans="1:13" x14ac:dyDescent="0.25">
      <c r="A40" s="2">
        <v>38397</v>
      </c>
      <c r="B40" t="s">
        <v>15</v>
      </c>
      <c r="C40" t="s">
        <v>29</v>
      </c>
      <c r="D40" t="s">
        <v>13</v>
      </c>
      <c r="E40" t="s">
        <v>14</v>
      </c>
      <c r="F40" s="3">
        <v>1401.47</v>
      </c>
      <c r="G40" s="3">
        <v>2375.37</v>
      </c>
      <c r="H40" s="3">
        <f>Table1[[#This Row],[Sale]]-Table1[[#This Row],[Cost]]</f>
        <v>973.89999999999986</v>
      </c>
      <c r="I40" s="4">
        <f>Table1[[#This Row],[Profit]]/Table1[[#This Row],[Sale]]</f>
        <v>0.40999928432202137</v>
      </c>
      <c r="J40" s="5">
        <f t="shared" si="0"/>
        <v>2005</v>
      </c>
      <c r="K40" s="5">
        <f>MONTH(Table1[[#This Row],[Date]])</f>
        <v>2</v>
      </c>
      <c r="L40" s="5">
        <f>DAY(Table1[[#This Row],[Date]])</f>
        <v>14</v>
      </c>
      <c r="M40" s="5" t="str">
        <f t="shared" si="1"/>
        <v>Feb</v>
      </c>
    </row>
    <row r="41" spans="1:13" x14ac:dyDescent="0.25">
      <c r="A41" s="2">
        <v>38407</v>
      </c>
      <c r="B41" t="s">
        <v>15</v>
      </c>
      <c r="C41" t="s">
        <v>29</v>
      </c>
      <c r="D41" t="s">
        <v>19</v>
      </c>
      <c r="E41" t="s">
        <v>14</v>
      </c>
      <c r="F41" s="3">
        <v>4460.79</v>
      </c>
      <c r="G41" s="3">
        <v>8110.53</v>
      </c>
      <c r="H41" s="3">
        <f>Table1[[#This Row],[Sale]]-Table1[[#This Row],[Cost]]</f>
        <v>3649.74</v>
      </c>
      <c r="I41" s="4">
        <f>Table1[[#This Row],[Profit]]/Table1[[#This Row],[Sale]]</f>
        <v>0.45000018494475696</v>
      </c>
      <c r="J41" s="5">
        <f t="shared" si="0"/>
        <v>2005</v>
      </c>
      <c r="K41" s="5">
        <f>MONTH(Table1[[#This Row],[Date]])</f>
        <v>2</v>
      </c>
      <c r="L41" s="5">
        <f>DAY(Table1[[#This Row],[Date]])</f>
        <v>24</v>
      </c>
      <c r="M41" s="5" t="str">
        <f t="shared" si="1"/>
        <v>Feb</v>
      </c>
    </row>
    <row r="42" spans="1:13" x14ac:dyDescent="0.25">
      <c r="A42" s="2">
        <v>38859</v>
      </c>
      <c r="B42" t="s">
        <v>11</v>
      </c>
      <c r="C42" t="s">
        <v>29</v>
      </c>
      <c r="D42" t="s">
        <v>19</v>
      </c>
      <c r="E42" t="s">
        <v>25</v>
      </c>
      <c r="F42" s="3">
        <v>776.85</v>
      </c>
      <c r="G42" s="3">
        <v>1726.33</v>
      </c>
      <c r="H42" s="3">
        <f>Table1[[#This Row],[Sale]]-Table1[[#This Row],[Cost]]</f>
        <v>949.4799999999999</v>
      </c>
      <c r="I42" s="4">
        <f>Table1[[#This Row],[Profit]]/Table1[[#This Row],[Sale]]</f>
        <v>0.54999913110471343</v>
      </c>
      <c r="J42" s="5">
        <f t="shared" si="0"/>
        <v>2006</v>
      </c>
      <c r="K42" s="5">
        <f>MONTH(Table1[[#This Row],[Date]])</f>
        <v>5</v>
      </c>
      <c r="L42" s="5">
        <f>DAY(Table1[[#This Row],[Date]])</f>
        <v>22</v>
      </c>
      <c r="M42" s="5" t="str">
        <f t="shared" si="1"/>
        <v>May</v>
      </c>
    </row>
    <row r="43" spans="1:13" x14ac:dyDescent="0.25">
      <c r="A43" s="2">
        <v>38678</v>
      </c>
      <c r="B43" t="s">
        <v>17</v>
      </c>
      <c r="C43" t="s">
        <v>27</v>
      </c>
      <c r="D43" t="s">
        <v>28</v>
      </c>
      <c r="E43" t="s">
        <v>24</v>
      </c>
      <c r="F43" s="3">
        <v>5273.8</v>
      </c>
      <c r="G43" s="3">
        <v>5992.95</v>
      </c>
      <c r="H43" s="3">
        <f>Table1[[#This Row],[Sale]]-Table1[[#This Row],[Cost]]</f>
        <v>719.14999999999964</v>
      </c>
      <c r="I43" s="4">
        <f>Table1[[#This Row],[Profit]]/Table1[[#This Row],[Sale]]</f>
        <v>0.11999933254907845</v>
      </c>
      <c r="J43" s="5">
        <f t="shared" si="0"/>
        <v>2005</v>
      </c>
      <c r="K43" s="5">
        <f>MONTH(Table1[[#This Row],[Date]])</f>
        <v>11</v>
      </c>
      <c r="L43" s="5">
        <f>DAY(Table1[[#This Row],[Date]])</f>
        <v>22</v>
      </c>
      <c r="M43" s="5" t="str">
        <f t="shared" si="1"/>
        <v>Nov</v>
      </c>
    </row>
    <row r="44" spans="1:13" x14ac:dyDescent="0.25">
      <c r="A44" s="2">
        <v>38387</v>
      </c>
      <c r="B44" t="s">
        <v>21</v>
      </c>
      <c r="C44" t="s">
        <v>12</v>
      </c>
      <c r="D44" t="s">
        <v>28</v>
      </c>
      <c r="E44" t="s">
        <v>24</v>
      </c>
      <c r="F44" s="3">
        <v>4457.72</v>
      </c>
      <c r="G44" s="3">
        <v>4767.62</v>
      </c>
      <c r="H44" s="3">
        <f>Table1[[#This Row],[Sale]]-Table1[[#This Row],[Cost]]</f>
        <v>309.89999999999964</v>
      </c>
      <c r="I44" s="4">
        <f>Table1[[#This Row],[Profit]]/Table1[[#This Row],[Sale]]</f>
        <v>6.5000985816822579E-2</v>
      </c>
      <c r="J44" s="5">
        <f t="shared" si="0"/>
        <v>2005</v>
      </c>
      <c r="K44" s="5">
        <f>MONTH(Table1[[#This Row],[Date]])</f>
        <v>2</v>
      </c>
      <c r="L44" s="5">
        <f>DAY(Table1[[#This Row],[Date]])</f>
        <v>4</v>
      </c>
      <c r="M44" s="5" t="str">
        <f t="shared" si="1"/>
        <v>Feb</v>
      </c>
    </row>
    <row r="45" spans="1:13" x14ac:dyDescent="0.25">
      <c r="A45" s="2">
        <v>38454</v>
      </c>
      <c r="B45" t="s">
        <v>21</v>
      </c>
      <c r="C45" t="s">
        <v>12</v>
      </c>
      <c r="D45" t="s">
        <v>16</v>
      </c>
      <c r="E45" t="s">
        <v>14</v>
      </c>
      <c r="F45" s="3">
        <v>3453.97</v>
      </c>
      <c r="G45" s="3">
        <v>5955.12</v>
      </c>
      <c r="H45" s="3">
        <f>Table1[[#This Row],[Sale]]-Table1[[#This Row],[Cost]]</f>
        <v>2501.15</v>
      </c>
      <c r="I45" s="4">
        <f>Table1[[#This Row],[Profit]]/Table1[[#This Row],[Sale]]</f>
        <v>0.41999993283090853</v>
      </c>
      <c r="J45" s="5">
        <f t="shared" si="0"/>
        <v>2005</v>
      </c>
      <c r="K45" s="5">
        <f>MONTH(Table1[[#This Row],[Date]])</f>
        <v>4</v>
      </c>
      <c r="L45" s="5">
        <f>DAY(Table1[[#This Row],[Date]])</f>
        <v>12</v>
      </c>
      <c r="M45" s="5" t="str">
        <f t="shared" si="1"/>
        <v>Apr</v>
      </c>
    </row>
    <row r="46" spans="1:13" x14ac:dyDescent="0.25">
      <c r="A46" s="2">
        <v>38216</v>
      </c>
      <c r="B46" t="s">
        <v>22</v>
      </c>
      <c r="C46" t="s">
        <v>23</v>
      </c>
      <c r="D46" t="s">
        <v>13</v>
      </c>
      <c r="E46" t="s">
        <v>20</v>
      </c>
      <c r="F46" s="3">
        <v>6390.67</v>
      </c>
      <c r="G46" s="3">
        <v>7262.12</v>
      </c>
      <c r="H46" s="3">
        <f>Table1[[#This Row],[Sale]]-Table1[[#This Row],[Cost]]</f>
        <v>871.44999999999982</v>
      </c>
      <c r="I46" s="4">
        <f>Table1[[#This Row],[Profit]]/Table1[[#This Row],[Sale]]</f>
        <v>0.11999939411631863</v>
      </c>
      <c r="J46" s="5">
        <f t="shared" si="0"/>
        <v>2004</v>
      </c>
      <c r="K46" s="5">
        <f>MONTH(Table1[[#This Row],[Date]])</f>
        <v>8</v>
      </c>
      <c r="L46" s="5">
        <f>DAY(Table1[[#This Row],[Date]])</f>
        <v>17</v>
      </c>
      <c r="M46" s="5" t="str">
        <f t="shared" si="1"/>
        <v>Aug</v>
      </c>
    </row>
    <row r="47" spans="1:13" x14ac:dyDescent="0.25">
      <c r="A47" s="2">
        <v>38554</v>
      </c>
      <c r="B47" t="s">
        <v>15</v>
      </c>
      <c r="C47" t="s">
        <v>29</v>
      </c>
      <c r="D47" t="s">
        <v>16</v>
      </c>
      <c r="E47" t="s">
        <v>20</v>
      </c>
      <c r="F47" s="3">
        <v>1625.06</v>
      </c>
      <c r="G47" s="3">
        <v>2166.75</v>
      </c>
      <c r="H47" s="3">
        <f>Table1[[#This Row],[Sale]]-Table1[[#This Row],[Cost]]</f>
        <v>541.69000000000005</v>
      </c>
      <c r="I47" s="4">
        <f>Table1[[#This Row],[Profit]]/Table1[[#This Row],[Sale]]</f>
        <v>0.2500011538017769</v>
      </c>
      <c r="J47" s="5">
        <f t="shared" si="0"/>
        <v>2005</v>
      </c>
      <c r="K47" s="5">
        <f>MONTH(Table1[[#This Row],[Date]])</f>
        <v>7</v>
      </c>
      <c r="L47" s="5">
        <f>DAY(Table1[[#This Row],[Date]])</f>
        <v>21</v>
      </c>
      <c r="M47" s="5" t="str">
        <f t="shared" si="1"/>
        <v>Jul</v>
      </c>
    </row>
    <row r="48" spans="1:13" x14ac:dyDescent="0.25">
      <c r="A48" s="2">
        <v>38821</v>
      </c>
      <c r="B48" t="s">
        <v>17</v>
      </c>
      <c r="C48" t="s">
        <v>23</v>
      </c>
      <c r="D48" t="s">
        <v>19</v>
      </c>
      <c r="E48" t="s">
        <v>20</v>
      </c>
      <c r="F48" s="3">
        <v>6221.92</v>
      </c>
      <c r="G48" s="3">
        <v>6654.46</v>
      </c>
      <c r="H48" s="3">
        <f>Table1[[#This Row],[Sale]]-Table1[[#This Row],[Cost]]</f>
        <v>432.53999999999996</v>
      </c>
      <c r="I48" s="4">
        <f>Table1[[#This Row],[Profit]]/Table1[[#This Row],[Sale]]</f>
        <v>6.5000015027515373E-2</v>
      </c>
      <c r="J48" s="5">
        <f t="shared" si="0"/>
        <v>2006</v>
      </c>
      <c r="K48" s="5">
        <f>MONTH(Table1[[#This Row],[Date]])</f>
        <v>4</v>
      </c>
      <c r="L48" s="5">
        <f>DAY(Table1[[#This Row],[Date]])</f>
        <v>14</v>
      </c>
      <c r="M48" s="5" t="str">
        <f t="shared" si="1"/>
        <v>Apr</v>
      </c>
    </row>
    <row r="49" spans="1:13" x14ac:dyDescent="0.25">
      <c r="A49" s="2">
        <v>38458</v>
      </c>
      <c r="B49" t="s">
        <v>11</v>
      </c>
      <c r="C49" t="s">
        <v>23</v>
      </c>
      <c r="D49" t="s">
        <v>19</v>
      </c>
      <c r="E49" t="s">
        <v>20</v>
      </c>
      <c r="F49" s="3">
        <v>5199.76</v>
      </c>
      <c r="G49" s="3">
        <v>6933.01</v>
      </c>
      <c r="H49" s="3">
        <f>Table1[[#This Row],[Sale]]-Table1[[#This Row],[Cost]]</f>
        <v>1733.25</v>
      </c>
      <c r="I49" s="4">
        <f>Table1[[#This Row],[Profit]]/Table1[[#This Row],[Sale]]</f>
        <v>0.24999963940626077</v>
      </c>
      <c r="J49" s="5">
        <f t="shared" si="0"/>
        <v>2005</v>
      </c>
      <c r="K49" s="5">
        <f>MONTH(Table1[[#This Row],[Date]])</f>
        <v>4</v>
      </c>
      <c r="L49" s="5">
        <f>DAY(Table1[[#This Row],[Date]])</f>
        <v>16</v>
      </c>
      <c r="M49" s="5" t="str">
        <f t="shared" si="1"/>
        <v>Apr</v>
      </c>
    </row>
    <row r="50" spans="1:13" x14ac:dyDescent="0.25">
      <c r="A50" s="2">
        <v>38643</v>
      </c>
      <c r="B50" t="s">
        <v>22</v>
      </c>
      <c r="C50" t="s">
        <v>12</v>
      </c>
      <c r="D50" t="s">
        <v>16</v>
      </c>
      <c r="E50" t="s">
        <v>25</v>
      </c>
      <c r="F50" s="3">
        <v>3776.43</v>
      </c>
      <c r="G50" s="3">
        <v>6511.09</v>
      </c>
      <c r="H50" s="3">
        <f>Table1[[#This Row],[Sale]]-Table1[[#This Row],[Cost]]</f>
        <v>2734.6600000000003</v>
      </c>
      <c r="I50" s="4">
        <f>Table1[[#This Row],[Profit]]/Table1[[#This Row],[Sale]]</f>
        <v>0.42000033788505459</v>
      </c>
      <c r="J50" s="5">
        <f t="shared" si="0"/>
        <v>2005</v>
      </c>
      <c r="K50" s="5">
        <f>MONTH(Table1[[#This Row],[Date]])</f>
        <v>10</v>
      </c>
      <c r="L50" s="5">
        <f>DAY(Table1[[#This Row],[Date]])</f>
        <v>18</v>
      </c>
      <c r="M50" s="5" t="str">
        <f t="shared" si="1"/>
        <v>Oct</v>
      </c>
    </row>
    <row r="51" spans="1:13" x14ac:dyDescent="0.25">
      <c r="A51" s="2">
        <v>38510</v>
      </c>
      <c r="B51" t="s">
        <v>22</v>
      </c>
      <c r="C51" t="s">
        <v>29</v>
      </c>
      <c r="D51" t="s">
        <v>13</v>
      </c>
      <c r="E51" t="s">
        <v>14</v>
      </c>
      <c r="F51" s="3">
        <v>2763.33</v>
      </c>
      <c r="G51" s="3">
        <v>6140.73</v>
      </c>
      <c r="H51" s="3">
        <f>Table1[[#This Row],[Sale]]-Table1[[#This Row],[Cost]]</f>
        <v>3377.3999999999996</v>
      </c>
      <c r="I51" s="4">
        <f>Table1[[#This Row],[Profit]]/Table1[[#This Row],[Sale]]</f>
        <v>0.54999975572936766</v>
      </c>
      <c r="J51" s="5">
        <f t="shared" si="0"/>
        <v>2005</v>
      </c>
      <c r="K51" s="5">
        <f>MONTH(Table1[[#This Row],[Date]])</f>
        <v>6</v>
      </c>
      <c r="L51" s="5">
        <f>DAY(Table1[[#This Row],[Date]])</f>
        <v>7</v>
      </c>
      <c r="M51" s="5" t="str">
        <f t="shared" si="1"/>
        <v>Jun</v>
      </c>
    </row>
    <row r="52" spans="1:13" x14ac:dyDescent="0.25">
      <c r="A52" s="2">
        <v>38443</v>
      </c>
      <c r="B52" t="s">
        <v>22</v>
      </c>
      <c r="C52" t="s">
        <v>29</v>
      </c>
      <c r="D52" t="s">
        <v>19</v>
      </c>
      <c r="E52" t="s">
        <v>24</v>
      </c>
      <c r="F52" s="3">
        <v>1506.99</v>
      </c>
      <c r="G52" s="3">
        <v>2739.98</v>
      </c>
      <c r="H52" s="3">
        <f>Table1[[#This Row],[Sale]]-Table1[[#This Row],[Cost]]</f>
        <v>1232.99</v>
      </c>
      <c r="I52" s="4">
        <f>Table1[[#This Row],[Profit]]/Table1[[#This Row],[Sale]]</f>
        <v>0.44999963503383239</v>
      </c>
      <c r="J52" s="5">
        <f t="shared" si="0"/>
        <v>2005</v>
      </c>
      <c r="K52" s="5">
        <f>MONTH(Table1[[#This Row],[Date]])</f>
        <v>4</v>
      </c>
      <c r="L52" s="5">
        <f>DAY(Table1[[#This Row],[Date]])</f>
        <v>1</v>
      </c>
      <c r="M52" s="5" t="str">
        <f t="shared" si="1"/>
        <v>Apr</v>
      </c>
    </row>
    <row r="53" spans="1:13" x14ac:dyDescent="0.25">
      <c r="A53" s="2">
        <v>38341</v>
      </c>
      <c r="B53" t="s">
        <v>17</v>
      </c>
      <c r="C53" t="s">
        <v>27</v>
      </c>
      <c r="D53" t="s">
        <v>19</v>
      </c>
      <c r="E53" t="s">
        <v>20</v>
      </c>
      <c r="F53" s="3">
        <v>3589.22</v>
      </c>
      <c r="G53" s="3">
        <v>8347.0300000000007</v>
      </c>
      <c r="H53" s="3">
        <f>Table1[[#This Row],[Sale]]-Table1[[#This Row],[Cost]]</f>
        <v>4757.8100000000013</v>
      </c>
      <c r="I53" s="4">
        <f>Table1[[#This Row],[Profit]]/Table1[[#This Row],[Sale]]</f>
        <v>0.57000034742896588</v>
      </c>
      <c r="J53" s="5">
        <f t="shared" si="0"/>
        <v>2004</v>
      </c>
      <c r="K53" s="5">
        <f>MONTH(Table1[[#This Row],[Date]])</f>
        <v>12</v>
      </c>
      <c r="L53" s="5">
        <f>DAY(Table1[[#This Row],[Date]])</f>
        <v>20</v>
      </c>
      <c r="M53" s="5" t="str">
        <f t="shared" si="1"/>
        <v>Dec</v>
      </c>
    </row>
    <row r="54" spans="1:13" x14ac:dyDescent="0.25">
      <c r="A54" s="2">
        <v>38629</v>
      </c>
      <c r="B54" t="s">
        <v>17</v>
      </c>
      <c r="C54" t="s">
        <v>27</v>
      </c>
      <c r="D54" t="s">
        <v>28</v>
      </c>
      <c r="E54" t="s">
        <v>25</v>
      </c>
      <c r="F54" s="3">
        <v>3640.32</v>
      </c>
      <c r="G54" s="3">
        <v>9838.69</v>
      </c>
      <c r="H54" s="3">
        <f>Table1[[#This Row],[Sale]]-Table1[[#This Row],[Cost]]</f>
        <v>6198.3700000000008</v>
      </c>
      <c r="I54" s="4">
        <f>Table1[[#This Row],[Profit]]/Table1[[#This Row],[Sale]]</f>
        <v>0.62999952229412659</v>
      </c>
      <c r="J54" s="5">
        <f t="shared" si="0"/>
        <v>2005</v>
      </c>
      <c r="K54" s="5">
        <f>MONTH(Table1[[#This Row],[Date]])</f>
        <v>10</v>
      </c>
      <c r="L54" s="5">
        <f>DAY(Table1[[#This Row],[Date]])</f>
        <v>4</v>
      </c>
      <c r="M54" s="5" t="str">
        <f t="shared" si="1"/>
        <v>Oct</v>
      </c>
    </row>
    <row r="55" spans="1:13" x14ac:dyDescent="0.25">
      <c r="A55" s="2">
        <v>38803</v>
      </c>
      <c r="B55" t="s">
        <v>15</v>
      </c>
      <c r="C55" t="s">
        <v>29</v>
      </c>
      <c r="D55" t="s">
        <v>28</v>
      </c>
      <c r="E55" t="s">
        <v>20</v>
      </c>
      <c r="F55" s="3">
        <v>3377.26</v>
      </c>
      <c r="G55" s="3">
        <v>5724.17</v>
      </c>
      <c r="H55" s="3">
        <f>Table1[[#This Row],[Sale]]-Table1[[#This Row],[Cost]]</f>
        <v>2346.91</v>
      </c>
      <c r="I55" s="4">
        <f>Table1[[#This Row],[Profit]]/Table1[[#This Row],[Sale]]</f>
        <v>0.4100000524093449</v>
      </c>
      <c r="J55" s="5">
        <f t="shared" si="0"/>
        <v>2006</v>
      </c>
      <c r="K55" s="5">
        <f>MONTH(Table1[[#This Row],[Date]])</f>
        <v>3</v>
      </c>
      <c r="L55" s="5">
        <f>DAY(Table1[[#This Row],[Date]])</f>
        <v>27</v>
      </c>
      <c r="M55" s="5" t="str">
        <f t="shared" si="1"/>
        <v>Mar</v>
      </c>
    </row>
    <row r="56" spans="1:13" x14ac:dyDescent="0.25">
      <c r="A56" s="2">
        <v>38738</v>
      </c>
      <c r="B56" t="s">
        <v>26</v>
      </c>
      <c r="C56" t="s">
        <v>29</v>
      </c>
      <c r="D56" t="s">
        <v>28</v>
      </c>
      <c r="E56" t="s">
        <v>20</v>
      </c>
      <c r="F56" s="3">
        <v>600.02</v>
      </c>
      <c r="G56" s="3">
        <v>882.38</v>
      </c>
      <c r="H56" s="3">
        <f>Table1[[#This Row],[Sale]]-Table1[[#This Row],[Cost]]</f>
        <v>282.36</v>
      </c>
      <c r="I56" s="4">
        <f>Table1[[#This Row],[Profit]]/Table1[[#This Row],[Sale]]</f>
        <v>0.31999818672227387</v>
      </c>
      <c r="J56" s="5">
        <f t="shared" si="0"/>
        <v>2006</v>
      </c>
      <c r="K56" s="5">
        <f>MONTH(Table1[[#This Row],[Date]])</f>
        <v>1</v>
      </c>
      <c r="L56" s="5">
        <f>DAY(Table1[[#This Row],[Date]])</f>
        <v>21</v>
      </c>
      <c r="M56" s="5" t="str">
        <f t="shared" si="1"/>
        <v>Jan</v>
      </c>
    </row>
    <row r="57" spans="1:13" x14ac:dyDescent="0.25">
      <c r="A57" s="2">
        <v>38875</v>
      </c>
      <c r="B57" t="s">
        <v>17</v>
      </c>
      <c r="C57" t="s">
        <v>23</v>
      </c>
      <c r="D57" t="s">
        <v>28</v>
      </c>
      <c r="E57" t="s">
        <v>25</v>
      </c>
      <c r="F57" s="3">
        <v>391.9</v>
      </c>
      <c r="G57" s="3">
        <v>870.88</v>
      </c>
      <c r="H57" s="3">
        <f>Table1[[#This Row],[Sale]]-Table1[[#This Row],[Cost]]</f>
        <v>478.98</v>
      </c>
      <c r="I57" s="4">
        <f>Table1[[#This Row],[Profit]]/Table1[[#This Row],[Sale]]</f>
        <v>0.54999540694469962</v>
      </c>
      <c r="J57" s="5">
        <f t="shared" si="0"/>
        <v>2006</v>
      </c>
      <c r="K57" s="5">
        <f>MONTH(Table1[[#This Row],[Date]])</f>
        <v>6</v>
      </c>
      <c r="L57" s="5">
        <f>DAY(Table1[[#This Row],[Date]])</f>
        <v>7</v>
      </c>
      <c r="M57" s="5" t="str">
        <f t="shared" si="1"/>
        <v>Jun</v>
      </c>
    </row>
    <row r="58" spans="1:13" x14ac:dyDescent="0.25">
      <c r="A58" s="2">
        <v>38236</v>
      </c>
      <c r="B58" t="s">
        <v>21</v>
      </c>
      <c r="C58" t="s">
        <v>29</v>
      </c>
      <c r="D58" t="s">
        <v>13</v>
      </c>
      <c r="E58" t="s">
        <v>14</v>
      </c>
      <c r="F58" s="3">
        <v>1823.28</v>
      </c>
      <c r="G58" s="3">
        <v>3090.3</v>
      </c>
      <c r="H58" s="3">
        <f>Table1[[#This Row],[Sale]]-Table1[[#This Row],[Cost]]</f>
        <v>1267.0200000000002</v>
      </c>
      <c r="I58" s="4">
        <f>Table1[[#This Row],[Profit]]/Table1[[#This Row],[Sale]]</f>
        <v>0.40999902922046405</v>
      </c>
      <c r="J58" s="5">
        <f t="shared" si="0"/>
        <v>2004</v>
      </c>
      <c r="K58" s="5">
        <f>MONTH(Table1[[#This Row],[Date]])</f>
        <v>9</v>
      </c>
      <c r="L58" s="5">
        <f>DAY(Table1[[#This Row],[Date]])</f>
        <v>6</v>
      </c>
      <c r="M58" s="5" t="str">
        <f t="shared" si="1"/>
        <v>Sep</v>
      </c>
    </row>
    <row r="59" spans="1:13" x14ac:dyDescent="0.25">
      <c r="A59" s="2">
        <v>38259</v>
      </c>
      <c r="B59" t="s">
        <v>11</v>
      </c>
      <c r="C59" t="s">
        <v>18</v>
      </c>
      <c r="D59" t="s">
        <v>16</v>
      </c>
      <c r="E59" t="s">
        <v>25</v>
      </c>
      <c r="F59" s="3">
        <v>2626.73</v>
      </c>
      <c r="G59" s="3">
        <v>3862.84</v>
      </c>
      <c r="H59" s="3">
        <f>Table1[[#This Row],[Sale]]-Table1[[#This Row],[Cost]]</f>
        <v>1236.1100000000001</v>
      </c>
      <c r="I59" s="4">
        <f>Table1[[#This Row],[Profit]]/Table1[[#This Row],[Sale]]</f>
        <v>0.32000031065226625</v>
      </c>
      <c r="J59" s="5">
        <f t="shared" si="0"/>
        <v>2004</v>
      </c>
      <c r="K59" s="5">
        <f>MONTH(Table1[[#This Row],[Date]])</f>
        <v>9</v>
      </c>
      <c r="L59" s="5">
        <f>DAY(Table1[[#This Row],[Date]])</f>
        <v>29</v>
      </c>
      <c r="M59" s="5" t="str">
        <f t="shared" si="1"/>
        <v>Sep</v>
      </c>
    </row>
    <row r="60" spans="1:13" x14ac:dyDescent="0.25">
      <c r="A60" s="2">
        <v>38839</v>
      </c>
      <c r="B60" t="s">
        <v>26</v>
      </c>
      <c r="C60" t="s">
        <v>23</v>
      </c>
      <c r="D60" t="s">
        <v>16</v>
      </c>
      <c r="E60" t="s">
        <v>20</v>
      </c>
      <c r="F60" s="3">
        <v>5363.04</v>
      </c>
      <c r="G60" s="3">
        <v>7886.83</v>
      </c>
      <c r="H60" s="3">
        <f>Table1[[#This Row],[Sale]]-Table1[[#This Row],[Cost]]</f>
        <v>2523.79</v>
      </c>
      <c r="I60" s="4">
        <f>Table1[[#This Row],[Profit]]/Table1[[#This Row],[Sale]]</f>
        <v>0.32000055789208087</v>
      </c>
      <c r="J60" s="5">
        <f t="shared" si="0"/>
        <v>2006</v>
      </c>
      <c r="K60" s="5">
        <f>MONTH(Table1[[#This Row],[Date]])</f>
        <v>5</v>
      </c>
      <c r="L60" s="5">
        <f>DAY(Table1[[#This Row],[Date]])</f>
        <v>2</v>
      </c>
      <c r="M60" s="5" t="str">
        <f t="shared" si="1"/>
        <v>May</v>
      </c>
    </row>
    <row r="61" spans="1:13" x14ac:dyDescent="0.25">
      <c r="A61" s="2">
        <v>38654</v>
      </c>
      <c r="B61" t="s">
        <v>22</v>
      </c>
      <c r="C61" t="s">
        <v>29</v>
      </c>
      <c r="D61" t="s">
        <v>19</v>
      </c>
      <c r="E61" t="s">
        <v>20</v>
      </c>
      <c r="F61" s="3">
        <v>2969.99</v>
      </c>
      <c r="G61" s="3">
        <v>8027</v>
      </c>
      <c r="H61" s="3">
        <f>Table1[[#This Row],[Sale]]-Table1[[#This Row],[Cost]]</f>
        <v>5057.01</v>
      </c>
      <c r="I61" s="4">
        <f>Table1[[#This Row],[Profit]]/Table1[[#This Row],[Sale]]</f>
        <v>0.63</v>
      </c>
      <c r="J61" s="5">
        <f t="shared" si="0"/>
        <v>2005</v>
      </c>
      <c r="K61" s="5">
        <f>MONTH(Table1[[#This Row],[Date]])</f>
        <v>10</v>
      </c>
      <c r="L61" s="5">
        <f>DAY(Table1[[#This Row],[Date]])</f>
        <v>29</v>
      </c>
      <c r="M61" s="5" t="str">
        <f t="shared" si="1"/>
        <v>Oct</v>
      </c>
    </row>
    <row r="62" spans="1:13" x14ac:dyDescent="0.25">
      <c r="A62" s="2">
        <v>38550</v>
      </c>
      <c r="B62" t="s">
        <v>21</v>
      </c>
      <c r="C62" t="s">
        <v>18</v>
      </c>
      <c r="D62" t="s">
        <v>13</v>
      </c>
      <c r="E62" t="s">
        <v>20</v>
      </c>
      <c r="F62" s="3">
        <v>4164.34</v>
      </c>
      <c r="G62" s="3">
        <v>5552.45</v>
      </c>
      <c r="H62" s="3">
        <f>Table1[[#This Row],[Sale]]-Table1[[#This Row],[Cost]]</f>
        <v>1388.1099999999997</v>
      </c>
      <c r="I62" s="4">
        <f>Table1[[#This Row],[Profit]]/Table1[[#This Row],[Sale]]</f>
        <v>0.24999954974830926</v>
      </c>
      <c r="J62" s="5">
        <f t="shared" si="0"/>
        <v>2005</v>
      </c>
      <c r="K62" s="5">
        <f>MONTH(Table1[[#This Row],[Date]])</f>
        <v>7</v>
      </c>
      <c r="L62" s="5">
        <f>DAY(Table1[[#This Row],[Date]])</f>
        <v>17</v>
      </c>
      <c r="M62" s="5" t="str">
        <f t="shared" si="1"/>
        <v>Jul</v>
      </c>
    </row>
    <row r="63" spans="1:13" x14ac:dyDescent="0.25">
      <c r="A63" s="2">
        <v>38695</v>
      </c>
      <c r="B63" t="s">
        <v>26</v>
      </c>
      <c r="C63" t="s">
        <v>18</v>
      </c>
      <c r="D63" t="s">
        <v>28</v>
      </c>
      <c r="E63" t="s">
        <v>24</v>
      </c>
      <c r="F63" s="3">
        <v>1479.24</v>
      </c>
      <c r="G63" s="3">
        <v>3287.19</v>
      </c>
      <c r="H63" s="3">
        <f>Table1[[#This Row],[Sale]]-Table1[[#This Row],[Cost]]</f>
        <v>1807.95</v>
      </c>
      <c r="I63" s="4">
        <f>Table1[[#This Row],[Profit]]/Table1[[#This Row],[Sale]]</f>
        <v>0.54999863104961988</v>
      </c>
      <c r="J63" s="5">
        <f t="shared" si="0"/>
        <v>2005</v>
      </c>
      <c r="K63" s="5">
        <f>MONTH(Table1[[#This Row],[Date]])</f>
        <v>12</v>
      </c>
      <c r="L63" s="5">
        <f>DAY(Table1[[#This Row],[Date]])</f>
        <v>9</v>
      </c>
      <c r="M63" s="5" t="str">
        <f t="shared" si="1"/>
        <v>Dec</v>
      </c>
    </row>
    <row r="64" spans="1:13" x14ac:dyDescent="0.25">
      <c r="A64" s="2">
        <v>38883</v>
      </c>
      <c r="B64" t="s">
        <v>21</v>
      </c>
      <c r="C64" t="s">
        <v>29</v>
      </c>
      <c r="D64" t="s">
        <v>16</v>
      </c>
      <c r="E64" t="s">
        <v>14</v>
      </c>
      <c r="F64" s="3">
        <v>6971.5</v>
      </c>
      <c r="G64" s="3">
        <v>9295.33</v>
      </c>
      <c r="H64" s="3">
        <f>Table1[[#This Row],[Sale]]-Table1[[#This Row],[Cost]]</f>
        <v>2323.83</v>
      </c>
      <c r="I64" s="4">
        <f>Table1[[#This Row],[Profit]]/Table1[[#This Row],[Sale]]</f>
        <v>0.24999973104774117</v>
      </c>
      <c r="J64" s="5">
        <f t="shared" si="0"/>
        <v>2006</v>
      </c>
      <c r="K64" s="5">
        <f>MONTH(Table1[[#This Row],[Date]])</f>
        <v>6</v>
      </c>
      <c r="L64" s="5">
        <f>DAY(Table1[[#This Row],[Date]])</f>
        <v>15</v>
      </c>
      <c r="M64" s="5" t="str">
        <f t="shared" si="1"/>
        <v>Jun</v>
      </c>
    </row>
    <row r="65" spans="1:13" x14ac:dyDescent="0.25">
      <c r="A65" s="2">
        <v>38637</v>
      </c>
      <c r="B65" t="s">
        <v>26</v>
      </c>
      <c r="C65" t="s">
        <v>23</v>
      </c>
      <c r="D65" t="s">
        <v>19</v>
      </c>
      <c r="E65" t="s">
        <v>14</v>
      </c>
      <c r="F65" s="3">
        <v>5599.62</v>
      </c>
      <c r="G65" s="3">
        <v>9490.8799999999992</v>
      </c>
      <c r="H65" s="3">
        <f>Table1[[#This Row],[Sale]]-Table1[[#This Row],[Cost]]</f>
        <v>3891.2599999999993</v>
      </c>
      <c r="I65" s="4">
        <f>Table1[[#This Row],[Profit]]/Table1[[#This Row],[Sale]]</f>
        <v>0.40999991570855387</v>
      </c>
      <c r="J65" s="5">
        <f t="shared" si="0"/>
        <v>2005</v>
      </c>
      <c r="K65" s="5">
        <f>MONTH(Table1[[#This Row],[Date]])</f>
        <v>10</v>
      </c>
      <c r="L65" s="5">
        <f>DAY(Table1[[#This Row],[Date]])</f>
        <v>12</v>
      </c>
      <c r="M65" s="5" t="str">
        <f t="shared" si="1"/>
        <v>Oct</v>
      </c>
    </row>
    <row r="66" spans="1:13" x14ac:dyDescent="0.25">
      <c r="A66" s="2">
        <v>38480</v>
      </c>
      <c r="B66" t="s">
        <v>22</v>
      </c>
      <c r="C66" t="s">
        <v>18</v>
      </c>
      <c r="D66" t="s">
        <v>16</v>
      </c>
      <c r="E66" t="s">
        <v>14</v>
      </c>
      <c r="F66" s="3">
        <v>2864.64</v>
      </c>
      <c r="G66" s="3">
        <v>7742.27</v>
      </c>
      <c r="H66" s="3">
        <f>Table1[[#This Row],[Sale]]-Table1[[#This Row],[Cost]]</f>
        <v>4877.630000000001</v>
      </c>
      <c r="I66" s="4">
        <f>Table1[[#This Row],[Profit]]/Table1[[#This Row],[Sale]]</f>
        <v>0.62999998708389149</v>
      </c>
      <c r="J66" s="5">
        <f t="shared" ref="J66:J129" si="2">YEAR(A:A)</f>
        <v>2005</v>
      </c>
      <c r="K66" s="5">
        <f>MONTH(Table1[[#This Row],[Date]])</f>
        <v>5</v>
      </c>
      <c r="L66" s="5">
        <f>DAY(Table1[[#This Row],[Date]])</f>
        <v>8</v>
      </c>
      <c r="M66" s="5" t="str">
        <f t="shared" ref="M66:M129" si="3">CHOOSE(K66,"Jan", "Feb", "Mar", "Apr", "May", "Jun", "Jul", "Aug", "Sep", "Oct", "Nov", "Dec")</f>
        <v>May</v>
      </c>
    </row>
    <row r="67" spans="1:13" x14ac:dyDescent="0.25">
      <c r="A67" s="2">
        <v>38548</v>
      </c>
      <c r="B67" t="s">
        <v>21</v>
      </c>
      <c r="C67" t="s">
        <v>12</v>
      </c>
      <c r="D67" t="s">
        <v>13</v>
      </c>
      <c r="E67" t="s">
        <v>24</v>
      </c>
      <c r="F67" s="3">
        <v>3145.57</v>
      </c>
      <c r="G67" s="3">
        <v>3364.25</v>
      </c>
      <c r="H67" s="3">
        <f>Table1[[#This Row],[Sale]]-Table1[[#This Row],[Cost]]</f>
        <v>218.67999999999984</v>
      </c>
      <c r="I67" s="4">
        <f>Table1[[#This Row],[Profit]]/Table1[[#This Row],[Sale]]</f>
        <v>6.5001114661514411E-2</v>
      </c>
      <c r="J67" s="5">
        <f t="shared" si="2"/>
        <v>2005</v>
      </c>
      <c r="K67" s="5">
        <f>MONTH(Table1[[#This Row],[Date]])</f>
        <v>7</v>
      </c>
      <c r="L67" s="5">
        <f>DAY(Table1[[#This Row],[Date]])</f>
        <v>15</v>
      </c>
      <c r="M67" s="5" t="str">
        <f t="shared" si="3"/>
        <v>Jul</v>
      </c>
    </row>
    <row r="68" spans="1:13" x14ac:dyDescent="0.25">
      <c r="A68" s="2">
        <v>38700</v>
      </c>
      <c r="B68" t="s">
        <v>22</v>
      </c>
      <c r="C68" t="s">
        <v>27</v>
      </c>
      <c r="D68" t="s">
        <v>13</v>
      </c>
      <c r="E68" t="s">
        <v>24</v>
      </c>
      <c r="F68" s="3">
        <v>3963.24</v>
      </c>
      <c r="G68" s="3">
        <v>8807.2000000000007</v>
      </c>
      <c r="H68" s="3">
        <f>Table1[[#This Row],[Sale]]-Table1[[#This Row],[Cost]]</f>
        <v>4843.9600000000009</v>
      </c>
      <c r="I68" s="4">
        <f>Table1[[#This Row],[Profit]]/Table1[[#This Row],[Sale]]</f>
        <v>0.55000000000000004</v>
      </c>
      <c r="J68" s="5">
        <f t="shared" si="2"/>
        <v>2005</v>
      </c>
      <c r="K68" s="5">
        <f>MONTH(Table1[[#This Row],[Date]])</f>
        <v>12</v>
      </c>
      <c r="L68" s="5">
        <f>DAY(Table1[[#This Row],[Date]])</f>
        <v>14</v>
      </c>
      <c r="M68" s="5" t="str">
        <f t="shared" si="3"/>
        <v>Dec</v>
      </c>
    </row>
    <row r="69" spans="1:13" x14ac:dyDescent="0.25">
      <c r="A69" s="2">
        <v>38581</v>
      </c>
      <c r="B69" t="s">
        <v>26</v>
      </c>
      <c r="C69" t="s">
        <v>23</v>
      </c>
      <c r="D69" t="s">
        <v>19</v>
      </c>
      <c r="E69" t="s">
        <v>14</v>
      </c>
      <c r="F69" s="3">
        <v>1738.62</v>
      </c>
      <c r="G69" s="3">
        <v>2556.8000000000002</v>
      </c>
      <c r="H69" s="3">
        <f>Table1[[#This Row],[Sale]]-Table1[[#This Row],[Cost]]</f>
        <v>818.18000000000029</v>
      </c>
      <c r="I69" s="4">
        <f>Table1[[#This Row],[Profit]]/Table1[[#This Row],[Sale]]</f>
        <v>0.32000156445556954</v>
      </c>
      <c r="J69" s="5">
        <f t="shared" si="2"/>
        <v>2005</v>
      </c>
      <c r="K69" s="5">
        <f>MONTH(Table1[[#This Row],[Date]])</f>
        <v>8</v>
      </c>
      <c r="L69" s="5">
        <f>DAY(Table1[[#This Row],[Date]])</f>
        <v>17</v>
      </c>
      <c r="M69" s="5" t="str">
        <f t="shared" si="3"/>
        <v>Aug</v>
      </c>
    </row>
    <row r="70" spans="1:13" x14ac:dyDescent="0.25">
      <c r="A70" s="2">
        <v>38362</v>
      </c>
      <c r="B70" t="s">
        <v>15</v>
      </c>
      <c r="C70" t="s">
        <v>18</v>
      </c>
      <c r="D70" t="s">
        <v>13</v>
      </c>
      <c r="E70" t="s">
        <v>20</v>
      </c>
      <c r="F70" s="3">
        <v>988.24</v>
      </c>
      <c r="G70" s="3">
        <v>1056.94</v>
      </c>
      <c r="H70" s="3">
        <f>Table1[[#This Row],[Sale]]-Table1[[#This Row],[Cost]]</f>
        <v>68.700000000000045</v>
      </c>
      <c r="I70" s="4">
        <f>Table1[[#This Row],[Profit]]/Table1[[#This Row],[Sale]]</f>
        <v>6.4998959259749883E-2</v>
      </c>
      <c r="J70" s="5">
        <f t="shared" si="2"/>
        <v>2005</v>
      </c>
      <c r="K70" s="5">
        <f>MONTH(Table1[[#This Row],[Date]])</f>
        <v>1</v>
      </c>
      <c r="L70" s="5">
        <f>DAY(Table1[[#This Row],[Date]])</f>
        <v>10</v>
      </c>
      <c r="M70" s="5" t="str">
        <f t="shared" si="3"/>
        <v>Jan</v>
      </c>
    </row>
    <row r="71" spans="1:13" x14ac:dyDescent="0.25">
      <c r="A71" s="2">
        <v>38662</v>
      </c>
      <c r="B71" t="s">
        <v>21</v>
      </c>
      <c r="C71" t="s">
        <v>27</v>
      </c>
      <c r="D71" t="s">
        <v>19</v>
      </c>
      <c r="E71" t="s">
        <v>14</v>
      </c>
      <c r="F71" s="3">
        <v>3078.67</v>
      </c>
      <c r="G71" s="3">
        <v>4527.45</v>
      </c>
      <c r="H71" s="3">
        <f>Table1[[#This Row],[Sale]]-Table1[[#This Row],[Cost]]</f>
        <v>1448.7799999999997</v>
      </c>
      <c r="I71" s="4">
        <f>Table1[[#This Row],[Profit]]/Table1[[#This Row],[Sale]]</f>
        <v>0.31999911650045826</v>
      </c>
      <c r="J71" s="5">
        <f t="shared" si="2"/>
        <v>2005</v>
      </c>
      <c r="K71" s="5">
        <f>MONTH(Table1[[#This Row],[Date]])</f>
        <v>11</v>
      </c>
      <c r="L71" s="5">
        <f>DAY(Table1[[#This Row],[Date]])</f>
        <v>6</v>
      </c>
      <c r="M71" s="5" t="str">
        <f t="shared" si="3"/>
        <v>Nov</v>
      </c>
    </row>
    <row r="72" spans="1:13" x14ac:dyDescent="0.25">
      <c r="A72" s="2">
        <v>38407</v>
      </c>
      <c r="B72" t="s">
        <v>15</v>
      </c>
      <c r="C72" t="s">
        <v>29</v>
      </c>
      <c r="D72" t="s">
        <v>13</v>
      </c>
      <c r="E72" t="s">
        <v>25</v>
      </c>
      <c r="F72" s="3">
        <v>655.19000000000005</v>
      </c>
      <c r="G72" s="3">
        <v>1191.25</v>
      </c>
      <c r="H72" s="3">
        <f>Table1[[#This Row],[Sale]]-Table1[[#This Row],[Cost]]</f>
        <v>536.05999999999995</v>
      </c>
      <c r="I72" s="4">
        <f>Table1[[#This Row],[Profit]]/Table1[[#This Row],[Sale]]</f>
        <v>0.44999790136411327</v>
      </c>
      <c r="J72" s="5">
        <f t="shared" si="2"/>
        <v>2005</v>
      </c>
      <c r="K72" s="5">
        <f>MONTH(Table1[[#This Row],[Date]])</f>
        <v>2</v>
      </c>
      <c r="L72" s="5">
        <f>DAY(Table1[[#This Row],[Date]])</f>
        <v>24</v>
      </c>
      <c r="M72" s="5" t="str">
        <f t="shared" si="3"/>
        <v>Feb</v>
      </c>
    </row>
    <row r="73" spans="1:13" x14ac:dyDescent="0.25">
      <c r="A73" s="2">
        <v>38825</v>
      </c>
      <c r="B73" t="s">
        <v>11</v>
      </c>
      <c r="C73" t="s">
        <v>18</v>
      </c>
      <c r="D73" t="s">
        <v>19</v>
      </c>
      <c r="E73" t="s">
        <v>25</v>
      </c>
      <c r="F73" s="3">
        <v>2322.14</v>
      </c>
      <c r="G73" s="3">
        <v>4222.07</v>
      </c>
      <c r="H73" s="3">
        <f>Table1[[#This Row],[Sale]]-Table1[[#This Row],[Cost]]</f>
        <v>1899.9299999999998</v>
      </c>
      <c r="I73" s="4">
        <f>Table1[[#This Row],[Profit]]/Table1[[#This Row],[Sale]]</f>
        <v>0.44999964472403348</v>
      </c>
      <c r="J73" s="5">
        <f t="shared" si="2"/>
        <v>2006</v>
      </c>
      <c r="K73" s="5">
        <f>MONTH(Table1[[#This Row],[Date]])</f>
        <v>4</v>
      </c>
      <c r="L73" s="5">
        <f>DAY(Table1[[#This Row],[Date]])</f>
        <v>18</v>
      </c>
      <c r="M73" s="5" t="str">
        <f t="shared" si="3"/>
        <v>Apr</v>
      </c>
    </row>
    <row r="74" spans="1:13" x14ac:dyDescent="0.25">
      <c r="A74" s="2">
        <v>38397</v>
      </c>
      <c r="B74" t="s">
        <v>22</v>
      </c>
      <c r="C74" t="s">
        <v>27</v>
      </c>
      <c r="D74" t="s">
        <v>28</v>
      </c>
      <c r="E74" t="s">
        <v>25</v>
      </c>
      <c r="F74" s="3">
        <v>1698.67</v>
      </c>
      <c r="G74" s="3">
        <v>4590.99</v>
      </c>
      <c r="H74" s="3">
        <f>Table1[[#This Row],[Sale]]-Table1[[#This Row],[Cost]]</f>
        <v>2892.3199999999997</v>
      </c>
      <c r="I74" s="4">
        <f>Table1[[#This Row],[Profit]]/Table1[[#This Row],[Sale]]</f>
        <v>0.62999919407360938</v>
      </c>
      <c r="J74" s="5">
        <f t="shared" si="2"/>
        <v>2005</v>
      </c>
      <c r="K74" s="5">
        <f>MONTH(Table1[[#This Row],[Date]])</f>
        <v>2</v>
      </c>
      <c r="L74" s="5">
        <f>DAY(Table1[[#This Row],[Date]])</f>
        <v>14</v>
      </c>
      <c r="M74" s="5" t="str">
        <f t="shared" si="3"/>
        <v>Feb</v>
      </c>
    </row>
    <row r="75" spans="1:13" x14ac:dyDescent="0.25">
      <c r="A75" s="2">
        <v>38847</v>
      </c>
      <c r="B75" t="s">
        <v>11</v>
      </c>
      <c r="C75" t="s">
        <v>29</v>
      </c>
      <c r="D75" t="s">
        <v>19</v>
      </c>
      <c r="E75" t="s">
        <v>20</v>
      </c>
      <c r="F75" s="3">
        <v>2236.34</v>
      </c>
      <c r="G75" s="3">
        <v>3790.41</v>
      </c>
      <c r="H75" s="3">
        <f>Table1[[#This Row],[Sale]]-Table1[[#This Row],[Cost]]</f>
        <v>1554.0699999999997</v>
      </c>
      <c r="I75" s="4">
        <f>Table1[[#This Row],[Profit]]/Table1[[#This Row],[Sale]]</f>
        <v>0.41000050126503457</v>
      </c>
      <c r="J75" s="5">
        <f t="shared" si="2"/>
        <v>2006</v>
      </c>
      <c r="K75" s="5">
        <f>MONTH(Table1[[#This Row],[Date]])</f>
        <v>5</v>
      </c>
      <c r="L75" s="5">
        <f>DAY(Table1[[#This Row],[Date]])</f>
        <v>10</v>
      </c>
      <c r="M75" s="5" t="str">
        <f t="shared" si="3"/>
        <v>May</v>
      </c>
    </row>
    <row r="76" spans="1:13" x14ac:dyDescent="0.25">
      <c r="A76" s="2">
        <v>38391</v>
      </c>
      <c r="B76" t="s">
        <v>15</v>
      </c>
      <c r="C76" t="s">
        <v>12</v>
      </c>
      <c r="D76" t="s">
        <v>16</v>
      </c>
      <c r="E76" t="s">
        <v>14</v>
      </c>
      <c r="F76" s="3">
        <v>3726.31</v>
      </c>
      <c r="G76" s="3">
        <v>4234.4399999999996</v>
      </c>
      <c r="H76" s="3">
        <f>Table1[[#This Row],[Sale]]-Table1[[#This Row],[Cost]]</f>
        <v>508.12999999999965</v>
      </c>
      <c r="I76" s="4">
        <f>Table1[[#This Row],[Profit]]/Table1[[#This Row],[Sale]]</f>
        <v>0.11999933875553785</v>
      </c>
      <c r="J76" s="5">
        <f t="shared" si="2"/>
        <v>2005</v>
      </c>
      <c r="K76" s="5">
        <f>MONTH(Table1[[#This Row],[Date]])</f>
        <v>2</v>
      </c>
      <c r="L76" s="5">
        <f>DAY(Table1[[#This Row],[Date]])</f>
        <v>8</v>
      </c>
      <c r="M76" s="5" t="str">
        <f t="shared" si="3"/>
        <v>Feb</v>
      </c>
    </row>
    <row r="77" spans="1:13" x14ac:dyDescent="0.25">
      <c r="A77" s="2">
        <v>38157</v>
      </c>
      <c r="B77" t="s">
        <v>11</v>
      </c>
      <c r="C77" t="s">
        <v>29</v>
      </c>
      <c r="D77" t="s">
        <v>13</v>
      </c>
      <c r="E77" t="s">
        <v>14</v>
      </c>
      <c r="F77" s="3">
        <v>3623.94</v>
      </c>
      <c r="G77" s="3">
        <v>8427.77</v>
      </c>
      <c r="H77" s="3">
        <f>Table1[[#This Row],[Sale]]-Table1[[#This Row],[Cost]]</f>
        <v>4803.83</v>
      </c>
      <c r="I77" s="4">
        <f>Table1[[#This Row],[Profit]]/Table1[[#This Row],[Sale]]</f>
        <v>0.57000013052088505</v>
      </c>
      <c r="J77" s="5">
        <f t="shared" si="2"/>
        <v>2004</v>
      </c>
      <c r="K77" s="5">
        <f>MONTH(Table1[[#This Row],[Date]])</f>
        <v>6</v>
      </c>
      <c r="L77" s="5">
        <f>DAY(Table1[[#This Row],[Date]])</f>
        <v>19</v>
      </c>
      <c r="M77" s="5" t="str">
        <f t="shared" si="3"/>
        <v>Jun</v>
      </c>
    </row>
    <row r="78" spans="1:13" x14ac:dyDescent="0.25">
      <c r="A78" s="2">
        <v>38356</v>
      </c>
      <c r="B78" t="s">
        <v>22</v>
      </c>
      <c r="C78" t="s">
        <v>29</v>
      </c>
      <c r="D78" t="s">
        <v>19</v>
      </c>
      <c r="E78" t="s">
        <v>20</v>
      </c>
      <c r="F78" s="3">
        <v>3692.12</v>
      </c>
      <c r="G78" s="3">
        <v>8586.32</v>
      </c>
      <c r="H78" s="3">
        <f>Table1[[#This Row],[Sale]]-Table1[[#This Row],[Cost]]</f>
        <v>4894.2</v>
      </c>
      <c r="I78" s="4">
        <f>Table1[[#This Row],[Profit]]/Table1[[#This Row],[Sale]]</f>
        <v>0.56999972048560965</v>
      </c>
      <c r="J78" s="5">
        <f t="shared" si="2"/>
        <v>2005</v>
      </c>
      <c r="K78" s="5">
        <f>MONTH(Table1[[#This Row],[Date]])</f>
        <v>1</v>
      </c>
      <c r="L78" s="5">
        <f>DAY(Table1[[#This Row],[Date]])</f>
        <v>4</v>
      </c>
      <c r="M78" s="5" t="str">
        <f t="shared" si="3"/>
        <v>Jan</v>
      </c>
    </row>
    <row r="79" spans="1:13" x14ac:dyDescent="0.25">
      <c r="A79" s="2">
        <v>38439</v>
      </c>
      <c r="B79" t="s">
        <v>22</v>
      </c>
      <c r="C79" t="s">
        <v>27</v>
      </c>
      <c r="D79" t="s">
        <v>19</v>
      </c>
      <c r="E79" t="s">
        <v>25</v>
      </c>
      <c r="F79" s="3">
        <v>2294.36</v>
      </c>
      <c r="G79" s="3">
        <v>2453.86</v>
      </c>
      <c r="H79" s="3">
        <f>Table1[[#This Row],[Sale]]-Table1[[#This Row],[Cost]]</f>
        <v>159.5</v>
      </c>
      <c r="I79" s="4">
        <f>Table1[[#This Row],[Profit]]/Table1[[#This Row],[Sale]]</f>
        <v>6.4999633230909667E-2</v>
      </c>
      <c r="J79" s="5">
        <f t="shared" si="2"/>
        <v>2005</v>
      </c>
      <c r="K79" s="5">
        <f>MONTH(Table1[[#This Row],[Date]])</f>
        <v>3</v>
      </c>
      <c r="L79" s="5">
        <f>DAY(Table1[[#This Row],[Date]])</f>
        <v>28</v>
      </c>
      <c r="M79" s="5" t="str">
        <f t="shared" si="3"/>
        <v>Mar</v>
      </c>
    </row>
    <row r="80" spans="1:13" x14ac:dyDescent="0.25">
      <c r="A80" s="2">
        <v>38679</v>
      </c>
      <c r="B80" t="s">
        <v>21</v>
      </c>
      <c r="C80" t="s">
        <v>23</v>
      </c>
      <c r="D80" t="s">
        <v>19</v>
      </c>
      <c r="E80" t="s">
        <v>25</v>
      </c>
      <c r="F80" s="3">
        <v>3666.64</v>
      </c>
      <c r="G80" s="3">
        <v>4888.8500000000004</v>
      </c>
      <c r="H80" s="3">
        <f>Table1[[#This Row],[Sale]]-Table1[[#This Row],[Cost]]</f>
        <v>1222.2100000000005</v>
      </c>
      <c r="I80" s="4">
        <f>Table1[[#This Row],[Profit]]/Table1[[#This Row],[Sale]]</f>
        <v>0.24999948863229601</v>
      </c>
      <c r="J80" s="5">
        <f t="shared" si="2"/>
        <v>2005</v>
      </c>
      <c r="K80" s="5">
        <f>MONTH(Table1[[#This Row],[Date]])</f>
        <v>11</v>
      </c>
      <c r="L80" s="5">
        <f>DAY(Table1[[#This Row],[Date]])</f>
        <v>23</v>
      </c>
      <c r="M80" s="5" t="str">
        <f t="shared" si="3"/>
        <v>Nov</v>
      </c>
    </row>
    <row r="81" spans="1:13" x14ac:dyDescent="0.25">
      <c r="A81" s="2">
        <v>38370</v>
      </c>
      <c r="B81" t="s">
        <v>26</v>
      </c>
      <c r="C81" t="s">
        <v>29</v>
      </c>
      <c r="D81" t="s">
        <v>13</v>
      </c>
      <c r="E81" t="s">
        <v>20</v>
      </c>
      <c r="F81" s="3">
        <v>3657.28</v>
      </c>
      <c r="G81" s="3">
        <v>9884.5499999999993</v>
      </c>
      <c r="H81" s="3">
        <f>Table1[[#This Row],[Sale]]-Table1[[#This Row],[Cost]]</f>
        <v>6227.2699999999986</v>
      </c>
      <c r="I81" s="4">
        <f>Table1[[#This Row],[Profit]]/Table1[[#This Row],[Sale]]</f>
        <v>0.63000035408794519</v>
      </c>
      <c r="J81" s="5">
        <f t="shared" si="2"/>
        <v>2005</v>
      </c>
      <c r="K81" s="5">
        <f>MONTH(Table1[[#This Row],[Date]])</f>
        <v>1</v>
      </c>
      <c r="L81" s="5">
        <f>DAY(Table1[[#This Row],[Date]])</f>
        <v>18</v>
      </c>
      <c r="M81" s="5" t="str">
        <f t="shared" si="3"/>
        <v>Jan</v>
      </c>
    </row>
    <row r="82" spans="1:13" x14ac:dyDescent="0.25">
      <c r="A82" s="2">
        <v>38366</v>
      </c>
      <c r="B82" t="s">
        <v>21</v>
      </c>
      <c r="C82" t="s">
        <v>23</v>
      </c>
      <c r="D82" t="s">
        <v>28</v>
      </c>
      <c r="E82" t="s">
        <v>25</v>
      </c>
      <c r="F82" s="3">
        <v>2206.5100000000002</v>
      </c>
      <c r="G82" s="3">
        <v>5963.54</v>
      </c>
      <c r="H82" s="3">
        <f>Table1[[#This Row],[Sale]]-Table1[[#This Row],[Cost]]</f>
        <v>3757.0299999999997</v>
      </c>
      <c r="I82" s="4">
        <f>Table1[[#This Row],[Profit]]/Table1[[#This Row],[Sale]]</f>
        <v>0.62999996646287271</v>
      </c>
      <c r="J82" s="5">
        <f t="shared" si="2"/>
        <v>2005</v>
      </c>
      <c r="K82" s="5">
        <f>MONTH(Table1[[#This Row],[Date]])</f>
        <v>1</v>
      </c>
      <c r="L82" s="5">
        <f>DAY(Table1[[#This Row],[Date]])</f>
        <v>14</v>
      </c>
      <c r="M82" s="5" t="str">
        <f t="shared" si="3"/>
        <v>Jan</v>
      </c>
    </row>
    <row r="83" spans="1:13" x14ac:dyDescent="0.25">
      <c r="A83" s="2">
        <v>38791</v>
      </c>
      <c r="B83" t="s">
        <v>21</v>
      </c>
      <c r="C83" t="s">
        <v>23</v>
      </c>
      <c r="D83" t="s">
        <v>13</v>
      </c>
      <c r="E83" t="s">
        <v>25</v>
      </c>
      <c r="F83" s="3">
        <v>5948.17</v>
      </c>
      <c r="G83" s="3">
        <v>6759.28</v>
      </c>
      <c r="H83" s="3">
        <f>Table1[[#This Row],[Sale]]-Table1[[#This Row],[Cost]]</f>
        <v>811.10999999999967</v>
      </c>
      <c r="I83" s="4">
        <f>Table1[[#This Row],[Profit]]/Table1[[#This Row],[Sale]]</f>
        <v>0.11999946739889451</v>
      </c>
      <c r="J83" s="5">
        <f t="shared" si="2"/>
        <v>2006</v>
      </c>
      <c r="K83" s="5">
        <f>MONTH(Table1[[#This Row],[Date]])</f>
        <v>3</v>
      </c>
      <c r="L83" s="5">
        <f>DAY(Table1[[#This Row],[Date]])</f>
        <v>15</v>
      </c>
      <c r="M83" s="5" t="str">
        <f t="shared" si="3"/>
        <v>Mar</v>
      </c>
    </row>
    <row r="84" spans="1:13" x14ac:dyDescent="0.25">
      <c r="A84" s="2">
        <v>38465</v>
      </c>
      <c r="B84" t="s">
        <v>21</v>
      </c>
      <c r="C84" t="s">
        <v>18</v>
      </c>
      <c r="D84" t="s">
        <v>28</v>
      </c>
      <c r="E84" t="s">
        <v>20</v>
      </c>
      <c r="F84" s="3">
        <v>406.71</v>
      </c>
      <c r="G84" s="3">
        <v>739.47</v>
      </c>
      <c r="H84" s="3">
        <f>Table1[[#This Row],[Sale]]-Table1[[#This Row],[Cost]]</f>
        <v>332.76000000000005</v>
      </c>
      <c r="I84" s="4">
        <f>Table1[[#This Row],[Profit]]/Table1[[#This Row],[Sale]]</f>
        <v>0.44999797152014287</v>
      </c>
      <c r="J84" s="5">
        <f t="shared" si="2"/>
        <v>2005</v>
      </c>
      <c r="K84" s="5">
        <f>MONTH(Table1[[#This Row],[Date]])</f>
        <v>4</v>
      </c>
      <c r="L84" s="5">
        <f>DAY(Table1[[#This Row],[Date]])</f>
        <v>23</v>
      </c>
      <c r="M84" s="5" t="str">
        <f t="shared" si="3"/>
        <v>Apr</v>
      </c>
    </row>
    <row r="85" spans="1:13" x14ac:dyDescent="0.25">
      <c r="A85" s="2">
        <v>38632</v>
      </c>
      <c r="B85" t="s">
        <v>22</v>
      </c>
      <c r="C85" t="s">
        <v>12</v>
      </c>
      <c r="D85" t="s">
        <v>19</v>
      </c>
      <c r="E85" t="s">
        <v>24</v>
      </c>
      <c r="F85" s="3">
        <v>3641.63</v>
      </c>
      <c r="G85" s="3">
        <v>6278.68</v>
      </c>
      <c r="H85" s="3">
        <f>Table1[[#This Row],[Sale]]-Table1[[#This Row],[Cost]]</f>
        <v>2637.05</v>
      </c>
      <c r="I85" s="4">
        <f>Table1[[#This Row],[Profit]]/Table1[[#This Row],[Sale]]</f>
        <v>0.42000070078424129</v>
      </c>
      <c r="J85" s="5">
        <f t="shared" si="2"/>
        <v>2005</v>
      </c>
      <c r="K85" s="5">
        <f>MONTH(Table1[[#This Row],[Date]])</f>
        <v>10</v>
      </c>
      <c r="L85" s="5">
        <f>DAY(Table1[[#This Row],[Date]])</f>
        <v>7</v>
      </c>
      <c r="M85" s="5" t="str">
        <f t="shared" si="3"/>
        <v>Oct</v>
      </c>
    </row>
    <row r="86" spans="1:13" x14ac:dyDescent="0.25">
      <c r="A86" s="2">
        <v>38816</v>
      </c>
      <c r="B86" t="s">
        <v>11</v>
      </c>
      <c r="C86" t="s">
        <v>12</v>
      </c>
      <c r="D86" t="s">
        <v>19</v>
      </c>
      <c r="E86" t="s">
        <v>14</v>
      </c>
      <c r="F86" s="3">
        <v>3119.48</v>
      </c>
      <c r="G86" s="3">
        <v>5671.78</v>
      </c>
      <c r="H86" s="3">
        <f>Table1[[#This Row],[Sale]]-Table1[[#This Row],[Cost]]</f>
        <v>2552.2999999999997</v>
      </c>
      <c r="I86" s="4">
        <f>Table1[[#This Row],[Profit]]/Table1[[#This Row],[Sale]]</f>
        <v>0.44999982368850694</v>
      </c>
      <c r="J86" s="5">
        <f t="shared" si="2"/>
        <v>2006</v>
      </c>
      <c r="K86" s="5">
        <f>MONTH(Table1[[#This Row],[Date]])</f>
        <v>4</v>
      </c>
      <c r="L86" s="5">
        <f>DAY(Table1[[#This Row],[Date]])</f>
        <v>9</v>
      </c>
      <c r="M86" s="5" t="str">
        <f t="shared" si="3"/>
        <v>Apr</v>
      </c>
    </row>
    <row r="87" spans="1:13" x14ac:dyDescent="0.25">
      <c r="A87" s="2">
        <v>38178</v>
      </c>
      <c r="B87" t="s">
        <v>17</v>
      </c>
      <c r="C87" t="s">
        <v>23</v>
      </c>
      <c r="D87" t="s">
        <v>19</v>
      </c>
      <c r="E87" t="s">
        <v>14</v>
      </c>
      <c r="F87" s="3">
        <v>3181.6</v>
      </c>
      <c r="G87" s="3">
        <v>7070.22</v>
      </c>
      <c r="H87" s="3">
        <f>Table1[[#This Row],[Sale]]-Table1[[#This Row],[Cost]]</f>
        <v>3888.6200000000003</v>
      </c>
      <c r="I87" s="4">
        <f>Table1[[#This Row],[Profit]]/Table1[[#This Row],[Sale]]</f>
        <v>0.54999985856168554</v>
      </c>
      <c r="J87" s="5">
        <f t="shared" si="2"/>
        <v>2004</v>
      </c>
      <c r="K87" s="5">
        <f>MONTH(Table1[[#This Row],[Date]])</f>
        <v>7</v>
      </c>
      <c r="L87" s="5">
        <f>DAY(Table1[[#This Row],[Date]])</f>
        <v>10</v>
      </c>
      <c r="M87" s="5" t="str">
        <f t="shared" si="3"/>
        <v>Jul</v>
      </c>
    </row>
    <row r="88" spans="1:13" x14ac:dyDescent="0.25">
      <c r="A88" s="2">
        <v>38365</v>
      </c>
      <c r="B88" t="s">
        <v>11</v>
      </c>
      <c r="C88" t="s">
        <v>29</v>
      </c>
      <c r="D88" t="s">
        <v>16</v>
      </c>
      <c r="E88" t="s">
        <v>24</v>
      </c>
      <c r="F88" s="3">
        <v>1268</v>
      </c>
      <c r="G88" s="3">
        <v>1690.67</v>
      </c>
      <c r="H88" s="3">
        <f>Table1[[#This Row],[Sale]]-Table1[[#This Row],[Cost]]</f>
        <v>422.67000000000007</v>
      </c>
      <c r="I88" s="4">
        <f>Table1[[#This Row],[Profit]]/Table1[[#This Row],[Sale]]</f>
        <v>0.2500014787037092</v>
      </c>
      <c r="J88" s="5">
        <f t="shared" si="2"/>
        <v>2005</v>
      </c>
      <c r="K88" s="5">
        <f>MONTH(Table1[[#This Row],[Date]])</f>
        <v>1</v>
      </c>
      <c r="L88" s="5">
        <f>DAY(Table1[[#This Row],[Date]])</f>
        <v>13</v>
      </c>
      <c r="M88" s="5" t="str">
        <f t="shared" si="3"/>
        <v>Jan</v>
      </c>
    </row>
    <row r="89" spans="1:13" x14ac:dyDescent="0.25">
      <c r="A89" s="2">
        <v>38205</v>
      </c>
      <c r="B89" t="s">
        <v>21</v>
      </c>
      <c r="C89" t="s">
        <v>12</v>
      </c>
      <c r="D89" t="s">
        <v>28</v>
      </c>
      <c r="E89" t="s">
        <v>20</v>
      </c>
      <c r="F89" s="3">
        <v>1600.32</v>
      </c>
      <c r="G89" s="3">
        <v>1818.55</v>
      </c>
      <c r="H89" s="3">
        <f>Table1[[#This Row],[Sale]]-Table1[[#This Row],[Cost]]</f>
        <v>218.23000000000002</v>
      </c>
      <c r="I89" s="4">
        <f>Table1[[#This Row],[Profit]]/Table1[[#This Row],[Sale]]</f>
        <v>0.12000219955459021</v>
      </c>
      <c r="J89" s="5">
        <f t="shared" si="2"/>
        <v>2004</v>
      </c>
      <c r="K89" s="5">
        <f>MONTH(Table1[[#This Row],[Date]])</f>
        <v>8</v>
      </c>
      <c r="L89" s="5">
        <f>DAY(Table1[[#This Row],[Date]])</f>
        <v>6</v>
      </c>
      <c r="M89" s="5" t="str">
        <f t="shared" si="3"/>
        <v>Aug</v>
      </c>
    </row>
    <row r="90" spans="1:13" x14ac:dyDescent="0.25">
      <c r="A90" s="2">
        <v>38427</v>
      </c>
      <c r="B90" t="s">
        <v>22</v>
      </c>
      <c r="C90" t="s">
        <v>29</v>
      </c>
      <c r="D90" t="s">
        <v>19</v>
      </c>
      <c r="E90" t="s">
        <v>14</v>
      </c>
      <c r="F90" s="3">
        <v>335.06</v>
      </c>
      <c r="G90" s="3">
        <v>609.20000000000005</v>
      </c>
      <c r="H90" s="3">
        <f>Table1[[#This Row],[Sale]]-Table1[[#This Row],[Cost]]</f>
        <v>274.14000000000004</v>
      </c>
      <c r="I90" s="4">
        <f>Table1[[#This Row],[Profit]]/Table1[[#This Row],[Sale]]</f>
        <v>0.45</v>
      </c>
      <c r="J90" s="5">
        <f t="shared" si="2"/>
        <v>2005</v>
      </c>
      <c r="K90" s="5">
        <f>MONTH(Table1[[#This Row],[Date]])</f>
        <v>3</v>
      </c>
      <c r="L90" s="5">
        <f>DAY(Table1[[#This Row],[Date]])</f>
        <v>16</v>
      </c>
      <c r="M90" s="5" t="str">
        <f t="shared" si="3"/>
        <v>Mar</v>
      </c>
    </row>
    <row r="91" spans="1:13" x14ac:dyDescent="0.25">
      <c r="A91" s="2">
        <v>38723</v>
      </c>
      <c r="B91" t="s">
        <v>17</v>
      </c>
      <c r="C91" t="s">
        <v>27</v>
      </c>
      <c r="D91" t="s">
        <v>19</v>
      </c>
      <c r="E91" t="s">
        <v>24</v>
      </c>
      <c r="F91" s="3">
        <v>8498.82</v>
      </c>
      <c r="G91" s="3">
        <v>9089.65</v>
      </c>
      <c r="H91" s="3">
        <f>Table1[[#This Row],[Sale]]-Table1[[#This Row],[Cost]]</f>
        <v>590.82999999999993</v>
      </c>
      <c r="I91" s="4">
        <f>Table1[[#This Row],[Profit]]/Table1[[#This Row],[Sale]]</f>
        <v>6.5000302541902047E-2</v>
      </c>
      <c r="J91" s="5">
        <f t="shared" si="2"/>
        <v>2006</v>
      </c>
      <c r="K91" s="5">
        <f>MONTH(Table1[[#This Row],[Date]])</f>
        <v>1</v>
      </c>
      <c r="L91" s="5">
        <f>DAY(Table1[[#This Row],[Date]])</f>
        <v>6</v>
      </c>
      <c r="M91" s="5" t="str">
        <f t="shared" si="3"/>
        <v>Jan</v>
      </c>
    </row>
    <row r="92" spans="1:13" x14ac:dyDescent="0.25">
      <c r="A92" s="2">
        <v>38494</v>
      </c>
      <c r="B92" t="s">
        <v>22</v>
      </c>
      <c r="C92" t="s">
        <v>29</v>
      </c>
      <c r="D92" t="s">
        <v>19</v>
      </c>
      <c r="E92" t="s">
        <v>20</v>
      </c>
      <c r="F92" s="3">
        <v>6011.22</v>
      </c>
      <c r="G92" s="3">
        <v>8840.0300000000007</v>
      </c>
      <c r="H92" s="3">
        <f>Table1[[#This Row],[Sale]]-Table1[[#This Row],[Cost]]</f>
        <v>2828.8100000000004</v>
      </c>
      <c r="I92" s="4">
        <f>Table1[[#This Row],[Profit]]/Table1[[#This Row],[Sale]]</f>
        <v>0.32000004524871523</v>
      </c>
      <c r="J92" s="5">
        <f t="shared" si="2"/>
        <v>2005</v>
      </c>
      <c r="K92" s="5">
        <f>MONTH(Table1[[#This Row],[Date]])</f>
        <v>5</v>
      </c>
      <c r="L92" s="5">
        <f>DAY(Table1[[#This Row],[Date]])</f>
        <v>22</v>
      </c>
      <c r="M92" s="5" t="str">
        <f t="shared" si="3"/>
        <v>May</v>
      </c>
    </row>
    <row r="93" spans="1:13" x14ac:dyDescent="0.25">
      <c r="A93" s="2">
        <v>38493</v>
      </c>
      <c r="B93" t="s">
        <v>15</v>
      </c>
      <c r="C93" t="s">
        <v>29</v>
      </c>
      <c r="D93" t="s">
        <v>28</v>
      </c>
      <c r="E93" t="s">
        <v>24</v>
      </c>
      <c r="F93" s="3">
        <v>4149.3500000000004</v>
      </c>
      <c r="G93" s="3">
        <v>7544.27</v>
      </c>
      <c r="H93" s="3">
        <f>Table1[[#This Row],[Sale]]-Table1[[#This Row],[Cost]]</f>
        <v>3394.92</v>
      </c>
      <c r="I93" s="4">
        <f>Table1[[#This Row],[Profit]]/Table1[[#This Row],[Sale]]</f>
        <v>0.44999980117360594</v>
      </c>
      <c r="J93" s="5">
        <f t="shared" si="2"/>
        <v>2005</v>
      </c>
      <c r="K93" s="5">
        <f>MONTH(Table1[[#This Row],[Date]])</f>
        <v>5</v>
      </c>
      <c r="L93" s="5">
        <f>DAY(Table1[[#This Row],[Date]])</f>
        <v>21</v>
      </c>
      <c r="M93" s="5" t="str">
        <f t="shared" si="3"/>
        <v>May</v>
      </c>
    </row>
    <row r="94" spans="1:13" x14ac:dyDescent="0.25">
      <c r="A94" s="2">
        <v>38847</v>
      </c>
      <c r="B94" t="s">
        <v>22</v>
      </c>
      <c r="C94" t="s">
        <v>27</v>
      </c>
      <c r="D94" t="s">
        <v>28</v>
      </c>
      <c r="E94" t="s">
        <v>20</v>
      </c>
      <c r="F94" s="3">
        <v>2127.2600000000002</v>
      </c>
      <c r="G94" s="3">
        <v>3128.32</v>
      </c>
      <c r="H94" s="3">
        <f>Table1[[#This Row],[Sale]]-Table1[[#This Row],[Cost]]</f>
        <v>1001.06</v>
      </c>
      <c r="I94" s="4">
        <f>Table1[[#This Row],[Profit]]/Table1[[#This Row],[Sale]]</f>
        <v>0.31999923281505727</v>
      </c>
      <c r="J94" s="5">
        <f t="shared" si="2"/>
        <v>2006</v>
      </c>
      <c r="K94" s="5">
        <f>MONTH(Table1[[#This Row],[Date]])</f>
        <v>5</v>
      </c>
      <c r="L94" s="5">
        <f>DAY(Table1[[#This Row],[Date]])</f>
        <v>10</v>
      </c>
      <c r="M94" s="5" t="str">
        <f t="shared" si="3"/>
        <v>May</v>
      </c>
    </row>
    <row r="95" spans="1:13" x14ac:dyDescent="0.25">
      <c r="A95" s="2">
        <v>38550</v>
      </c>
      <c r="B95" t="s">
        <v>11</v>
      </c>
      <c r="C95" t="s">
        <v>27</v>
      </c>
      <c r="D95" t="s">
        <v>28</v>
      </c>
      <c r="E95" t="s">
        <v>25</v>
      </c>
      <c r="F95" s="3">
        <v>2341.16</v>
      </c>
      <c r="G95" s="3">
        <v>3121.54</v>
      </c>
      <c r="H95" s="3">
        <f>Table1[[#This Row],[Sale]]-Table1[[#This Row],[Cost]]</f>
        <v>780.38000000000011</v>
      </c>
      <c r="I95" s="4">
        <f>Table1[[#This Row],[Profit]]/Table1[[#This Row],[Sale]]</f>
        <v>0.24999839822651643</v>
      </c>
      <c r="J95" s="5">
        <f t="shared" si="2"/>
        <v>2005</v>
      </c>
      <c r="K95" s="5">
        <f>MONTH(Table1[[#This Row],[Date]])</f>
        <v>7</v>
      </c>
      <c r="L95" s="5">
        <f>DAY(Table1[[#This Row],[Date]])</f>
        <v>17</v>
      </c>
      <c r="M95" s="5" t="str">
        <f t="shared" si="3"/>
        <v>Jul</v>
      </c>
    </row>
    <row r="96" spans="1:13" x14ac:dyDescent="0.25">
      <c r="A96" s="2">
        <v>38255</v>
      </c>
      <c r="B96" t="s">
        <v>11</v>
      </c>
      <c r="C96" t="s">
        <v>29</v>
      </c>
      <c r="D96" t="s">
        <v>13</v>
      </c>
      <c r="E96" t="s">
        <v>24</v>
      </c>
      <c r="F96" s="3">
        <v>2641.9</v>
      </c>
      <c r="G96" s="3">
        <v>5870.88</v>
      </c>
      <c r="H96" s="3">
        <f>Table1[[#This Row],[Sale]]-Table1[[#This Row],[Cost]]</f>
        <v>3228.98</v>
      </c>
      <c r="I96" s="4">
        <f>Table1[[#This Row],[Profit]]/Table1[[#This Row],[Sale]]</f>
        <v>0.54999931867113616</v>
      </c>
      <c r="J96" s="5">
        <f t="shared" si="2"/>
        <v>2004</v>
      </c>
      <c r="K96" s="5">
        <f>MONTH(Table1[[#This Row],[Date]])</f>
        <v>9</v>
      </c>
      <c r="L96" s="5">
        <f>DAY(Table1[[#This Row],[Date]])</f>
        <v>25</v>
      </c>
      <c r="M96" s="5" t="str">
        <f t="shared" si="3"/>
        <v>Sep</v>
      </c>
    </row>
    <row r="97" spans="1:13" x14ac:dyDescent="0.25">
      <c r="A97" s="2">
        <v>38819</v>
      </c>
      <c r="B97" t="s">
        <v>11</v>
      </c>
      <c r="C97" t="s">
        <v>27</v>
      </c>
      <c r="D97" t="s">
        <v>13</v>
      </c>
      <c r="E97" t="s">
        <v>20</v>
      </c>
      <c r="F97" s="3">
        <v>4866.6000000000004</v>
      </c>
      <c r="G97" s="3">
        <v>8390.69</v>
      </c>
      <c r="H97" s="3">
        <f>Table1[[#This Row],[Sale]]-Table1[[#This Row],[Cost]]</f>
        <v>3524.09</v>
      </c>
      <c r="I97" s="4">
        <f>Table1[[#This Row],[Profit]]/Table1[[#This Row],[Sale]]</f>
        <v>0.42000002383594198</v>
      </c>
      <c r="J97" s="5">
        <f t="shared" si="2"/>
        <v>2006</v>
      </c>
      <c r="K97" s="5">
        <f>MONTH(Table1[[#This Row],[Date]])</f>
        <v>4</v>
      </c>
      <c r="L97" s="5">
        <f>DAY(Table1[[#This Row],[Date]])</f>
        <v>12</v>
      </c>
      <c r="M97" s="5" t="str">
        <f t="shared" si="3"/>
        <v>Apr</v>
      </c>
    </row>
    <row r="98" spans="1:13" x14ac:dyDescent="0.25">
      <c r="A98" s="2">
        <v>38549</v>
      </c>
      <c r="B98" t="s">
        <v>22</v>
      </c>
      <c r="C98" t="s">
        <v>18</v>
      </c>
      <c r="D98" t="s">
        <v>19</v>
      </c>
      <c r="E98" t="s">
        <v>20</v>
      </c>
      <c r="F98" s="3">
        <v>6263.62</v>
      </c>
      <c r="G98" s="3">
        <v>8351.49</v>
      </c>
      <c r="H98" s="3">
        <f>Table1[[#This Row],[Sale]]-Table1[[#This Row],[Cost]]</f>
        <v>2087.87</v>
      </c>
      <c r="I98" s="4">
        <f>Table1[[#This Row],[Profit]]/Table1[[#This Row],[Sale]]</f>
        <v>0.24999970065221894</v>
      </c>
      <c r="J98" s="5">
        <f t="shared" si="2"/>
        <v>2005</v>
      </c>
      <c r="K98" s="5">
        <f>MONTH(Table1[[#This Row],[Date]])</f>
        <v>7</v>
      </c>
      <c r="L98" s="5">
        <f>DAY(Table1[[#This Row],[Date]])</f>
        <v>16</v>
      </c>
      <c r="M98" s="5" t="str">
        <f t="shared" si="3"/>
        <v>Jul</v>
      </c>
    </row>
    <row r="99" spans="1:13" x14ac:dyDescent="0.25">
      <c r="A99" s="2">
        <v>38291</v>
      </c>
      <c r="B99" t="s">
        <v>11</v>
      </c>
      <c r="C99" t="s">
        <v>23</v>
      </c>
      <c r="D99" t="s">
        <v>16</v>
      </c>
      <c r="E99" t="s">
        <v>20</v>
      </c>
      <c r="F99" s="3">
        <v>3592.01</v>
      </c>
      <c r="G99" s="3">
        <v>6530.92</v>
      </c>
      <c r="H99" s="3">
        <f>Table1[[#This Row],[Sale]]-Table1[[#This Row],[Cost]]</f>
        <v>2938.91</v>
      </c>
      <c r="I99" s="4">
        <f>Table1[[#This Row],[Profit]]/Table1[[#This Row],[Sale]]</f>
        <v>0.44999938752886265</v>
      </c>
      <c r="J99" s="5">
        <f t="shared" si="2"/>
        <v>2004</v>
      </c>
      <c r="K99" s="5">
        <f>MONTH(Table1[[#This Row],[Date]])</f>
        <v>10</v>
      </c>
      <c r="L99" s="5">
        <f>DAY(Table1[[#This Row],[Date]])</f>
        <v>31</v>
      </c>
      <c r="M99" s="5" t="str">
        <f t="shared" si="3"/>
        <v>Oct</v>
      </c>
    </row>
    <row r="100" spans="1:13" x14ac:dyDescent="0.25">
      <c r="A100" s="2">
        <v>38835</v>
      </c>
      <c r="B100" t="s">
        <v>22</v>
      </c>
      <c r="C100" t="s">
        <v>27</v>
      </c>
      <c r="D100" t="s">
        <v>19</v>
      </c>
      <c r="E100" t="s">
        <v>24</v>
      </c>
      <c r="F100" s="3">
        <v>98.04</v>
      </c>
      <c r="G100" s="3">
        <v>264.98</v>
      </c>
      <c r="H100" s="3">
        <f>Table1[[#This Row],[Sale]]-Table1[[#This Row],[Cost]]</f>
        <v>166.94</v>
      </c>
      <c r="I100" s="4">
        <f>Table1[[#This Row],[Profit]]/Table1[[#This Row],[Sale]]</f>
        <v>0.63000981206128759</v>
      </c>
      <c r="J100" s="5">
        <f t="shared" si="2"/>
        <v>2006</v>
      </c>
      <c r="K100" s="5">
        <f>MONTH(Table1[[#This Row],[Date]])</f>
        <v>4</v>
      </c>
      <c r="L100" s="5">
        <f>DAY(Table1[[#This Row],[Date]])</f>
        <v>28</v>
      </c>
      <c r="M100" s="5" t="str">
        <f t="shared" si="3"/>
        <v>Apr</v>
      </c>
    </row>
    <row r="101" spans="1:13" x14ac:dyDescent="0.25">
      <c r="A101" s="2">
        <v>38759</v>
      </c>
      <c r="B101" t="s">
        <v>26</v>
      </c>
      <c r="C101" t="s">
        <v>23</v>
      </c>
      <c r="D101" t="s">
        <v>16</v>
      </c>
      <c r="E101" t="s">
        <v>24</v>
      </c>
      <c r="F101" s="3">
        <v>2570.73</v>
      </c>
      <c r="G101" s="3">
        <v>3780.49</v>
      </c>
      <c r="H101" s="3">
        <f>Table1[[#This Row],[Sale]]-Table1[[#This Row],[Cost]]</f>
        <v>1209.7599999999998</v>
      </c>
      <c r="I101" s="4">
        <f>Table1[[#This Row],[Profit]]/Table1[[#This Row],[Sale]]</f>
        <v>0.32000084645112137</v>
      </c>
      <c r="J101" s="5">
        <f t="shared" si="2"/>
        <v>2006</v>
      </c>
      <c r="K101" s="5">
        <f>MONTH(Table1[[#This Row],[Date]])</f>
        <v>2</v>
      </c>
      <c r="L101" s="5">
        <f>DAY(Table1[[#This Row],[Date]])</f>
        <v>11</v>
      </c>
      <c r="M101" s="5" t="str">
        <f t="shared" si="3"/>
        <v>Feb</v>
      </c>
    </row>
    <row r="102" spans="1:13" x14ac:dyDescent="0.25">
      <c r="A102" s="2">
        <v>38347</v>
      </c>
      <c r="B102" t="s">
        <v>17</v>
      </c>
      <c r="C102" t="s">
        <v>27</v>
      </c>
      <c r="D102" t="s">
        <v>28</v>
      </c>
      <c r="E102" t="s">
        <v>25</v>
      </c>
      <c r="F102" s="3">
        <v>6261.79</v>
      </c>
      <c r="G102" s="3">
        <v>8349.0499999999993</v>
      </c>
      <c r="H102" s="3">
        <f>Table1[[#This Row],[Sale]]-Table1[[#This Row],[Cost]]</f>
        <v>2087.2599999999993</v>
      </c>
      <c r="I102" s="4">
        <f>Table1[[#This Row],[Profit]]/Table1[[#This Row],[Sale]]</f>
        <v>0.24999970056473486</v>
      </c>
      <c r="J102" s="5">
        <f t="shared" si="2"/>
        <v>2004</v>
      </c>
      <c r="K102" s="5">
        <f>MONTH(Table1[[#This Row],[Date]])</f>
        <v>12</v>
      </c>
      <c r="L102" s="5">
        <f>DAY(Table1[[#This Row],[Date]])</f>
        <v>26</v>
      </c>
      <c r="M102" s="5" t="str">
        <f t="shared" si="3"/>
        <v>Dec</v>
      </c>
    </row>
    <row r="103" spans="1:13" x14ac:dyDescent="0.25">
      <c r="A103" s="2">
        <v>38448</v>
      </c>
      <c r="B103" t="s">
        <v>11</v>
      </c>
      <c r="C103" t="s">
        <v>27</v>
      </c>
      <c r="D103" t="s">
        <v>28</v>
      </c>
      <c r="E103" t="s">
        <v>20</v>
      </c>
      <c r="F103" s="3">
        <v>2218.64</v>
      </c>
      <c r="G103" s="3">
        <v>2958.19</v>
      </c>
      <c r="H103" s="3">
        <f>Table1[[#This Row],[Sale]]-Table1[[#This Row],[Cost]]</f>
        <v>739.55000000000018</v>
      </c>
      <c r="I103" s="4">
        <f>Table1[[#This Row],[Profit]]/Table1[[#This Row],[Sale]]</f>
        <v>0.25000084511136883</v>
      </c>
      <c r="J103" s="5">
        <f t="shared" si="2"/>
        <v>2005</v>
      </c>
      <c r="K103" s="5">
        <f>MONTH(Table1[[#This Row],[Date]])</f>
        <v>4</v>
      </c>
      <c r="L103" s="5">
        <f>DAY(Table1[[#This Row],[Date]])</f>
        <v>6</v>
      </c>
      <c r="M103" s="5" t="str">
        <f t="shared" si="3"/>
        <v>Apr</v>
      </c>
    </row>
    <row r="104" spans="1:13" x14ac:dyDescent="0.25">
      <c r="A104" s="2">
        <v>38784</v>
      </c>
      <c r="B104" t="s">
        <v>17</v>
      </c>
      <c r="C104" t="s">
        <v>29</v>
      </c>
      <c r="D104" t="s">
        <v>16</v>
      </c>
      <c r="E104" t="s">
        <v>14</v>
      </c>
      <c r="F104" s="3">
        <v>1701.14</v>
      </c>
      <c r="G104" s="3">
        <v>3780.32</v>
      </c>
      <c r="H104" s="3">
        <f>Table1[[#This Row],[Sale]]-Table1[[#This Row],[Cost]]</f>
        <v>2079.1800000000003</v>
      </c>
      <c r="I104" s="4">
        <f>Table1[[#This Row],[Profit]]/Table1[[#This Row],[Sale]]</f>
        <v>0.5500010581114827</v>
      </c>
      <c r="J104" s="5">
        <f t="shared" si="2"/>
        <v>2006</v>
      </c>
      <c r="K104" s="5">
        <f>MONTH(Table1[[#This Row],[Date]])</f>
        <v>3</v>
      </c>
      <c r="L104" s="5">
        <f>DAY(Table1[[#This Row],[Date]])</f>
        <v>8</v>
      </c>
      <c r="M104" s="5" t="str">
        <f t="shared" si="3"/>
        <v>Mar</v>
      </c>
    </row>
    <row r="105" spans="1:13" x14ac:dyDescent="0.25">
      <c r="A105" s="2">
        <v>38361</v>
      </c>
      <c r="B105" t="s">
        <v>22</v>
      </c>
      <c r="C105" t="s">
        <v>29</v>
      </c>
      <c r="D105" t="s">
        <v>19</v>
      </c>
      <c r="E105" t="s">
        <v>24</v>
      </c>
      <c r="F105" s="3">
        <v>5832.7</v>
      </c>
      <c r="G105" s="3">
        <v>6628.07</v>
      </c>
      <c r="H105" s="3">
        <f>Table1[[#This Row],[Sale]]-Table1[[#This Row],[Cost]]</f>
        <v>795.36999999999989</v>
      </c>
      <c r="I105" s="4">
        <f>Table1[[#This Row],[Profit]]/Table1[[#This Row],[Sale]]</f>
        <v>0.12000024139757123</v>
      </c>
      <c r="J105" s="5">
        <f t="shared" si="2"/>
        <v>2005</v>
      </c>
      <c r="K105" s="5">
        <f>MONTH(Table1[[#This Row],[Date]])</f>
        <v>1</v>
      </c>
      <c r="L105" s="5">
        <f>DAY(Table1[[#This Row],[Date]])</f>
        <v>9</v>
      </c>
      <c r="M105" s="5" t="str">
        <f t="shared" si="3"/>
        <v>Jan</v>
      </c>
    </row>
    <row r="106" spans="1:13" x14ac:dyDescent="0.25">
      <c r="A106" s="2">
        <v>38341</v>
      </c>
      <c r="B106" t="s">
        <v>11</v>
      </c>
      <c r="C106" t="s">
        <v>29</v>
      </c>
      <c r="D106" t="s">
        <v>28</v>
      </c>
      <c r="E106" t="s">
        <v>20</v>
      </c>
      <c r="F106" s="3">
        <v>4999.88</v>
      </c>
      <c r="G106" s="3">
        <v>8474.3799999999992</v>
      </c>
      <c r="H106" s="3">
        <f>Table1[[#This Row],[Sale]]-Table1[[#This Row],[Cost]]</f>
        <v>3474.4999999999991</v>
      </c>
      <c r="I106" s="4">
        <f>Table1[[#This Row],[Profit]]/Table1[[#This Row],[Sale]]</f>
        <v>0.41000049561147828</v>
      </c>
      <c r="J106" s="5">
        <f t="shared" si="2"/>
        <v>2004</v>
      </c>
      <c r="K106" s="5">
        <f>MONTH(Table1[[#This Row],[Date]])</f>
        <v>12</v>
      </c>
      <c r="L106" s="5">
        <f>DAY(Table1[[#This Row],[Date]])</f>
        <v>20</v>
      </c>
      <c r="M106" s="5" t="str">
        <f t="shared" si="3"/>
        <v>Dec</v>
      </c>
    </row>
    <row r="107" spans="1:13" x14ac:dyDescent="0.25">
      <c r="A107" s="2">
        <v>38374</v>
      </c>
      <c r="B107" t="s">
        <v>22</v>
      </c>
      <c r="C107" t="s">
        <v>18</v>
      </c>
      <c r="D107" t="s">
        <v>13</v>
      </c>
      <c r="E107" t="s">
        <v>14</v>
      </c>
      <c r="F107" s="3">
        <v>521.25</v>
      </c>
      <c r="G107" s="3">
        <v>1408.78</v>
      </c>
      <c r="H107" s="3">
        <f>Table1[[#This Row],[Sale]]-Table1[[#This Row],[Cost]]</f>
        <v>887.53</v>
      </c>
      <c r="I107" s="4">
        <f>Table1[[#This Row],[Profit]]/Table1[[#This Row],[Sale]]</f>
        <v>0.62999900623234284</v>
      </c>
      <c r="J107" s="5">
        <f t="shared" si="2"/>
        <v>2005</v>
      </c>
      <c r="K107" s="5">
        <f>MONTH(Table1[[#This Row],[Date]])</f>
        <v>1</v>
      </c>
      <c r="L107" s="5">
        <f>DAY(Table1[[#This Row],[Date]])</f>
        <v>22</v>
      </c>
      <c r="M107" s="5" t="str">
        <f t="shared" si="3"/>
        <v>Jan</v>
      </c>
    </row>
    <row r="108" spans="1:13" x14ac:dyDescent="0.25">
      <c r="A108" s="2">
        <v>38260</v>
      </c>
      <c r="B108" t="s">
        <v>26</v>
      </c>
      <c r="C108" t="s">
        <v>29</v>
      </c>
      <c r="D108" t="s">
        <v>16</v>
      </c>
      <c r="E108" t="s">
        <v>14</v>
      </c>
      <c r="F108" s="3">
        <v>5505.86</v>
      </c>
      <c r="G108" s="3">
        <v>9492.8700000000008</v>
      </c>
      <c r="H108" s="3">
        <f>Table1[[#This Row],[Sale]]-Table1[[#This Row],[Cost]]</f>
        <v>3987.0100000000011</v>
      </c>
      <c r="I108" s="4">
        <f>Table1[[#This Row],[Profit]]/Table1[[#This Row],[Sale]]</f>
        <v>0.42000048457421207</v>
      </c>
      <c r="J108" s="5">
        <f t="shared" si="2"/>
        <v>2004</v>
      </c>
      <c r="K108" s="5">
        <f>MONTH(Table1[[#This Row],[Date]])</f>
        <v>9</v>
      </c>
      <c r="L108" s="5">
        <f>DAY(Table1[[#This Row],[Date]])</f>
        <v>30</v>
      </c>
      <c r="M108" s="5" t="str">
        <f t="shared" si="3"/>
        <v>Sep</v>
      </c>
    </row>
    <row r="109" spans="1:13" x14ac:dyDescent="0.25">
      <c r="A109" s="2">
        <v>38193</v>
      </c>
      <c r="B109" t="s">
        <v>17</v>
      </c>
      <c r="C109" t="s">
        <v>29</v>
      </c>
      <c r="D109" t="s">
        <v>16</v>
      </c>
      <c r="E109" t="s">
        <v>25</v>
      </c>
      <c r="F109" s="3">
        <v>307.45</v>
      </c>
      <c r="G109" s="3">
        <v>409.93</v>
      </c>
      <c r="H109" s="3">
        <f>Table1[[#This Row],[Sale]]-Table1[[#This Row],[Cost]]</f>
        <v>102.48000000000002</v>
      </c>
      <c r="I109" s="4">
        <f>Table1[[#This Row],[Profit]]/Table1[[#This Row],[Sale]]</f>
        <v>0.24999390139779967</v>
      </c>
      <c r="J109" s="5">
        <f t="shared" si="2"/>
        <v>2004</v>
      </c>
      <c r="K109" s="5">
        <f>MONTH(Table1[[#This Row],[Date]])</f>
        <v>7</v>
      </c>
      <c r="L109" s="5">
        <f>DAY(Table1[[#This Row],[Date]])</f>
        <v>25</v>
      </c>
      <c r="M109" s="5" t="str">
        <f t="shared" si="3"/>
        <v>Jul</v>
      </c>
    </row>
    <row r="110" spans="1:13" x14ac:dyDescent="0.25">
      <c r="A110" s="2">
        <v>38445</v>
      </c>
      <c r="B110" t="s">
        <v>26</v>
      </c>
      <c r="C110" t="s">
        <v>23</v>
      </c>
      <c r="D110" t="s">
        <v>16</v>
      </c>
      <c r="E110" t="s">
        <v>25</v>
      </c>
      <c r="F110" s="3">
        <v>219.08</v>
      </c>
      <c r="G110" s="3">
        <v>322.18</v>
      </c>
      <c r="H110" s="3">
        <f>Table1[[#This Row],[Sale]]-Table1[[#This Row],[Cost]]</f>
        <v>103.1</v>
      </c>
      <c r="I110" s="4">
        <f>Table1[[#This Row],[Profit]]/Table1[[#This Row],[Sale]]</f>
        <v>0.32000744925197094</v>
      </c>
      <c r="J110" s="5">
        <f t="shared" si="2"/>
        <v>2005</v>
      </c>
      <c r="K110" s="5">
        <f>MONTH(Table1[[#This Row],[Date]])</f>
        <v>4</v>
      </c>
      <c r="L110" s="5">
        <f>DAY(Table1[[#This Row],[Date]])</f>
        <v>3</v>
      </c>
      <c r="M110" s="5" t="str">
        <f t="shared" si="3"/>
        <v>Apr</v>
      </c>
    </row>
    <row r="111" spans="1:13" x14ac:dyDescent="0.25">
      <c r="A111" s="2">
        <v>38672</v>
      </c>
      <c r="B111" t="s">
        <v>26</v>
      </c>
      <c r="C111" t="s">
        <v>29</v>
      </c>
      <c r="D111" t="s">
        <v>28</v>
      </c>
      <c r="E111" t="s">
        <v>25</v>
      </c>
      <c r="F111" s="3">
        <v>3606.36</v>
      </c>
      <c r="G111" s="3">
        <v>9746.92</v>
      </c>
      <c r="H111" s="3">
        <f>Table1[[#This Row],[Sale]]-Table1[[#This Row],[Cost]]</f>
        <v>6140.5599999999995</v>
      </c>
      <c r="I111" s="4">
        <f>Table1[[#This Row],[Profit]]/Table1[[#This Row],[Sale]]</f>
        <v>0.63000004103860496</v>
      </c>
      <c r="J111" s="5">
        <f t="shared" si="2"/>
        <v>2005</v>
      </c>
      <c r="K111" s="5">
        <f>MONTH(Table1[[#This Row],[Date]])</f>
        <v>11</v>
      </c>
      <c r="L111" s="5">
        <f>DAY(Table1[[#This Row],[Date]])</f>
        <v>16</v>
      </c>
      <c r="M111" s="5" t="str">
        <f t="shared" si="3"/>
        <v>Nov</v>
      </c>
    </row>
    <row r="112" spans="1:13" x14ac:dyDescent="0.25">
      <c r="A112" s="2">
        <v>38624</v>
      </c>
      <c r="B112" t="s">
        <v>22</v>
      </c>
      <c r="C112" t="s">
        <v>12</v>
      </c>
      <c r="D112" t="s">
        <v>16</v>
      </c>
      <c r="E112" t="s">
        <v>24</v>
      </c>
      <c r="F112" s="3">
        <v>6424.83</v>
      </c>
      <c r="G112" s="3">
        <v>9448.2800000000007</v>
      </c>
      <c r="H112" s="3">
        <f>Table1[[#This Row],[Sale]]-Table1[[#This Row],[Cost]]</f>
        <v>3023.4500000000007</v>
      </c>
      <c r="I112" s="4">
        <f>Table1[[#This Row],[Profit]]/Table1[[#This Row],[Sale]]</f>
        <v>0.32000004233574791</v>
      </c>
      <c r="J112" s="5">
        <f t="shared" si="2"/>
        <v>2005</v>
      </c>
      <c r="K112" s="5">
        <f>MONTH(Table1[[#This Row],[Date]])</f>
        <v>9</v>
      </c>
      <c r="L112" s="5">
        <f>DAY(Table1[[#This Row],[Date]])</f>
        <v>29</v>
      </c>
      <c r="M112" s="5" t="str">
        <f t="shared" si="3"/>
        <v>Sep</v>
      </c>
    </row>
    <row r="113" spans="1:13" x14ac:dyDescent="0.25">
      <c r="A113" s="2">
        <v>38592</v>
      </c>
      <c r="B113" t="s">
        <v>21</v>
      </c>
      <c r="C113" t="s">
        <v>12</v>
      </c>
      <c r="D113" t="s">
        <v>19</v>
      </c>
      <c r="E113" t="s">
        <v>14</v>
      </c>
      <c r="F113" s="3">
        <v>5503.8</v>
      </c>
      <c r="G113" s="3">
        <v>8093.82</v>
      </c>
      <c r="H113" s="3">
        <f>Table1[[#This Row],[Sale]]-Table1[[#This Row],[Cost]]</f>
        <v>2590.0199999999995</v>
      </c>
      <c r="I113" s="4">
        <f>Table1[[#This Row],[Profit]]/Table1[[#This Row],[Sale]]</f>
        <v>0.31999970347746792</v>
      </c>
      <c r="J113" s="5">
        <f t="shared" si="2"/>
        <v>2005</v>
      </c>
      <c r="K113" s="5">
        <f>MONTH(Table1[[#This Row],[Date]])</f>
        <v>8</v>
      </c>
      <c r="L113" s="5">
        <f>DAY(Table1[[#This Row],[Date]])</f>
        <v>28</v>
      </c>
      <c r="M113" s="5" t="str">
        <f t="shared" si="3"/>
        <v>Aug</v>
      </c>
    </row>
    <row r="114" spans="1:13" x14ac:dyDescent="0.25">
      <c r="A114" s="2">
        <v>38771</v>
      </c>
      <c r="B114" t="s">
        <v>11</v>
      </c>
      <c r="C114" t="s">
        <v>18</v>
      </c>
      <c r="D114" t="s">
        <v>13</v>
      </c>
      <c r="E114" t="s">
        <v>24</v>
      </c>
      <c r="F114" s="3">
        <v>2010.01</v>
      </c>
      <c r="G114" s="3">
        <v>4466.6899999999996</v>
      </c>
      <c r="H114" s="3">
        <f>Table1[[#This Row],[Sale]]-Table1[[#This Row],[Cost]]</f>
        <v>2456.6799999999994</v>
      </c>
      <c r="I114" s="4">
        <f>Table1[[#This Row],[Profit]]/Table1[[#This Row],[Sale]]</f>
        <v>0.55000011193971365</v>
      </c>
      <c r="J114" s="5">
        <f t="shared" si="2"/>
        <v>2006</v>
      </c>
      <c r="K114" s="5">
        <f>MONTH(Table1[[#This Row],[Date]])</f>
        <v>2</v>
      </c>
      <c r="L114" s="5">
        <f>DAY(Table1[[#This Row],[Date]])</f>
        <v>23</v>
      </c>
      <c r="M114" s="5" t="str">
        <f t="shared" si="3"/>
        <v>Feb</v>
      </c>
    </row>
    <row r="115" spans="1:13" x14ac:dyDescent="0.25">
      <c r="A115" s="2">
        <v>38271</v>
      </c>
      <c r="B115" t="s">
        <v>21</v>
      </c>
      <c r="C115" t="s">
        <v>29</v>
      </c>
      <c r="D115" t="s">
        <v>19</v>
      </c>
      <c r="E115" t="s">
        <v>20</v>
      </c>
      <c r="F115" s="3">
        <v>1496.81</v>
      </c>
      <c r="G115" s="3">
        <v>3326.25</v>
      </c>
      <c r="H115" s="3">
        <f>Table1[[#This Row],[Sale]]-Table1[[#This Row],[Cost]]</f>
        <v>1829.44</v>
      </c>
      <c r="I115" s="4">
        <f>Table1[[#This Row],[Profit]]/Table1[[#This Row],[Sale]]</f>
        <v>0.5500007515971439</v>
      </c>
      <c r="J115" s="5">
        <f t="shared" si="2"/>
        <v>2004</v>
      </c>
      <c r="K115" s="5">
        <f>MONTH(Table1[[#This Row],[Date]])</f>
        <v>10</v>
      </c>
      <c r="L115" s="5">
        <f>DAY(Table1[[#This Row],[Date]])</f>
        <v>11</v>
      </c>
      <c r="M115" s="5" t="str">
        <f t="shared" si="3"/>
        <v>Oct</v>
      </c>
    </row>
    <row r="116" spans="1:13" x14ac:dyDescent="0.25">
      <c r="A116" s="2">
        <v>38189</v>
      </c>
      <c r="B116" t="s">
        <v>21</v>
      </c>
      <c r="C116" t="s">
        <v>29</v>
      </c>
      <c r="D116" t="s">
        <v>19</v>
      </c>
      <c r="E116" t="s">
        <v>20</v>
      </c>
      <c r="F116" s="3">
        <v>6587.7</v>
      </c>
      <c r="G116" s="3">
        <v>8783.6</v>
      </c>
      <c r="H116" s="3">
        <f>Table1[[#This Row],[Sale]]-Table1[[#This Row],[Cost]]</f>
        <v>2195.9000000000005</v>
      </c>
      <c r="I116" s="4">
        <f>Table1[[#This Row],[Profit]]/Table1[[#This Row],[Sale]]</f>
        <v>0.25000000000000006</v>
      </c>
      <c r="J116" s="5">
        <f t="shared" si="2"/>
        <v>2004</v>
      </c>
      <c r="K116" s="5">
        <f>MONTH(Table1[[#This Row],[Date]])</f>
        <v>7</v>
      </c>
      <c r="L116" s="5">
        <f>DAY(Table1[[#This Row],[Date]])</f>
        <v>21</v>
      </c>
      <c r="M116" s="5" t="str">
        <f t="shared" si="3"/>
        <v>Jul</v>
      </c>
    </row>
    <row r="117" spans="1:13" x14ac:dyDescent="0.25">
      <c r="A117" s="2">
        <v>38392</v>
      </c>
      <c r="B117" t="s">
        <v>22</v>
      </c>
      <c r="C117" t="s">
        <v>27</v>
      </c>
      <c r="D117" t="s">
        <v>16</v>
      </c>
      <c r="E117" t="s">
        <v>14</v>
      </c>
      <c r="F117" s="3">
        <v>1523.73</v>
      </c>
      <c r="G117" s="3">
        <v>2582.6</v>
      </c>
      <c r="H117" s="3">
        <f>Table1[[#This Row],[Sale]]-Table1[[#This Row],[Cost]]</f>
        <v>1058.8699999999999</v>
      </c>
      <c r="I117" s="4">
        <f>Table1[[#This Row],[Profit]]/Table1[[#This Row],[Sale]]</f>
        <v>0.41000154882676371</v>
      </c>
      <c r="J117" s="5">
        <f t="shared" si="2"/>
        <v>2005</v>
      </c>
      <c r="K117" s="5">
        <f>MONTH(Table1[[#This Row],[Date]])</f>
        <v>2</v>
      </c>
      <c r="L117" s="5">
        <f>DAY(Table1[[#This Row],[Date]])</f>
        <v>9</v>
      </c>
      <c r="M117" s="5" t="str">
        <f t="shared" si="3"/>
        <v>Feb</v>
      </c>
    </row>
    <row r="118" spans="1:13" x14ac:dyDescent="0.25">
      <c r="A118" s="2">
        <v>38190</v>
      </c>
      <c r="B118" t="s">
        <v>21</v>
      </c>
      <c r="C118" t="s">
        <v>23</v>
      </c>
      <c r="D118" t="s">
        <v>13</v>
      </c>
      <c r="E118" t="s">
        <v>25</v>
      </c>
      <c r="F118" s="3">
        <v>1476.11</v>
      </c>
      <c r="G118" s="3">
        <v>3989.49</v>
      </c>
      <c r="H118" s="3">
        <f>Table1[[#This Row],[Sale]]-Table1[[#This Row],[Cost]]</f>
        <v>2513.38</v>
      </c>
      <c r="I118" s="4">
        <f>Table1[[#This Row],[Profit]]/Table1[[#This Row],[Sale]]</f>
        <v>0.63000032585618715</v>
      </c>
      <c r="J118" s="5">
        <f t="shared" si="2"/>
        <v>2004</v>
      </c>
      <c r="K118" s="5">
        <f>MONTH(Table1[[#This Row],[Date]])</f>
        <v>7</v>
      </c>
      <c r="L118" s="5">
        <f>DAY(Table1[[#This Row],[Date]])</f>
        <v>22</v>
      </c>
      <c r="M118" s="5" t="str">
        <f t="shared" si="3"/>
        <v>Jul</v>
      </c>
    </row>
    <row r="119" spans="1:13" x14ac:dyDescent="0.25">
      <c r="A119" s="2">
        <v>38770</v>
      </c>
      <c r="B119" t="s">
        <v>15</v>
      </c>
      <c r="C119" t="s">
        <v>29</v>
      </c>
      <c r="D119" t="s">
        <v>28</v>
      </c>
      <c r="E119" t="s">
        <v>14</v>
      </c>
      <c r="F119" s="3">
        <v>283.12</v>
      </c>
      <c r="G119" s="3">
        <v>302.8</v>
      </c>
      <c r="H119" s="3">
        <f>Table1[[#This Row],[Sale]]-Table1[[#This Row],[Cost]]</f>
        <v>19.680000000000007</v>
      </c>
      <c r="I119" s="4">
        <f>Table1[[#This Row],[Profit]]/Table1[[#This Row],[Sale]]</f>
        <v>6.4993394980184957E-2</v>
      </c>
      <c r="J119" s="5">
        <f t="shared" si="2"/>
        <v>2006</v>
      </c>
      <c r="K119" s="5">
        <f>MONTH(Table1[[#This Row],[Date]])</f>
        <v>2</v>
      </c>
      <c r="L119" s="5">
        <f>DAY(Table1[[#This Row],[Date]])</f>
        <v>22</v>
      </c>
      <c r="M119" s="5" t="str">
        <f t="shared" si="3"/>
        <v>Feb</v>
      </c>
    </row>
    <row r="120" spans="1:13" x14ac:dyDescent="0.25">
      <c r="A120" s="2">
        <v>38354</v>
      </c>
      <c r="B120" t="s">
        <v>22</v>
      </c>
      <c r="C120" t="s">
        <v>12</v>
      </c>
      <c r="D120" t="s">
        <v>13</v>
      </c>
      <c r="E120" t="s">
        <v>25</v>
      </c>
      <c r="F120" s="3">
        <v>3591.47</v>
      </c>
      <c r="G120" s="3">
        <v>6087.24</v>
      </c>
      <c r="H120" s="3">
        <f>Table1[[#This Row],[Sale]]-Table1[[#This Row],[Cost]]</f>
        <v>2495.77</v>
      </c>
      <c r="I120" s="4">
        <f>Table1[[#This Row],[Profit]]/Table1[[#This Row],[Sale]]</f>
        <v>0.41000026284490182</v>
      </c>
      <c r="J120" s="5">
        <f t="shared" si="2"/>
        <v>2005</v>
      </c>
      <c r="K120" s="5">
        <f>MONTH(Table1[[#This Row],[Date]])</f>
        <v>1</v>
      </c>
      <c r="L120" s="5">
        <f>DAY(Table1[[#This Row],[Date]])</f>
        <v>2</v>
      </c>
      <c r="M120" s="5" t="str">
        <f t="shared" si="3"/>
        <v>Jan</v>
      </c>
    </row>
    <row r="121" spans="1:13" x14ac:dyDescent="0.25">
      <c r="A121" s="2">
        <v>38822</v>
      </c>
      <c r="B121" t="s">
        <v>22</v>
      </c>
      <c r="C121" t="s">
        <v>12</v>
      </c>
      <c r="D121" t="s">
        <v>13</v>
      </c>
      <c r="E121" t="s">
        <v>14</v>
      </c>
      <c r="F121" s="3">
        <v>3894.41</v>
      </c>
      <c r="G121" s="3">
        <v>8654.25</v>
      </c>
      <c r="H121" s="3">
        <f>Table1[[#This Row],[Sale]]-Table1[[#This Row],[Cost]]</f>
        <v>4759.84</v>
      </c>
      <c r="I121" s="4">
        <f>Table1[[#This Row],[Profit]]/Table1[[#This Row],[Sale]]</f>
        <v>0.55000028887540808</v>
      </c>
      <c r="J121" s="5">
        <f t="shared" si="2"/>
        <v>2006</v>
      </c>
      <c r="K121" s="5">
        <f>MONTH(Table1[[#This Row],[Date]])</f>
        <v>4</v>
      </c>
      <c r="L121" s="5">
        <f>DAY(Table1[[#This Row],[Date]])</f>
        <v>15</v>
      </c>
      <c r="M121" s="5" t="str">
        <f t="shared" si="3"/>
        <v>Apr</v>
      </c>
    </row>
    <row r="122" spans="1:13" x14ac:dyDescent="0.25">
      <c r="A122" s="2">
        <v>38261</v>
      </c>
      <c r="B122" t="s">
        <v>15</v>
      </c>
      <c r="C122" t="s">
        <v>27</v>
      </c>
      <c r="D122" t="s">
        <v>28</v>
      </c>
      <c r="E122" t="s">
        <v>14</v>
      </c>
      <c r="F122" s="3">
        <v>4539.49</v>
      </c>
      <c r="G122" s="3">
        <v>8253.6200000000008</v>
      </c>
      <c r="H122" s="3">
        <f>Table1[[#This Row],[Sale]]-Table1[[#This Row],[Cost]]</f>
        <v>3714.130000000001</v>
      </c>
      <c r="I122" s="4">
        <f>Table1[[#This Row],[Profit]]/Table1[[#This Row],[Sale]]</f>
        <v>0.45000012115895821</v>
      </c>
      <c r="J122" s="5">
        <f t="shared" si="2"/>
        <v>2004</v>
      </c>
      <c r="K122" s="5">
        <f>MONTH(Table1[[#This Row],[Date]])</f>
        <v>10</v>
      </c>
      <c r="L122" s="5">
        <f>DAY(Table1[[#This Row],[Date]])</f>
        <v>1</v>
      </c>
      <c r="M122" s="5" t="str">
        <f t="shared" si="3"/>
        <v>Oct</v>
      </c>
    </row>
    <row r="123" spans="1:13" x14ac:dyDescent="0.25">
      <c r="A123" s="2">
        <v>38777</v>
      </c>
      <c r="B123" t="s">
        <v>17</v>
      </c>
      <c r="C123" t="s">
        <v>18</v>
      </c>
      <c r="D123" t="s">
        <v>19</v>
      </c>
      <c r="E123" t="s">
        <v>14</v>
      </c>
      <c r="F123" s="3">
        <v>1049.8699999999999</v>
      </c>
      <c r="G123" s="3">
        <v>2837.49</v>
      </c>
      <c r="H123" s="3">
        <f>Table1[[#This Row],[Sale]]-Table1[[#This Row],[Cost]]</f>
        <v>1787.62</v>
      </c>
      <c r="I123" s="4">
        <f>Table1[[#This Row],[Profit]]/Table1[[#This Row],[Sale]]</f>
        <v>0.63000045815139438</v>
      </c>
      <c r="J123" s="5">
        <f t="shared" si="2"/>
        <v>2006</v>
      </c>
      <c r="K123" s="5">
        <f>MONTH(Table1[[#This Row],[Date]])</f>
        <v>3</v>
      </c>
      <c r="L123" s="5">
        <f>DAY(Table1[[#This Row],[Date]])</f>
        <v>1</v>
      </c>
      <c r="M123" s="5" t="str">
        <f t="shared" si="3"/>
        <v>Mar</v>
      </c>
    </row>
    <row r="124" spans="1:13" x14ac:dyDescent="0.25">
      <c r="A124" s="2">
        <v>38215</v>
      </c>
      <c r="B124" t="s">
        <v>21</v>
      </c>
      <c r="C124" t="s">
        <v>23</v>
      </c>
      <c r="D124" t="s">
        <v>13</v>
      </c>
      <c r="E124" t="s">
        <v>20</v>
      </c>
      <c r="F124" s="3">
        <v>2645.06</v>
      </c>
      <c r="G124" s="3">
        <v>2828.94</v>
      </c>
      <c r="H124" s="3">
        <f>Table1[[#This Row],[Sale]]-Table1[[#This Row],[Cost]]</f>
        <v>183.88000000000011</v>
      </c>
      <c r="I124" s="4">
        <f>Table1[[#This Row],[Profit]]/Table1[[#This Row],[Sale]]</f>
        <v>6.4999611161777951E-2</v>
      </c>
      <c r="J124" s="5">
        <f t="shared" si="2"/>
        <v>2004</v>
      </c>
      <c r="K124" s="5">
        <f>MONTH(Table1[[#This Row],[Date]])</f>
        <v>8</v>
      </c>
      <c r="L124" s="5">
        <f>DAY(Table1[[#This Row],[Date]])</f>
        <v>16</v>
      </c>
      <c r="M124" s="5" t="str">
        <f t="shared" si="3"/>
        <v>Aug</v>
      </c>
    </row>
    <row r="125" spans="1:13" x14ac:dyDescent="0.25">
      <c r="A125" s="2">
        <v>38837</v>
      </c>
      <c r="B125" t="s">
        <v>17</v>
      </c>
      <c r="C125" t="s">
        <v>18</v>
      </c>
      <c r="D125" t="s">
        <v>16</v>
      </c>
      <c r="E125" t="s">
        <v>14</v>
      </c>
      <c r="F125" s="3">
        <v>3233.73</v>
      </c>
      <c r="G125" s="3">
        <v>5480.89</v>
      </c>
      <c r="H125" s="3">
        <f>Table1[[#This Row],[Sale]]-Table1[[#This Row],[Cost]]</f>
        <v>2247.1600000000003</v>
      </c>
      <c r="I125" s="4">
        <f>Table1[[#This Row],[Profit]]/Table1[[#This Row],[Sale]]</f>
        <v>0.40999910598461203</v>
      </c>
      <c r="J125" s="5">
        <f t="shared" si="2"/>
        <v>2006</v>
      </c>
      <c r="K125" s="5">
        <f>MONTH(Table1[[#This Row],[Date]])</f>
        <v>4</v>
      </c>
      <c r="L125" s="5">
        <f>DAY(Table1[[#This Row],[Date]])</f>
        <v>30</v>
      </c>
      <c r="M125" s="5" t="str">
        <f t="shared" si="3"/>
        <v>Apr</v>
      </c>
    </row>
    <row r="126" spans="1:13" x14ac:dyDescent="0.25">
      <c r="A126" s="2">
        <v>38350</v>
      </c>
      <c r="B126" t="s">
        <v>22</v>
      </c>
      <c r="C126" t="s">
        <v>12</v>
      </c>
      <c r="D126" t="s">
        <v>28</v>
      </c>
      <c r="E126" t="s">
        <v>25</v>
      </c>
      <c r="F126" s="3">
        <v>3325.68</v>
      </c>
      <c r="G126" s="3">
        <v>7390.39</v>
      </c>
      <c r="H126" s="3">
        <f>Table1[[#This Row],[Sale]]-Table1[[#This Row],[Cost]]</f>
        <v>4064.7100000000005</v>
      </c>
      <c r="I126" s="4">
        <f>Table1[[#This Row],[Profit]]/Table1[[#This Row],[Sale]]</f>
        <v>0.54999939110114626</v>
      </c>
      <c r="J126" s="5">
        <f t="shared" si="2"/>
        <v>2004</v>
      </c>
      <c r="K126" s="5">
        <f>MONTH(Table1[[#This Row],[Date]])</f>
        <v>12</v>
      </c>
      <c r="L126" s="5">
        <f>DAY(Table1[[#This Row],[Date]])</f>
        <v>29</v>
      </c>
      <c r="M126" s="5" t="str">
        <f t="shared" si="3"/>
        <v>Dec</v>
      </c>
    </row>
    <row r="127" spans="1:13" x14ac:dyDescent="0.25">
      <c r="A127" s="2">
        <v>38618</v>
      </c>
      <c r="B127" t="s">
        <v>21</v>
      </c>
      <c r="C127" t="s">
        <v>29</v>
      </c>
      <c r="D127" t="s">
        <v>19</v>
      </c>
      <c r="E127" t="s">
        <v>14</v>
      </c>
      <c r="F127" s="3">
        <v>2280.17</v>
      </c>
      <c r="G127" s="3">
        <v>3353.19</v>
      </c>
      <c r="H127" s="3">
        <f>Table1[[#This Row],[Sale]]-Table1[[#This Row],[Cost]]</f>
        <v>1073.02</v>
      </c>
      <c r="I127" s="4">
        <f>Table1[[#This Row],[Profit]]/Table1[[#This Row],[Sale]]</f>
        <v>0.31999976142121384</v>
      </c>
      <c r="J127" s="5">
        <f t="shared" si="2"/>
        <v>2005</v>
      </c>
      <c r="K127" s="5">
        <f>MONTH(Table1[[#This Row],[Date]])</f>
        <v>9</v>
      </c>
      <c r="L127" s="5">
        <f>DAY(Table1[[#This Row],[Date]])</f>
        <v>23</v>
      </c>
      <c r="M127" s="5" t="str">
        <f t="shared" si="3"/>
        <v>Sep</v>
      </c>
    </row>
    <row r="128" spans="1:13" x14ac:dyDescent="0.25">
      <c r="A128" s="2">
        <v>38810</v>
      </c>
      <c r="B128" t="s">
        <v>22</v>
      </c>
      <c r="C128" t="s">
        <v>12</v>
      </c>
      <c r="D128" t="s">
        <v>19</v>
      </c>
      <c r="E128" t="s">
        <v>24</v>
      </c>
      <c r="F128" s="3">
        <v>6397.68</v>
      </c>
      <c r="G128" s="3">
        <v>6842.44</v>
      </c>
      <c r="H128" s="3">
        <f>Table1[[#This Row],[Sale]]-Table1[[#This Row],[Cost]]</f>
        <v>444.75999999999931</v>
      </c>
      <c r="I128" s="4">
        <f>Table1[[#This Row],[Profit]]/Table1[[#This Row],[Sale]]</f>
        <v>6.500020460537459E-2</v>
      </c>
      <c r="J128" s="5">
        <f t="shared" si="2"/>
        <v>2006</v>
      </c>
      <c r="K128" s="5">
        <f>MONTH(Table1[[#This Row],[Date]])</f>
        <v>4</v>
      </c>
      <c r="L128" s="5">
        <f>DAY(Table1[[#This Row],[Date]])</f>
        <v>3</v>
      </c>
      <c r="M128" s="5" t="str">
        <f t="shared" si="3"/>
        <v>Apr</v>
      </c>
    </row>
    <row r="129" spans="1:13" x14ac:dyDescent="0.25">
      <c r="A129" s="2">
        <v>38235</v>
      </c>
      <c r="B129" t="s">
        <v>15</v>
      </c>
      <c r="C129" t="s">
        <v>23</v>
      </c>
      <c r="D129" t="s">
        <v>13</v>
      </c>
      <c r="E129" t="s">
        <v>24</v>
      </c>
      <c r="F129" s="3">
        <v>3313.27</v>
      </c>
      <c r="G129" s="3">
        <v>6024.13</v>
      </c>
      <c r="H129" s="3">
        <f>Table1[[#This Row],[Sale]]-Table1[[#This Row],[Cost]]</f>
        <v>2710.86</v>
      </c>
      <c r="I129" s="4">
        <f>Table1[[#This Row],[Profit]]/Table1[[#This Row],[Sale]]</f>
        <v>0.45000024899861057</v>
      </c>
      <c r="J129" s="5">
        <f t="shared" si="2"/>
        <v>2004</v>
      </c>
      <c r="K129" s="5">
        <f>MONTH(Table1[[#This Row],[Date]])</f>
        <v>9</v>
      </c>
      <c r="L129" s="5">
        <f>DAY(Table1[[#This Row],[Date]])</f>
        <v>5</v>
      </c>
      <c r="M129" s="5" t="str">
        <f t="shared" si="3"/>
        <v>Sep</v>
      </c>
    </row>
    <row r="130" spans="1:13" x14ac:dyDescent="0.25">
      <c r="A130" s="2">
        <v>38814</v>
      </c>
      <c r="B130" t="s">
        <v>15</v>
      </c>
      <c r="C130" t="s">
        <v>18</v>
      </c>
      <c r="D130" t="s">
        <v>16</v>
      </c>
      <c r="E130" t="s">
        <v>25</v>
      </c>
      <c r="F130" s="3">
        <v>1664.5</v>
      </c>
      <c r="G130" s="3">
        <v>2869.83</v>
      </c>
      <c r="H130" s="3">
        <f>Table1[[#This Row],[Sale]]-Table1[[#This Row],[Cost]]</f>
        <v>1205.33</v>
      </c>
      <c r="I130" s="4">
        <f>Table1[[#This Row],[Profit]]/Table1[[#This Row],[Sale]]</f>
        <v>0.42000048783377414</v>
      </c>
      <c r="J130" s="5">
        <f t="shared" ref="J130:J193" si="4">YEAR(A:A)</f>
        <v>2006</v>
      </c>
      <c r="K130" s="5">
        <f>MONTH(Table1[[#This Row],[Date]])</f>
        <v>4</v>
      </c>
      <c r="L130" s="5">
        <f>DAY(Table1[[#This Row],[Date]])</f>
        <v>7</v>
      </c>
      <c r="M130" s="5" t="str">
        <f t="shared" ref="M130:M193" si="5">CHOOSE(K130,"Jan", "Feb", "Mar", "Apr", "May", "Jun", "Jul", "Aug", "Sep", "Oct", "Nov", "Dec")</f>
        <v>Apr</v>
      </c>
    </row>
    <row r="131" spans="1:13" x14ac:dyDescent="0.25">
      <c r="A131" s="2">
        <v>38700</v>
      </c>
      <c r="B131" t="s">
        <v>11</v>
      </c>
      <c r="C131" t="s">
        <v>27</v>
      </c>
      <c r="D131" t="s">
        <v>16</v>
      </c>
      <c r="E131" t="s">
        <v>24</v>
      </c>
      <c r="F131" s="3">
        <v>2964.76</v>
      </c>
      <c r="G131" s="3">
        <v>6588.35</v>
      </c>
      <c r="H131" s="3">
        <f>Table1[[#This Row],[Sale]]-Table1[[#This Row],[Cost]]</f>
        <v>3623.59</v>
      </c>
      <c r="I131" s="4">
        <f>Table1[[#This Row],[Profit]]/Table1[[#This Row],[Sale]]</f>
        <v>0.54999962054232088</v>
      </c>
      <c r="J131" s="5">
        <f t="shared" si="4"/>
        <v>2005</v>
      </c>
      <c r="K131" s="5">
        <f>MONTH(Table1[[#This Row],[Date]])</f>
        <v>12</v>
      </c>
      <c r="L131" s="5">
        <f>DAY(Table1[[#This Row],[Date]])</f>
        <v>14</v>
      </c>
      <c r="M131" s="5" t="str">
        <f t="shared" si="5"/>
        <v>Dec</v>
      </c>
    </row>
    <row r="132" spans="1:13" x14ac:dyDescent="0.25">
      <c r="A132" s="2">
        <v>38315</v>
      </c>
      <c r="B132" t="s">
        <v>21</v>
      </c>
      <c r="C132" t="s">
        <v>29</v>
      </c>
      <c r="D132" t="s">
        <v>19</v>
      </c>
      <c r="E132" t="s">
        <v>24</v>
      </c>
      <c r="F132" s="3">
        <v>3068.4</v>
      </c>
      <c r="G132" s="3">
        <v>5290.34</v>
      </c>
      <c r="H132" s="3">
        <f>Table1[[#This Row],[Sale]]-Table1[[#This Row],[Cost]]</f>
        <v>2221.94</v>
      </c>
      <c r="I132" s="4">
        <f>Table1[[#This Row],[Profit]]/Table1[[#This Row],[Sale]]</f>
        <v>0.41999947073345001</v>
      </c>
      <c r="J132" s="5">
        <f t="shared" si="4"/>
        <v>2004</v>
      </c>
      <c r="K132" s="5">
        <f>MONTH(Table1[[#This Row],[Date]])</f>
        <v>11</v>
      </c>
      <c r="L132" s="5">
        <f>DAY(Table1[[#This Row],[Date]])</f>
        <v>24</v>
      </c>
      <c r="M132" s="5" t="str">
        <f t="shared" si="5"/>
        <v>Nov</v>
      </c>
    </row>
    <row r="133" spans="1:13" x14ac:dyDescent="0.25">
      <c r="A133" s="2">
        <v>38232</v>
      </c>
      <c r="B133" t="s">
        <v>17</v>
      </c>
      <c r="C133" t="s">
        <v>23</v>
      </c>
      <c r="D133" t="s">
        <v>13</v>
      </c>
      <c r="E133" t="s">
        <v>14</v>
      </c>
      <c r="F133" s="3">
        <v>3719.64</v>
      </c>
      <c r="G133" s="3">
        <v>4226.8599999999997</v>
      </c>
      <c r="H133" s="3">
        <f>Table1[[#This Row],[Sale]]-Table1[[#This Row],[Cost]]</f>
        <v>507.2199999999998</v>
      </c>
      <c r="I133" s="4">
        <f>Table1[[#This Row],[Profit]]/Table1[[#This Row],[Sale]]</f>
        <v>0.11999924293683724</v>
      </c>
      <c r="J133" s="5">
        <f t="shared" si="4"/>
        <v>2004</v>
      </c>
      <c r="K133" s="5">
        <f>MONTH(Table1[[#This Row],[Date]])</f>
        <v>9</v>
      </c>
      <c r="L133" s="5">
        <f>DAY(Table1[[#This Row],[Date]])</f>
        <v>2</v>
      </c>
      <c r="M133" s="5" t="str">
        <f t="shared" si="5"/>
        <v>Sep</v>
      </c>
    </row>
    <row r="134" spans="1:13" x14ac:dyDescent="0.25">
      <c r="A134" s="2">
        <v>38179</v>
      </c>
      <c r="B134" t="s">
        <v>22</v>
      </c>
      <c r="C134" t="s">
        <v>27</v>
      </c>
      <c r="D134" t="s">
        <v>13</v>
      </c>
      <c r="E134" t="s">
        <v>20</v>
      </c>
      <c r="F134" s="3">
        <v>4710.7299999999996</v>
      </c>
      <c r="G134" s="3">
        <v>7984.28</v>
      </c>
      <c r="H134" s="3">
        <f>Table1[[#This Row],[Sale]]-Table1[[#This Row],[Cost]]</f>
        <v>3273.55</v>
      </c>
      <c r="I134" s="4">
        <f>Table1[[#This Row],[Profit]]/Table1[[#This Row],[Sale]]</f>
        <v>0.40999939881867875</v>
      </c>
      <c r="J134" s="5">
        <f t="shared" si="4"/>
        <v>2004</v>
      </c>
      <c r="K134" s="5">
        <f>MONTH(Table1[[#This Row],[Date]])</f>
        <v>7</v>
      </c>
      <c r="L134" s="5">
        <f>DAY(Table1[[#This Row],[Date]])</f>
        <v>11</v>
      </c>
      <c r="M134" s="5" t="str">
        <f t="shared" si="5"/>
        <v>Jul</v>
      </c>
    </row>
    <row r="135" spans="1:13" x14ac:dyDescent="0.25">
      <c r="A135" s="2">
        <v>38525</v>
      </c>
      <c r="B135" t="s">
        <v>21</v>
      </c>
      <c r="C135" t="s">
        <v>23</v>
      </c>
      <c r="D135" t="s">
        <v>28</v>
      </c>
      <c r="E135" t="s">
        <v>25</v>
      </c>
      <c r="F135" s="3">
        <v>6892.16</v>
      </c>
      <c r="G135" s="3">
        <v>9189.5499999999993</v>
      </c>
      <c r="H135" s="3">
        <f>Table1[[#This Row],[Sale]]-Table1[[#This Row],[Cost]]</f>
        <v>2297.3899999999994</v>
      </c>
      <c r="I135" s="4">
        <f>Table1[[#This Row],[Profit]]/Table1[[#This Row],[Sale]]</f>
        <v>0.25000027204814157</v>
      </c>
      <c r="J135" s="5">
        <f t="shared" si="4"/>
        <v>2005</v>
      </c>
      <c r="K135" s="5">
        <f>MONTH(Table1[[#This Row],[Date]])</f>
        <v>6</v>
      </c>
      <c r="L135" s="5">
        <f>DAY(Table1[[#This Row],[Date]])</f>
        <v>22</v>
      </c>
      <c r="M135" s="5" t="str">
        <f t="shared" si="5"/>
        <v>Jun</v>
      </c>
    </row>
    <row r="136" spans="1:13" x14ac:dyDescent="0.25">
      <c r="A136" s="2">
        <v>38376</v>
      </c>
      <c r="B136" t="s">
        <v>17</v>
      </c>
      <c r="C136" t="s">
        <v>27</v>
      </c>
      <c r="D136" t="s">
        <v>13</v>
      </c>
      <c r="E136" t="s">
        <v>20</v>
      </c>
      <c r="F136" s="3">
        <v>4773.76</v>
      </c>
      <c r="G136" s="3">
        <v>8091.12</v>
      </c>
      <c r="H136" s="3">
        <f>Table1[[#This Row],[Sale]]-Table1[[#This Row],[Cost]]</f>
        <v>3317.3599999999997</v>
      </c>
      <c r="I136" s="4">
        <f>Table1[[#This Row],[Profit]]/Table1[[#This Row],[Sale]]</f>
        <v>0.4100000988738271</v>
      </c>
      <c r="J136" s="5">
        <f t="shared" si="4"/>
        <v>2005</v>
      </c>
      <c r="K136" s="5">
        <f>MONTH(Table1[[#This Row],[Date]])</f>
        <v>1</v>
      </c>
      <c r="L136" s="5">
        <f>DAY(Table1[[#This Row],[Date]])</f>
        <v>24</v>
      </c>
      <c r="M136" s="5" t="str">
        <f t="shared" si="5"/>
        <v>Jan</v>
      </c>
    </row>
    <row r="137" spans="1:13" x14ac:dyDescent="0.25">
      <c r="A137" s="2">
        <v>38212</v>
      </c>
      <c r="B137" t="s">
        <v>26</v>
      </c>
      <c r="C137" t="s">
        <v>23</v>
      </c>
      <c r="D137" t="s">
        <v>13</v>
      </c>
      <c r="E137" t="s">
        <v>25</v>
      </c>
      <c r="F137" s="3">
        <v>4570.17</v>
      </c>
      <c r="G137" s="3">
        <v>5193.37</v>
      </c>
      <c r="H137" s="3">
        <f>Table1[[#This Row],[Sale]]-Table1[[#This Row],[Cost]]</f>
        <v>623.19999999999982</v>
      </c>
      <c r="I137" s="4">
        <f>Table1[[#This Row],[Profit]]/Table1[[#This Row],[Sale]]</f>
        <v>0.11999915276593037</v>
      </c>
      <c r="J137" s="5">
        <f t="shared" si="4"/>
        <v>2004</v>
      </c>
      <c r="K137" s="5">
        <f>MONTH(Table1[[#This Row],[Date]])</f>
        <v>8</v>
      </c>
      <c r="L137" s="5">
        <f>DAY(Table1[[#This Row],[Date]])</f>
        <v>13</v>
      </c>
      <c r="M137" s="5" t="str">
        <f t="shared" si="5"/>
        <v>Aug</v>
      </c>
    </row>
    <row r="138" spans="1:13" x14ac:dyDescent="0.25">
      <c r="A138" s="2">
        <v>38589</v>
      </c>
      <c r="B138" t="s">
        <v>22</v>
      </c>
      <c r="C138" t="s">
        <v>27</v>
      </c>
      <c r="D138" t="s">
        <v>28</v>
      </c>
      <c r="E138" t="s">
        <v>14</v>
      </c>
      <c r="F138" s="3">
        <v>6362.06</v>
      </c>
      <c r="G138" s="3">
        <v>7229.61</v>
      </c>
      <c r="H138" s="3">
        <f>Table1[[#This Row],[Sale]]-Table1[[#This Row],[Cost]]</f>
        <v>867.54999999999927</v>
      </c>
      <c r="I138" s="4">
        <f>Table1[[#This Row],[Profit]]/Table1[[#This Row],[Sale]]</f>
        <v>0.11999955737584729</v>
      </c>
      <c r="J138" s="5">
        <f t="shared" si="4"/>
        <v>2005</v>
      </c>
      <c r="K138" s="5">
        <f>MONTH(Table1[[#This Row],[Date]])</f>
        <v>8</v>
      </c>
      <c r="L138" s="5">
        <f>DAY(Table1[[#This Row],[Date]])</f>
        <v>25</v>
      </c>
      <c r="M138" s="5" t="str">
        <f t="shared" si="5"/>
        <v>Aug</v>
      </c>
    </row>
    <row r="139" spans="1:13" x14ac:dyDescent="0.25">
      <c r="A139" s="2">
        <v>38551</v>
      </c>
      <c r="B139" t="s">
        <v>15</v>
      </c>
      <c r="C139" t="s">
        <v>27</v>
      </c>
      <c r="D139" t="s">
        <v>28</v>
      </c>
      <c r="E139" t="s">
        <v>14</v>
      </c>
      <c r="F139" s="3">
        <v>1068.5999999999999</v>
      </c>
      <c r="G139" s="3">
        <v>2888.1</v>
      </c>
      <c r="H139" s="3">
        <f>Table1[[#This Row],[Sale]]-Table1[[#This Row],[Cost]]</f>
        <v>1819.5</v>
      </c>
      <c r="I139" s="4">
        <f>Table1[[#This Row],[Profit]]/Table1[[#This Row],[Sale]]</f>
        <v>0.62999896125480426</v>
      </c>
      <c r="J139" s="5">
        <f t="shared" si="4"/>
        <v>2005</v>
      </c>
      <c r="K139" s="5">
        <f>MONTH(Table1[[#This Row],[Date]])</f>
        <v>7</v>
      </c>
      <c r="L139" s="5">
        <f>DAY(Table1[[#This Row],[Date]])</f>
        <v>18</v>
      </c>
      <c r="M139" s="5" t="str">
        <f t="shared" si="5"/>
        <v>Jul</v>
      </c>
    </row>
    <row r="140" spans="1:13" x14ac:dyDescent="0.25">
      <c r="A140" s="2">
        <v>38319</v>
      </c>
      <c r="B140" t="s">
        <v>17</v>
      </c>
      <c r="C140" t="s">
        <v>18</v>
      </c>
      <c r="D140" t="s">
        <v>28</v>
      </c>
      <c r="E140" t="s">
        <v>25</v>
      </c>
      <c r="F140" s="3">
        <v>2143.98</v>
      </c>
      <c r="G140" s="3">
        <v>4764.3999999999996</v>
      </c>
      <c r="H140" s="3">
        <f>Table1[[#This Row],[Sale]]-Table1[[#This Row],[Cost]]</f>
        <v>2620.4199999999996</v>
      </c>
      <c r="I140" s="4">
        <f>Table1[[#This Row],[Profit]]/Table1[[#This Row],[Sale]]</f>
        <v>0.54999999999999993</v>
      </c>
      <c r="J140" s="5">
        <f t="shared" si="4"/>
        <v>2004</v>
      </c>
      <c r="K140" s="5">
        <f>MONTH(Table1[[#This Row],[Date]])</f>
        <v>11</v>
      </c>
      <c r="L140" s="5">
        <f>DAY(Table1[[#This Row],[Date]])</f>
        <v>28</v>
      </c>
      <c r="M140" s="5" t="str">
        <f t="shared" si="5"/>
        <v>Nov</v>
      </c>
    </row>
    <row r="141" spans="1:13" x14ac:dyDescent="0.25">
      <c r="A141" s="2">
        <v>38502</v>
      </c>
      <c r="B141" t="s">
        <v>15</v>
      </c>
      <c r="C141" t="s">
        <v>12</v>
      </c>
      <c r="D141" t="s">
        <v>13</v>
      </c>
      <c r="E141" t="s">
        <v>20</v>
      </c>
      <c r="F141" s="3">
        <v>1004.52</v>
      </c>
      <c r="G141" s="3">
        <v>1731.93</v>
      </c>
      <c r="H141" s="3">
        <f>Table1[[#This Row],[Sale]]-Table1[[#This Row],[Cost]]</f>
        <v>727.41000000000008</v>
      </c>
      <c r="I141" s="4">
        <f>Table1[[#This Row],[Profit]]/Table1[[#This Row],[Sale]]</f>
        <v>0.41999965356567531</v>
      </c>
      <c r="J141" s="5">
        <f t="shared" si="4"/>
        <v>2005</v>
      </c>
      <c r="K141" s="5">
        <f>MONTH(Table1[[#This Row],[Date]])</f>
        <v>5</v>
      </c>
      <c r="L141" s="5">
        <f>DAY(Table1[[#This Row],[Date]])</f>
        <v>30</v>
      </c>
      <c r="M141" s="5" t="str">
        <f t="shared" si="5"/>
        <v>May</v>
      </c>
    </row>
    <row r="142" spans="1:13" x14ac:dyDescent="0.25">
      <c r="A142" s="2">
        <v>38194</v>
      </c>
      <c r="B142" t="s">
        <v>15</v>
      </c>
      <c r="C142" t="s">
        <v>27</v>
      </c>
      <c r="D142" t="s">
        <v>19</v>
      </c>
      <c r="E142" t="s">
        <v>25</v>
      </c>
      <c r="F142" s="3">
        <v>3913.94</v>
      </c>
      <c r="G142" s="3">
        <v>5218.59</v>
      </c>
      <c r="H142" s="3">
        <f>Table1[[#This Row],[Sale]]-Table1[[#This Row],[Cost]]</f>
        <v>1304.6500000000001</v>
      </c>
      <c r="I142" s="4">
        <f>Table1[[#This Row],[Profit]]/Table1[[#This Row],[Sale]]</f>
        <v>0.25000047905660344</v>
      </c>
      <c r="J142" s="5">
        <f t="shared" si="4"/>
        <v>2004</v>
      </c>
      <c r="K142" s="5">
        <f>MONTH(Table1[[#This Row],[Date]])</f>
        <v>7</v>
      </c>
      <c r="L142" s="5">
        <f>DAY(Table1[[#This Row],[Date]])</f>
        <v>26</v>
      </c>
      <c r="M142" s="5" t="str">
        <f t="shared" si="5"/>
        <v>Jul</v>
      </c>
    </row>
    <row r="143" spans="1:13" x14ac:dyDescent="0.25">
      <c r="A143" s="2">
        <v>38676</v>
      </c>
      <c r="B143" t="s">
        <v>15</v>
      </c>
      <c r="C143" t="s">
        <v>12</v>
      </c>
      <c r="D143" t="s">
        <v>28</v>
      </c>
      <c r="E143" t="s">
        <v>25</v>
      </c>
      <c r="F143" s="3">
        <v>6202.68</v>
      </c>
      <c r="G143" s="3">
        <v>6633.88</v>
      </c>
      <c r="H143" s="3">
        <f>Table1[[#This Row],[Sale]]-Table1[[#This Row],[Cost]]</f>
        <v>431.19999999999982</v>
      </c>
      <c r="I143" s="4">
        <f>Table1[[#This Row],[Profit]]/Table1[[#This Row],[Sale]]</f>
        <v>6.4999668369038907E-2</v>
      </c>
      <c r="J143" s="5">
        <f t="shared" si="4"/>
        <v>2005</v>
      </c>
      <c r="K143" s="5">
        <f>MONTH(Table1[[#This Row],[Date]])</f>
        <v>11</v>
      </c>
      <c r="L143" s="5">
        <f>DAY(Table1[[#This Row],[Date]])</f>
        <v>20</v>
      </c>
      <c r="M143" s="5" t="str">
        <f t="shared" si="5"/>
        <v>Nov</v>
      </c>
    </row>
    <row r="144" spans="1:13" x14ac:dyDescent="0.25">
      <c r="A144" s="2">
        <v>38641</v>
      </c>
      <c r="B144" t="s">
        <v>17</v>
      </c>
      <c r="C144" t="s">
        <v>27</v>
      </c>
      <c r="D144" t="s">
        <v>13</v>
      </c>
      <c r="E144" t="s">
        <v>20</v>
      </c>
      <c r="F144" s="3">
        <v>3111.47</v>
      </c>
      <c r="G144" s="3">
        <v>8409.39</v>
      </c>
      <c r="H144" s="3">
        <f>Table1[[#This Row],[Sale]]-Table1[[#This Row],[Cost]]</f>
        <v>5297.92</v>
      </c>
      <c r="I144" s="4">
        <f>Table1[[#This Row],[Profit]]/Table1[[#This Row],[Sale]]</f>
        <v>0.63000051133316448</v>
      </c>
      <c r="J144" s="5">
        <f t="shared" si="4"/>
        <v>2005</v>
      </c>
      <c r="K144" s="5">
        <f>MONTH(Table1[[#This Row],[Date]])</f>
        <v>10</v>
      </c>
      <c r="L144" s="5">
        <f>DAY(Table1[[#This Row],[Date]])</f>
        <v>16</v>
      </c>
      <c r="M144" s="5" t="str">
        <f t="shared" si="5"/>
        <v>Oct</v>
      </c>
    </row>
    <row r="145" spans="1:13" x14ac:dyDescent="0.25">
      <c r="A145" s="2">
        <v>38362</v>
      </c>
      <c r="B145" t="s">
        <v>22</v>
      </c>
      <c r="C145" t="s">
        <v>18</v>
      </c>
      <c r="D145" t="s">
        <v>16</v>
      </c>
      <c r="E145" t="s">
        <v>25</v>
      </c>
      <c r="F145" s="3">
        <v>5815.1</v>
      </c>
      <c r="G145" s="3">
        <v>6608.07</v>
      </c>
      <c r="H145" s="3">
        <f>Table1[[#This Row],[Sale]]-Table1[[#This Row],[Cost]]</f>
        <v>792.96999999999935</v>
      </c>
      <c r="I145" s="4">
        <f>Table1[[#This Row],[Profit]]/Table1[[#This Row],[Sale]]</f>
        <v>0.12000024212818559</v>
      </c>
      <c r="J145" s="5">
        <f t="shared" si="4"/>
        <v>2005</v>
      </c>
      <c r="K145" s="5">
        <f>MONTH(Table1[[#This Row],[Date]])</f>
        <v>1</v>
      </c>
      <c r="L145" s="5">
        <f>DAY(Table1[[#This Row],[Date]])</f>
        <v>10</v>
      </c>
      <c r="M145" s="5" t="str">
        <f t="shared" si="5"/>
        <v>Jan</v>
      </c>
    </row>
    <row r="146" spans="1:13" x14ac:dyDescent="0.25">
      <c r="A146" s="2">
        <v>38314</v>
      </c>
      <c r="B146" t="s">
        <v>17</v>
      </c>
      <c r="C146" t="s">
        <v>27</v>
      </c>
      <c r="D146" t="s">
        <v>19</v>
      </c>
      <c r="E146" t="s">
        <v>24</v>
      </c>
      <c r="F146" s="3">
        <v>682.21</v>
      </c>
      <c r="G146" s="3">
        <v>1240.3800000000001</v>
      </c>
      <c r="H146" s="3">
        <f>Table1[[#This Row],[Sale]]-Table1[[#This Row],[Cost]]</f>
        <v>558.17000000000007</v>
      </c>
      <c r="I146" s="4">
        <f>Table1[[#This Row],[Profit]]/Table1[[#This Row],[Sale]]</f>
        <v>0.44999919379544978</v>
      </c>
      <c r="J146" s="5">
        <f t="shared" si="4"/>
        <v>2004</v>
      </c>
      <c r="K146" s="5">
        <f>MONTH(Table1[[#This Row],[Date]])</f>
        <v>11</v>
      </c>
      <c r="L146" s="5">
        <f>DAY(Table1[[#This Row],[Date]])</f>
        <v>23</v>
      </c>
      <c r="M146" s="5" t="str">
        <f t="shared" si="5"/>
        <v>Nov</v>
      </c>
    </row>
    <row r="147" spans="1:13" x14ac:dyDescent="0.25">
      <c r="A147" s="2">
        <v>38781</v>
      </c>
      <c r="B147" t="s">
        <v>21</v>
      </c>
      <c r="C147" t="s">
        <v>27</v>
      </c>
      <c r="D147" t="s">
        <v>16</v>
      </c>
      <c r="E147" t="s">
        <v>14</v>
      </c>
      <c r="F147" s="3">
        <v>755.3</v>
      </c>
      <c r="G147" s="3">
        <v>1373.27</v>
      </c>
      <c r="H147" s="3">
        <f>Table1[[#This Row],[Sale]]-Table1[[#This Row],[Cost]]</f>
        <v>617.97</v>
      </c>
      <c r="I147" s="4">
        <f>Table1[[#This Row],[Profit]]/Table1[[#This Row],[Sale]]</f>
        <v>0.44999890771661805</v>
      </c>
      <c r="J147" s="5">
        <f t="shared" si="4"/>
        <v>2006</v>
      </c>
      <c r="K147" s="5">
        <f>MONTH(Table1[[#This Row],[Date]])</f>
        <v>3</v>
      </c>
      <c r="L147" s="5">
        <f>DAY(Table1[[#This Row],[Date]])</f>
        <v>5</v>
      </c>
      <c r="M147" s="5" t="str">
        <f t="shared" si="5"/>
        <v>Mar</v>
      </c>
    </row>
    <row r="148" spans="1:13" x14ac:dyDescent="0.25">
      <c r="A148" s="2">
        <v>38640</v>
      </c>
      <c r="B148" t="s">
        <v>11</v>
      </c>
      <c r="C148" t="s">
        <v>27</v>
      </c>
      <c r="D148" t="s">
        <v>16</v>
      </c>
      <c r="E148" t="s">
        <v>25</v>
      </c>
      <c r="F148" s="3">
        <v>926.09</v>
      </c>
      <c r="G148" s="3">
        <v>2057.98</v>
      </c>
      <c r="H148" s="3">
        <f>Table1[[#This Row],[Sale]]-Table1[[#This Row],[Cost]]</f>
        <v>1131.8899999999999</v>
      </c>
      <c r="I148" s="4">
        <f>Table1[[#This Row],[Profit]]/Table1[[#This Row],[Sale]]</f>
        <v>0.55000048591337125</v>
      </c>
      <c r="J148" s="5">
        <f t="shared" si="4"/>
        <v>2005</v>
      </c>
      <c r="K148" s="5">
        <f>MONTH(Table1[[#This Row],[Date]])</f>
        <v>10</v>
      </c>
      <c r="L148" s="5">
        <f>DAY(Table1[[#This Row],[Date]])</f>
        <v>15</v>
      </c>
      <c r="M148" s="5" t="str">
        <f t="shared" si="5"/>
        <v>Oct</v>
      </c>
    </row>
    <row r="149" spans="1:13" x14ac:dyDescent="0.25">
      <c r="A149" s="2">
        <v>38422</v>
      </c>
      <c r="B149" t="s">
        <v>15</v>
      </c>
      <c r="C149" t="s">
        <v>12</v>
      </c>
      <c r="D149" t="s">
        <v>28</v>
      </c>
      <c r="E149" t="s">
        <v>14</v>
      </c>
      <c r="F149" s="3">
        <v>4467.84</v>
      </c>
      <c r="G149" s="3">
        <v>6570.35</v>
      </c>
      <c r="H149" s="3">
        <f>Table1[[#This Row],[Sale]]-Table1[[#This Row],[Cost]]</f>
        <v>2102.5100000000002</v>
      </c>
      <c r="I149" s="4">
        <f>Table1[[#This Row],[Profit]]/Table1[[#This Row],[Sale]]</f>
        <v>0.31999969560221297</v>
      </c>
      <c r="J149" s="5">
        <f t="shared" si="4"/>
        <v>2005</v>
      </c>
      <c r="K149" s="5">
        <f>MONTH(Table1[[#This Row],[Date]])</f>
        <v>3</v>
      </c>
      <c r="L149" s="5">
        <f>DAY(Table1[[#This Row],[Date]])</f>
        <v>11</v>
      </c>
      <c r="M149" s="5" t="str">
        <f t="shared" si="5"/>
        <v>Mar</v>
      </c>
    </row>
    <row r="150" spans="1:13" x14ac:dyDescent="0.25">
      <c r="A150" s="2">
        <v>38193</v>
      </c>
      <c r="B150" t="s">
        <v>22</v>
      </c>
      <c r="C150" t="s">
        <v>27</v>
      </c>
      <c r="D150" t="s">
        <v>19</v>
      </c>
      <c r="E150" t="s">
        <v>24</v>
      </c>
      <c r="F150" s="3">
        <v>4488.71</v>
      </c>
      <c r="G150" s="3">
        <v>9974.92</v>
      </c>
      <c r="H150" s="3">
        <f>Table1[[#This Row],[Sale]]-Table1[[#This Row],[Cost]]</f>
        <v>5486.21</v>
      </c>
      <c r="I150" s="4">
        <f>Table1[[#This Row],[Profit]]/Table1[[#This Row],[Sale]]</f>
        <v>0.55000040100572234</v>
      </c>
      <c r="J150" s="5">
        <f t="shared" si="4"/>
        <v>2004</v>
      </c>
      <c r="K150" s="5">
        <f>MONTH(Table1[[#This Row],[Date]])</f>
        <v>7</v>
      </c>
      <c r="L150" s="5">
        <f>DAY(Table1[[#This Row],[Date]])</f>
        <v>25</v>
      </c>
      <c r="M150" s="5" t="str">
        <f t="shared" si="5"/>
        <v>Jul</v>
      </c>
    </row>
    <row r="151" spans="1:13" x14ac:dyDescent="0.25">
      <c r="A151" s="2">
        <v>38442</v>
      </c>
      <c r="B151" t="s">
        <v>11</v>
      </c>
      <c r="C151" t="s">
        <v>29</v>
      </c>
      <c r="D151" t="s">
        <v>16</v>
      </c>
      <c r="E151" t="s">
        <v>25</v>
      </c>
      <c r="F151" s="3">
        <v>1762.24</v>
      </c>
      <c r="G151" s="3">
        <v>4098.2299999999996</v>
      </c>
      <c r="H151" s="3">
        <f>Table1[[#This Row],[Sale]]-Table1[[#This Row],[Cost]]</f>
        <v>2335.9899999999998</v>
      </c>
      <c r="I151" s="4">
        <f>Table1[[#This Row],[Profit]]/Table1[[#This Row],[Sale]]</f>
        <v>0.56999973159144313</v>
      </c>
      <c r="J151" s="5">
        <f t="shared" si="4"/>
        <v>2005</v>
      </c>
      <c r="K151" s="5">
        <f>MONTH(Table1[[#This Row],[Date]])</f>
        <v>3</v>
      </c>
      <c r="L151" s="5">
        <f>DAY(Table1[[#This Row],[Date]])</f>
        <v>31</v>
      </c>
      <c r="M151" s="5" t="str">
        <f t="shared" si="5"/>
        <v>Mar</v>
      </c>
    </row>
    <row r="152" spans="1:13" x14ac:dyDescent="0.25">
      <c r="A152" s="2">
        <v>38739</v>
      </c>
      <c r="B152" t="s">
        <v>11</v>
      </c>
      <c r="C152" t="s">
        <v>18</v>
      </c>
      <c r="D152" t="s">
        <v>28</v>
      </c>
      <c r="E152" t="s">
        <v>25</v>
      </c>
      <c r="F152" s="3">
        <v>4517.8</v>
      </c>
      <c r="G152" s="3">
        <v>6643.82</v>
      </c>
      <c r="H152" s="3">
        <f>Table1[[#This Row],[Sale]]-Table1[[#This Row],[Cost]]</f>
        <v>2126.0199999999995</v>
      </c>
      <c r="I152" s="4">
        <f>Table1[[#This Row],[Profit]]/Table1[[#This Row],[Sale]]</f>
        <v>0.31999963876203746</v>
      </c>
      <c r="J152" s="5">
        <f t="shared" si="4"/>
        <v>2006</v>
      </c>
      <c r="K152" s="5">
        <f>MONTH(Table1[[#This Row],[Date]])</f>
        <v>1</v>
      </c>
      <c r="L152" s="5">
        <f>DAY(Table1[[#This Row],[Date]])</f>
        <v>22</v>
      </c>
      <c r="M152" s="5" t="str">
        <f t="shared" si="5"/>
        <v>Jan</v>
      </c>
    </row>
    <row r="153" spans="1:13" x14ac:dyDescent="0.25">
      <c r="A153" s="2">
        <v>38497</v>
      </c>
      <c r="B153" t="s">
        <v>26</v>
      </c>
      <c r="C153" t="s">
        <v>18</v>
      </c>
      <c r="D153" t="s">
        <v>13</v>
      </c>
      <c r="E153" t="s">
        <v>24</v>
      </c>
      <c r="F153" s="3">
        <v>454.23</v>
      </c>
      <c r="G153" s="3">
        <v>1009.4</v>
      </c>
      <c r="H153" s="3">
        <f>Table1[[#This Row],[Sale]]-Table1[[#This Row],[Cost]]</f>
        <v>555.16999999999996</v>
      </c>
      <c r="I153" s="4">
        <f>Table1[[#This Row],[Profit]]/Table1[[#This Row],[Sale]]</f>
        <v>0.54999999999999993</v>
      </c>
      <c r="J153" s="5">
        <f t="shared" si="4"/>
        <v>2005</v>
      </c>
      <c r="K153" s="5">
        <f>MONTH(Table1[[#This Row],[Date]])</f>
        <v>5</v>
      </c>
      <c r="L153" s="5">
        <f>DAY(Table1[[#This Row],[Date]])</f>
        <v>25</v>
      </c>
      <c r="M153" s="5" t="str">
        <f t="shared" si="5"/>
        <v>May</v>
      </c>
    </row>
    <row r="154" spans="1:13" x14ac:dyDescent="0.25">
      <c r="A154" s="2">
        <v>38843</v>
      </c>
      <c r="B154" t="s">
        <v>15</v>
      </c>
      <c r="C154" t="s">
        <v>18</v>
      </c>
      <c r="D154" t="s">
        <v>19</v>
      </c>
      <c r="E154" t="s">
        <v>20</v>
      </c>
      <c r="F154" s="3">
        <v>3558.86</v>
      </c>
      <c r="G154" s="3">
        <v>8276.43</v>
      </c>
      <c r="H154" s="3">
        <f>Table1[[#This Row],[Sale]]-Table1[[#This Row],[Cost]]</f>
        <v>4717.57</v>
      </c>
      <c r="I154" s="4">
        <f>Table1[[#This Row],[Profit]]/Table1[[#This Row],[Sale]]</f>
        <v>0.57000059204270437</v>
      </c>
      <c r="J154" s="5">
        <f t="shared" si="4"/>
        <v>2006</v>
      </c>
      <c r="K154" s="5">
        <f>MONTH(Table1[[#This Row],[Date]])</f>
        <v>5</v>
      </c>
      <c r="L154" s="5">
        <f>DAY(Table1[[#This Row],[Date]])</f>
        <v>6</v>
      </c>
      <c r="M154" s="5" t="str">
        <f t="shared" si="5"/>
        <v>May</v>
      </c>
    </row>
    <row r="155" spans="1:13" x14ac:dyDescent="0.25">
      <c r="A155" s="2">
        <v>38339</v>
      </c>
      <c r="B155" t="s">
        <v>15</v>
      </c>
      <c r="C155" t="s">
        <v>18</v>
      </c>
      <c r="D155" t="s">
        <v>16</v>
      </c>
      <c r="E155" t="s">
        <v>20</v>
      </c>
      <c r="F155" s="3">
        <v>114.45</v>
      </c>
      <c r="G155" s="3">
        <v>254.34</v>
      </c>
      <c r="H155" s="3">
        <f>Table1[[#This Row],[Sale]]-Table1[[#This Row],[Cost]]</f>
        <v>139.88999999999999</v>
      </c>
      <c r="I155" s="4">
        <f>Table1[[#This Row],[Profit]]/Table1[[#This Row],[Sale]]</f>
        <v>0.5500117952347251</v>
      </c>
      <c r="J155" s="5">
        <f t="shared" si="4"/>
        <v>2004</v>
      </c>
      <c r="K155" s="5">
        <f>MONTH(Table1[[#This Row],[Date]])</f>
        <v>12</v>
      </c>
      <c r="L155" s="5">
        <f>DAY(Table1[[#This Row],[Date]])</f>
        <v>18</v>
      </c>
      <c r="M155" s="5" t="str">
        <f t="shared" si="5"/>
        <v>Dec</v>
      </c>
    </row>
    <row r="156" spans="1:13" x14ac:dyDescent="0.25">
      <c r="A156" s="2">
        <v>38379</v>
      </c>
      <c r="B156" t="s">
        <v>15</v>
      </c>
      <c r="C156" t="s">
        <v>27</v>
      </c>
      <c r="D156" t="s">
        <v>28</v>
      </c>
      <c r="E156" t="s">
        <v>24</v>
      </c>
      <c r="F156" s="3">
        <v>3576.37</v>
      </c>
      <c r="G156" s="3">
        <v>4064.06</v>
      </c>
      <c r="H156" s="3">
        <f>Table1[[#This Row],[Sale]]-Table1[[#This Row],[Cost]]</f>
        <v>487.69000000000005</v>
      </c>
      <c r="I156" s="4">
        <f>Table1[[#This Row],[Profit]]/Table1[[#This Row],[Sale]]</f>
        <v>0.12000068896620622</v>
      </c>
      <c r="J156" s="5">
        <f t="shared" si="4"/>
        <v>2005</v>
      </c>
      <c r="K156" s="5">
        <f>MONTH(Table1[[#This Row],[Date]])</f>
        <v>1</v>
      </c>
      <c r="L156" s="5">
        <f>DAY(Table1[[#This Row],[Date]])</f>
        <v>27</v>
      </c>
      <c r="M156" s="5" t="str">
        <f t="shared" si="5"/>
        <v>Jan</v>
      </c>
    </row>
    <row r="157" spans="1:13" x14ac:dyDescent="0.25">
      <c r="A157" s="2">
        <v>38376</v>
      </c>
      <c r="B157" t="s">
        <v>11</v>
      </c>
      <c r="C157" t="s">
        <v>27</v>
      </c>
      <c r="D157" t="s">
        <v>28</v>
      </c>
      <c r="E157" t="s">
        <v>24</v>
      </c>
      <c r="F157" s="3">
        <v>114.03</v>
      </c>
      <c r="G157" s="3">
        <v>253.39</v>
      </c>
      <c r="H157" s="3">
        <f>Table1[[#This Row],[Sale]]-Table1[[#This Row],[Cost]]</f>
        <v>139.35999999999999</v>
      </c>
      <c r="I157" s="4">
        <f>Table1[[#This Row],[Profit]]/Table1[[#This Row],[Sale]]</f>
        <v>0.5499822408145546</v>
      </c>
      <c r="J157" s="5">
        <f t="shared" si="4"/>
        <v>2005</v>
      </c>
      <c r="K157" s="5">
        <f>MONTH(Table1[[#This Row],[Date]])</f>
        <v>1</v>
      </c>
      <c r="L157" s="5">
        <f>DAY(Table1[[#This Row],[Date]])</f>
        <v>24</v>
      </c>
      <c r="M157" s="5" t="str">
        <f t="shared" si="5"/>
        <v>Jan</v>
      </c>
    </row>
    <row r="158" spans="1:13" x14ac:dyDescent="0.25">
      <c r="A158" s="2">
        <v>38277</v>
      </c>
      <c r="B158" t="s">
        <v>26</v>
      </c>
      <c r="C158" t="s">
        <v>18</v>
      </c>
      <c r="D158" t="s">
        <v>13</v>
      </c>
      <c r="E158" t="s">
        <v>25</v>
      </c>
      <c r="F158" s="3">
        <v>4316.71</v>
      </c>
      <c r="G158" s="3">
        <v>4616.8</v>
      </c>
      <c r="H158" s="3">
        <f>Table1[[#This Row],[Sale]]-Table1[[#This Row],[Cost]]</f>
        <v>300.09000000000015</v>
      </c>
      <c r="I158" s="4">
        <f>Table1[[#This Row],[Profit]]/Table1[[#This Row],[Sale]]</f>
        <v>6.4999566799514838E-2</v>
      </c>
      <c r="J158" s="5">
        <f t="shared" si="4"/>
        <v>2004</v>
      </c>
      <c r="K158" s="5">
        <f>MONTH(Table1[[#This Row],[Date]])</f>
        <v>10</v>
      </c>
      <c r="L158" s="5">
        <f>DAY(Table1[[#This Row],[Date]])</f>
        <v>17</v>
      </c>
      <c r="M158" s="5" t="str">
        <f t="shared" si="5"/>
        <v>Oct</v>
      </c>
    </row>
    <row r="159" spans="1:13" x14ac:dyDescent="0.25">
      <c r="A159" s="2">
        <v>38421</v>
      </c>
      <c r="B159" t="s">
        <v>11</v>
      </c>
      <c r="C159" t="s">
        <v>29</v>
      </c>
      <c r="D159" t="s">
        <v>16</v>
      </c>
      <c r="E159" t="s">
        <v>14</v>
      </c>
      <c r="F159" s="3">
        <v>6587.55</v>
      </c>
      <c r="G159" s="3">
        <v>8783.4</v>
      </c>
      <c r="H159" s="3">
        <f>Table1[[#This Row],[Sale]]-Table1[[#This Row],[Cost]]</f>
        <v>2195.8499999999995</v>
      </c>
      <c r="I159" s="4">
        <f>Table1[[#This Row],[Profit]]/Table1[[#This Row],[Sale]]</f>
        <v>0.24999999999999994</v>
      </c>
      <c r="J159" s="5">
        <f t="shared" si="4"/>
        <v>2005</v>
      </c>
      <c r="K159" s="5">
        <f>MONTH(Table1[[#This Row],[Date]])</f>
        <v>3</v>
      </c>
      <c r="L159" s="5">
        <f>DAY(Table1[[#This Row],[Date]])</f>
        <v>10</v>
      </c>
      <c r="M159" s="5" t="str">
        <f t="shared" si="5"/>
        <v>Mar</v>
      </c>
    </row>
    <row r="160" spans="1:13" x14ac:dyDescent="0.25">
      <c r="A160" s="2">
        <v>38366</v>
      </c>
      <c r="B160" t="s">
        <v>26</v>
      </c>
      <c r="C160" t="s">
        <v>18</v>
      </c>
      <c r="D160" t="s">
        <v>13</v>
      </c>
      <c r="E160" t="s">
        <v>25</v>
      </c>
      <c r="F160" s="3">
        <v>2674.67</v>
      </c>
      <c r="G160" s="3">
        <v>4863.04</v>
      </c>
      <c r="H160" s="3">
        <f>Table1[[#This Row],[Sale]]-Table1[[#This Row],[Cost]]</f>
        <v>2188.37</v>
      </c>
      <c r="I160" s="4">
        <f>Table1[[#This Row],[Profit]]/Table1[[#This Row],[Sale]]</f>
        <v>0.45000041126538132</v>
      </c>
      <c r="J160" s="5">
        <f t="shared" si="4"/>
        <v>2005</v>
      </c>
      <c r="K160" s="5">
        <f>MONTH(Table1[[#This Row],[Date]])</f>
        <v>1</v>
      </c>
      <c r="L160" s="5">
        <f>DAY(Table1[[#This Row],[Date]])</f>
        <v>14</v>
      </c>
      <c r="M160" s="5" t="str">
        <f t="shared" si="5"/>
        <v>Jan</v>
      </c>
    </row>
    <row r="161" spans="1:13" x14ac:dyDescent="0.25">
      <c r="A161" s="2">
        <v>38845</v>
      </c>
      <c r="B161" t="s">
        <v>15</v>
      </c>
      <c r="C161" t="s">
        <v>27</v>
      </c>
      <c r="D161" t="s">
        <v>19</v>
      </c>
      <c r="E161" t="s">
        <v>14</v>
      </c>
      <c r="F161" s="3">
        <v>1834.05</v>
      </c>
      <c r="G161" s="3">
        <v>4956.88</v>
      </c>
      <c r="H161" s="3">
        <f>Table1[[#This Row],[Sale]]-Table1[[#This Row],[Cost]]</f>
        <v>3122.83</v>
      </c>
      <c r="I161" s="4">
        <f>Table1[[#This Row],[Profit]]/Table1[[#This Row],[Sale]]</f>
        <v>0.62999911234486206</v>
      </c>
      <c r="J161" s="5">
        <f t="shared" si="4"/>
        <v>2006</v>
      </c>
      <c r="K161" s="5">
        <f>MONTH(Table1[[#This Row],[Date]])</f>
        <v>5</v>
      </c>
      <c r="L161" s="5">
        <f>DAY(Table1[[#This Row],[Date]])</f>
        <v>8</v>
      </c>
      <c r="M161" s="5" t="str">
        <f t="shared" si="5"/>
        <v>May</v>
      </c>
    </row>
    <row r="162" spans="1:13" x14ac:dyDescent="0.25">
      <c r="A162" s="2">
        <v>38848</v>
      </c>
      <c r="B162" t="s">
        <v>21</v>
      </c>
      <c r="C162" t="s">
        <v>18</v>
      </c>
      <c r="D162" t="s">
        <v>19</v>
      </c>
      <c r="E162" t="s">
        <v>20</v>
      </c>
      <c r="F162" s="3">
        <v>3545.62</v>
      </c>
      <c r="G162" s="3">
        <v>3792.11</v>
      </c>
      <c r="H162" s="3">
        <f>Table1[[#This Row],[Sale]]-Table1[[#This Row],[Cost]]</f>
        <v>246.49000000000024</v>
      </c>
      <c r="I162" s="4">
        <f>Table1[[#This Row],[Profit]]/Table1[[#This Row],[Sale]]</f>
        <v>6.5000751560476938E-2</v>
      </c>
      <c r="J162" s="5">
        <f t="shared" si="4"/>
        <v>2006</v>
      </c>
      <c r="K162" s="5">
        <f>MONTH(Table1[[#This Row],[Date]])</f>
        <v>5</v>
      </c>
      <c r="L162" s="5">
        <f>DAY(Table1[[#This Row],[Date]])</f>
        <v>11</v>
      </c>
      <c r="M162" s="5" t="str">
        <f t="shared" si="5"/>
        <v>May</v>
      </c>
    </row>
    <row r="163" spans="1:13" x14ac:dyDescent="0.25">
      <c r="A163" s="2">
        <v>38752</v>
      </c>
      <c r="B163" t="s">
        <v>21</v>
      </c>
      <c r="C163" t="s">
        <v>18</v>
      </c>
      <c r="D163" t="s">
        <v>16</v>
      </c>
      <c r="E163" t="s">
        <v>20</v>
      </c>
      <c r="F163" s="3">
        <v>1465.09</v>
      </c>
      <c r="G163" s="3">
        <v>2526.02</v>
      </c>
      <c r="H163" s="3">
        <f>Table1[[#This Row],[Sale]]-Table1[[#This Row],[Cost]]</f>
        <v>1060.93</v>
      </c>
      <c r="I163" s="4">
        <f>Table1[[#This Row],[Profit]]/Table1[[#This Row],[Sale]]</f>
        <v>0.42000063340749483</v>
      </c>
      <c r="J163" s="5">
        <f t="shared" si="4"/>
        <v>2006</v>
      </c>
      <c r="K163" s="5">
        <f>MONTH(Table1[[#This Row],[Date]])</f>
        <v>2</v>
      </c>
      <c r="L163" s="5">
        <f>DAY(Table1[[#This Row],[Date]])</f>
        <v>4</v>
      </c>
      <c r="M163" s="5" t="str">
        <f t="shared" si="5"/>
        <v>Feb</v>
      </c>
    </row>
    <row r="164" spans="1:13" x14ac:dyDescent="0.25">
      <c r="A164" s="2">
        <v>38280</v>
      </c>
      <c r="B164" t="s">
        <v>17</v>
      </c>
      <c r="C164" t="s">
        <v>27</v>
      </c>
      <c r="D164" t="s">
        <v>16</v>
      </c>
      <c r="E164" t="s">
        <v>24</v>
      </c>
      <c r="F164" s="3">
        <v>6214.08</v>
      </c>
      <c r="G164" s="3">
        <v>7061.45</v>
      </c>
      <c r="H164" s="3">
        <f>Table1[[#This Row],[Sale]]-Table1[[#This Row],[Cost]]</f>
        <v>847.36999999999989</v>
      </c>
      <c r="I164" s="4">
        <f>Table1[[#This Row],[Profit]]/Table1[[#This Row],[Sale]]</f>
        <v>0.11999943354410211</v>
      </c>
      <c r="J164" s="5">
        <f t="shared" si="4"/>
        <v>2004</v>
      </c>
      <c r="K164" s="5">
        <f>MONTH(Table1[[#This Row],[Date]])</f>
        <v>10</v>
      </c>
      <c r="L164" s="5">
        <f>DAY(Table1[[#This Row],[Date]])</f>
        <v>20</v>
      </c>
      <c r="M164" s="5" t="str">
        <f t="shared" si="5"/>
        <v>Oct</v>
      </c>
    </row>
    <row r="165" spans="1:13" x14ac:dyDescent="0.25">
      <c r="A165" s="2">
        <v>38200</v>
      </c>
      <c r="B165" t="s">
        <v>21</v>
      </c>
      <c r="C165" t="s">
        <v>27</v>
      </c>
      <c r="D165" t="s">
        <v>16</v>
      </c>
      <c r="E165" t="s">
        <v>20</v>
      </c>
      <c r="F165" s="3">
        <v>2934.9</v>
      </c>
      <c r="G165" s="3">
        <v>3335.11</v>
      </c>
      <c r="H165" s="3">
        <f>Table1[[#This Row],[Sale]]-Table1[[#This Row],[Cost]]</f>
        <v>400.21000000000004</v>
      </c>
      <c r="I165" s="4">
        <f>Table1[[#This Row],[Profit]]/Table1[[#This Row],[Sale]]</f>
        <v>0.11999904051140743</v>
      </c>
      <c r="J165" s="5">
        <f t="shared" si="4"/>
        <v>2004</v>
      </c>
      <c r="K165" s="5">
        <f>MONTH(Table1[[#This Row],[Date]])</f>
        <v>8</v>
      </c>
      <c r="L165" s="5">
        <f>DAY(Table1[[#This Row],[Date]])</f>
        <v>1</v>
      </c>
      <c r="M165" s="5" t="str">
        <f t="shared" si="5"/>
        <v>Aug</v>
      </c>
    </row>
    <row r="166" spans="1:13" x14ac:dyDescent="0.25">
      <c r="A166" s="2">
        <v>38491</v>
      </c>
      <c r="B166" t="s">
        <v>21</v>
      </c>
      <c r="C166" t="s">
        <v>29</v>
      </c>
      <c r="D166" t="s">
        <v>28</v>
      </c>
      <c r="E166" t="s">
        <v>25</v>
      </c>
      <c r="F166" s="3">
        <v>5267.87</v>
      </c>
      <c r="G166" s="3">
        <v>5634.09</v>
      </c>
      <c r="H166" s="3">
        <f>Table1[[#This Row],[Sale]]-Table1[[#This Row],[Cost]]</f>
        <v>366.22000000000025</v>
      </c>
      <c r="I166" s="4">
        <f>Table1[[#This Row],[Profit]]/Table1[[#This Row],[Sale]]</f>
        <v>6.5000736587452493E-2</v>
      </c>
      <c r="J166" s="5">
        <f t="shared" si="4"/>
        <v>2005</v>
      </c>
      <c r="K166" s="5">
        <f>MONTH(Table1[[#This Row],[Date]])</f>
        <v>5</v>
      </c>
      <c r="L166" s="5">
        <f>DAY(Table1[[#This Row],[Date]])</f>
        <v>19</v>
      </c>
      <c r="M166" s="5" t="str">
        <f t="shared" si="5"/>
        <v>May</v>
      </c>
    </row>
    <row r="167" spans="1:13" x14ac:dyDescent="0.25">
      <c r="A167" s="2">
        <v>38280</v>
      </c>
      <c r="B167" t="s">
        <v>11</v>
      </c>
      <c r="C167" t="s">
        <v>29</v>
      </c>
      <c r="D167" t="s">
        <v>16</v>
      </c>
      <c r="E167" t="s">
        <v>14</v>
      </c>
      <c r="F167" s="3">
        <v>3183.98</v>
      </c>
      <c r="G167" s="3">
        <v>7404.6</v>
      </c>
      <c r="H167" s="3">
        <f>Table1[[#This Row],[Sale]]-Table1[[#This Row],[Cost]]</f>
        <v>4220.6200000000008</v>
      </c>
      <c r="I167" s="4">
        <f>Table1[[#This Row],[Profit]]/Table1[[#This Row],[Sale]]</f>
        <v>0.56999972989763126</v>
      </c>
      <c r="J167" s="5">
        <f t="shared" si="4"/>
        <v>2004</v>
      </c>
      <c r="K167" s="5">
        <f>MONTH(Table1[[#This Row],[Date]])</f>
        <v>10</v>
      </c>
      <c r="L167" s="5">
        <f>DAY(Table1[[#This Row],[Date]])</f>
        <v>20</v>
      </c>
      <c r="M167" s="5" t="str">
        <f t="shared" si="5"/>
        <v>Oct</v>
      </c>
    </row>
    <row r="168" spans="1:13" x14ac:dyDescent="0.25">
      <c r="A168" s="2">
        <v>38763</v>
      </c>
      <c r="B168" t="s">
        <v>15</v>
      </c>
      <c r="C168" t="s">
        <v>18</v>
      </c>
      <c r="D168" t="s">
        <v>19</v>
      </c>
      <c r="E168" t="s">
        <v>20</v>
      </c>
      <c r="F168" s="3">
        <v>58.76</v>
      </c>
      <c r="G168" s="3">
        <v>158.81</v>
      </c>
      <c r="H168" s="3">
        <f>Table1[[#This Row],[Sale]]-Table1[[#This Row],[Cost]]</f>
        <v>100.05000000000001</v>
      </c>
      <c r="I168" s="4">
        <f>Table1[[#This Row],[Profit]]/Table1[[#This Row],[Sale]]</f>
        <v>0.62999811095019209</v>
      </c>
      <c r="J168" s="5">
        <f t="shared" si="4"/>
        <v>2006</v>
      </c>
      <c r="K168" s="5">
        <f>MONTH(Table1[[#This Row],[Date]])</f>
        <v>2</v>
      </c>
      <c r="L168" s="5">
        <f>DAY(Table1[[#This Row],[Date]])</f>
        <v>15</v>
      </c>
      <c r="M168" s="5" t="str">
        <f t="shared" si="5"/>
        <v>Feb</v>
      </c>
    </row>
    <row r="169" spans="1:13" x14ac:dyDescent="0.25">
      <c r="A169" s="2">
        <v>38669</v>
      </c>
      <c r="B169" t="s">
        <v>22</v>
      </c>
      <c r="C169" t="s">
        <v>18</v>
      </c>
      <c r="D169" t="s">
        <v>28</v>
      </c>
      <c r="E169" t="s">
        <v>14</v>
      </c>
      <c r="F169" s="3">
        <v>833.05</v>
      </c>
      <c r="G169" s="3">
        <v>1937.32</v>
      </c>
      <c r="H169" s="3">
        <f>Table1[[#This Row],[Sale]]-Table1[[#This Row],[Cost]]</f>
        <v>1104.27</v>
      </c>
      <c r="I169" s="4">
        <f>Table1[[#This Row],[Profit]]/Table1[[#This Row],[Sale]]</f>
        <v>0.56999876117523174</v>
      </c>
      <c r="J169" s="5">
        <f t="shared" si="4"/>
        <v>2005</v>
      </c>
      <c r="K169" s="5">
        <f>MONTH(Table1[[#This Row],[Date]])</f>
        <v>11</v>
      </c>
      <c r="L169" s="5">
        <f>DAY(Table1[[#This Row],[Date]])</f>
        <v>13</v>
      </c>
      <c r="M169" s="5" t="str">
        <f t="shared" si="5"/>
        <v>Nov</v>
      </c>
    </row>
    <row r="170" spans="1:13" x14ac:dyDescent="0.25">
      <c r="A170" s="2">
        <v>38428</v>
      </c>
      <c r="B170" t="s">
        <v>26</v>
      </c>
      <c r="C170" t="s">
        <v>23</v>
      </c>
      <c r="D170" t="s">
        <v>19</v>
      </c>
      <c r="E170" t="s">
        <v>14</v>
      </c>
      <c r="F170" s="3">
        <v>558.25</v>
      </c>
      <c r="G170" s="3">
        <v>1298.25</v>
      </c>
      <c r="H170" s="3">
        <f>Table1[[#This Row],[Sale]]-Table1[[#This Row],[Cost]]</f>
        <v>740</v>
      </c>
      <c r="I170" s="4">
        <f>Table1[[#This Row],[Profit]]/Table1[[#This Row],[Sale]]</f>
        <v>0.56999807433082994</v>
      </c>
      <c r="J170" s="5">
        <f t="shared" si="4"/>
        <v>2005</v>
      </c>
      <c r="K170" s="5">
        <f>MONTH(Table1[[#This Row],[Date]])</f>
        <v>3</v>
      </c>
      <c r="L170" s="5">
        <f>DAY(Table1[[#This Row],[Date]])</f>
        <v>17</v>
      </c>
      <c r="M170" s="5" t="str">
        <f t="shared" si="5"/>
        <v>Mar</v>
      </c>
    </row>
    <row r="171" spans="1:13" x14ac:dyDescent="0.25">
      <c r="A171" s="2">
        <v>38295</v>
      </c>
      <c r="B171" t="s">
        <v>21</v>
      </c>
      <c r="C171" t="s">
        <v>12</v>
      </c>
      <c r="D171" t="s">
        <v>19</v>
      </c>
      <c r="E171" t="s">
        <v>20</v>
      </c>
      <c r="F171" s="3">
        <v>8100.62</v>
      </c>
      <c r="G171" s="3">
        <v>9205.25</v>
      </c>
      <c r="H171" s="3">
        <f>Table1[[#This Row],[Sale]]-Table1[[#This Row],[Cost]]</f>
        <v>1104.6300000000001</v>
      </c>
      <c r="I171" s="4">
        <f>Table1[[#This Row],[Profit]]/Table1[[#This Row],[Sale]]</f>
        <v>0.12000000000000001</v>
      </c>
      <c r="J171" s="5">
        <f t="shared" si="4"/>
        <v>2004</v>
      </c>
      <c r="K171" s="5">
        <f>MONTH(Table1[[#This Row],[Date]])</f>
        <v>11</v>
      </c>
      <c r="L171" s="5">
        <f>DAY(Table1[[#This Row],[Date]])</f>
        <v>4</v>
      </c>
      <c r="M171" s="5" t="str">
        <f t="shared" si="5"/>
        <v>Nov</v>
      </c>
    </row>
    <row r="172" spans="1:13" x14ac:dyDescent="0.25">
      <c r="A172" s="2">
        <v>38805</v>
      </c>
      <c r="B172" t="s">
        <v>11</v>
      </c>
      <c r="C172" t="s">
        <v>23</v>
      </c>
      <c r="D172" t="s">
        <v>19</v>
      </c>
      <c r="E172" t="s">
        <v>14</v>
      </c>
      <c r="F172" s="3">
        <v>1929.29</v>
      </c>
      <c r="G172" s="3">
        <v>4287.32</v>
      </c>
      <c r="H172" s="3">
        <f>Table1[[#This Row],[Sale]]-Table1[[#This Row],[Cost]]</f>
        <v>2358.0299999999997</v>
      </c>
      <c r="I172" s="4">
        <f>Table1[[#This Row],[Profit]]/Table1[[#This Row],[Sale]]</f>
        <v>0.55000093298377539</v>
      </c>
      <c r="J172" s="5">
        <f t="shared" si="4"/>
        <v>2006</v>
      </c>
      <c r="K172" s="5">
        <f>MONTH(Table1[[#This Row],[Date]])</f>
        <v>3</v>
      </c>
      <c r="L172" s="5">
        <f>DAY(Table1[[#This Row],[Date]])</f>
        <v>29</v>
      </c>
      <c r="M172" s="5" t="str">
        <f t="shared" si="5"/>
        <v>Mar</v>
      </c>
    </row>
    <row r="173" spans="1:13" x14ac:dyDescent="0.25">
      <c r="A173" s="2">
        <v>38839</v>
      </c>
      <c r="B173" t="s">
        <v>11</v>
      </c>
      <c r="C173" t="s">
        <v>29</v>
      </c>
      <c r="D173" t="s">
        <v>19</v>
      </c>
      <c r="E173" t="s">
        <v>20</v>
      </c>
      <c r="F173" s="3">
        <v>3127.76</v>
      </c>
      <c r="G173" s="3">
        <v>6950.57</v>
      </c>
      <c r="H173" s="3">
        <f>Table1[[#This Row],[Sale]]-Table1[[#This Row],[Cost]]</f>
        <v>3822.8099999999995</v>
      </c>
      <c r="I173" s="4">
        <f>Table1[[#This Row],[Profit]]/Table1[[#This Row],[Sale]]</f>
        <v>0.54999949644417645</v>
      </c>
      <c r="J173" s="5">
        <f t="shared" si="4"/>
        <v>2006</v>
      </c>
      <c r="K173" s="5">
        <f>MONTH(Table1[[#This Row],[Date]])</f>
        <v>5</v>
      </c>
      <c r="L173" s="5">
        <f>DAY(Table1[[#This Row],[Date]])</f>
        <v>2</v>
      </c>
      <c r="M173" s="5" t="str">
        <f t="shared" si="5"/>
        <v>May</v>
      </c>
    </row>
    <row r="174" spans="1:13" x14ac:dyDescent="0.25">
      <c r="A174" s="2">
        <v>38877</v>
      </c>
      <c r="B174" t="s">
        <v>26</v>
      </c>
      <c r="C174" t="s">
        <v>12</v>
      </c>
      <c r="D174" t="s">
        <v>28</v>
      </c>
      <c r="E174" t="s">
        <v>24</v>
      </c>
      <c r="F174" s="3">
        <v>6487.52</v>
      </c>
      <c r="G174" s="3">
        <v>7372.18</v>
      </c>
      <c r="H174" s="3">
        <f>Table1[[#This Row],[Sale]]-Table1[[#This Row],[Cost]]</f>
        <v>884.65999999999985</v>
      </c>
      <c r="I174" s="4">
        <f>Table1[[#This Row],[Profit]]/Table1[[#This Row],[Sale]]</f>
        <v>0.11999978296786022</v>
      </c>
      <c r="J174" s="5">
        <f t="shared" si="4"/>
        <v>2006</v>
      </c>
      <c r="K174" s="5">
        <f>MONTH(Table1[[#This Row],[Date]])</f>
        <v>6</v>
      </c>
      <c r="L174" s="5">
        <f>DAY(Table1[[#This Row],[Date]])</f>
        <v>9</v>
      </c>
      <c r="M174" s="5" t="str">
        <f t="shared" si="5"/>
        <v>Jun</v>
      </c>
    </row>
    <row r="175" spans="1:13" x14ac:dyDescent="0.25">
      <c r="A175" s="2">
        <v>38844</v>
      </c>
      <c r="B175" t="s">
        <v>11</v>
      </c>
      <c r="C175" t="s">
        <v>29</v>
      </c>
      <c r="D175" t="s">
        <v>28</v>
      </c>
      <c r="E175" t="s">
        <v>20</v>
      </c>
      <c r="F175" s="3">
        <v>4677.2299999999996</v>
      </c>
      <c r="G175" s="3">
        <v>5002.38</v>
      </c>
      <c r="H175" s="3">
        <f>Table1[[#This Row],[Sale]]-Table1[[#This Row],[Cost]]</f>
        <v>325.15000000000055</v>
      </c>
      <c r="I175" s="4">
        <f>Table1[[#This Row],[Profit]]/Table1[[#This Row],[Sale]]</f>
        <v>6.4999060447227225E-2</v>
      </c>
      <c r="J175" s="5">
        <f t="shared" si="4"/>
        <v>2006</v>
      </c>
      <c r="K175" s="5">
        <f>MONTH(Table1[[#This Row],[Date]])</f>
        <v>5</v>
      </c>
      <c r="L175" s="5">
        <f>DAY(Table1[[#This Row],[Date]])</f>
        <v>7</v>
      </c>
      <c r="M175" s="5" t="str">
        <f t="shared" si="5"/>
        <v>May</v>
      </c>
    </row>
    <row r="176" spans="1:13" x14ac:dyDescent="0.25">
      <c r="A176" s="2">
        <v>38192</v>
      </c>
      <c r="B176" t="s">
        <v>17</v>
      </c>
      <c r="C176" t="s">
        <v>12</v>
      </c>
      <c r="D176" t="s">
        <v>13</v>
      </c>
      <c r="E176" t="s">
        <v>20</v>
      </c>
      <c r="F176" s="3">
        <v>3410.24</v>
      </c>
      <c r="G176" s="3">
        <v>7578.32</v>
      </c>
      <c r="H176" s="3">
        <f>Table1[[#This Row],[Sale]]-Table1[[#This Row],[Cost]]</f>
        <v>4168.08</v>
      </c>
      <c r="I176" s="4">
        <f>Table1[[#This Row],[Profit]]/Table1[[#This Row],[Sale]]</f>
        <v>0.55000052782146969</v>
      </c>
      <c r="J176" s="5">
        <f t="shared" si="4"/>
        <v>2004</v>
      </c>
      <c r="K176" s="5">
        <f>MONTH(Table1[[#This Row],[Date]])</f>
        <v>7</v>
      </c>
      <c r="L176" s="5">
        <f>DAY(Table1[[#This Row],[Date]])</f>
        <v>24</v>
      </c>
      <c r="M176" s="5" t="str">
        <f t="shared" si="5"/>
        <v>Jul</v>
      </c>
    </row>
    <row r="177" spans="1:13" x14ac:dyDescent="0.25">
      <c r="A177" s="2">
        <v>38374</v>
      </c>
      <c r="B177" t="s">
        <v>21</v>
      </c>
      <c r="C177" t="s">
        <v>12</v>
      </c>
      <c r="D177" t="s">
        <v>13</v>
      </c>
      <c r="E177" t="s">
        <v>24</v>
      </c>
      <c r="F177" s="3">
        <v>1735.73</v>
      </c>
      <c r="G177" s="3">
        <v>1856.4</v>
      </c>
      <c r="H177" s="3">
        <f>Table1[[#This Row],[Sale]]-Table1[[#This Row],[Cost]]</f>
        <v>120.67000000000007</v>
      </c>
      <c r="I177" s="4">
        <f>Table1[[#This Row],[Profit]]/Table1[[#This Row],[Sale]]</f>
        <v>6.5002154708037094E-2</v>
      </c>
      <c r="J177" s="5">
        <f t="shared" si="4"/>
        <v>2005</v>
      </c>
      <c r="K177" s="5">
        <f>MONTH(Table1[[#This Row],[Date]])</f>
        <v>1</v>
      </c>
      <c r="L177" s="5">
        <f>DAY(Table1[[#This Row],[Date]])</f>
        <v>22</v>
      </c>
      <c r="M177" s="5" t="str">
        <f t="shared" si="5"/>
        <v>Jan</v>
      </c>
    </row>
    <row r="178" spans="1:13" x14ac:dyDescent="0.25">
      <c r="A178" s="2">
        <v>38262</v>
      </c>
      <c r="B178" t="s">
        <v>17</v>
      </c>
      <c r="C178" t="s">
        <v>23</v>
      </c>
      <c r="D178" t="s">
        <v>19</v>
      </c>
      <c r="E178" t="s">
        <v>24</v>
      </c>
      <c r="F178" s="3">
        <v>6662.83</v>
      </c>
      <c r="G178" s="3">
        <v>7126.02</v>
      </c>
      <c r="H178" s="3">
        <f>Table1[[#This Row],[Sale]]-Table1[[#This Row],[Cost]]</f>
        <v>463.19000000000051</v>
      </c>
      <c r="I178" s="4">
        <f>Table1[[#This Row],[Profit]]/Table1[[#This Row],[Sale]]</f>
        <v>6.4999817569976012E-2</v>
      </c>
      <c r="J178" s="5">
        <f t="shared" si="4"/>
        <v>2004</v>
      </c>
      <c r="K178" s="5">
        <f>MONTH(Table1[[#This Row],[Date]])</f>
        <v>10</v>
      </c>
      <c r="L178" s="5">
        <f>DAY(Table1[[#This Row],[Date]])</f>
        <v>2</v>
      </c>
      <c r="M178" s="5" t="str">
        <f t="shared" si="5"/>
        <v>Oct</v>
      </c>
    </row>
    <row r="179" spans="1:13" x14ac:dyDescent="0.25">
      <c r="A179" s="2">
        <v>38853</v>
      </c>
      <c r="B179" t="s">
        <v>21</v>
      </c>
      <c r="C179" t="s">
        <v>27</v>
      </c>
      <c r="D179" t="s">
        <v>13</v>
      </c>
      <c r="E179" t="s">
        <v>25</v>
      </c>
      <c r="F179" s="3">
        <v>4533.76</v>
      </c>
      <c r="G179" s="3">
        <v>6045.01</v>
      </c>
      <c r="H179" s="3">
        <f>Table1[[#This Row],[Sale]]-Table1[[#This Row],[Cost]]</f>
        <v>1511.25</v>
      </c>
      <c r="I179" s="4">
        <f>Table1[[#This Row],[Profit]]/Table1[[#This Row],[Sale]]</f>
        <v>0.24999958643575443</v>
      </c>
      <c r="J179" s="5">
        <f t="shared" si="4"/>
        <v>2006</v>
      </c>
      <c r="K179" s="5">
        <f>MONTH(Table1[[#This Row],[Date]])</f>
        <v>5</v>
      </c>
      <c r="L179" s="5">
        <f>DAY(Table1[[#This Row],[Date]])</f>
        <v>16</v>
      </c>
      <c r="M179" s="5" t="str">
        <f t="shared" si="5"/>
        <v>May</v>
      </c>
    </row>
    <row r="180" spans="1:13" x14ac:dyDescent="0.25">
      <c r="A180" s="2">
        <v>38322</v>
      </c>
      <c r="B180" t="s">
        <v>15</v>
      </c>
      <c r="C180" t="s">
        <v>29</v>
      </c>
      <c r="D180" t="s">
        <v>16</v>
      </c>
      <c r="E180" t="s">
        <v>24</v>
      </c>
      <c r="F180" s="3">
        <v>7115.33</v>
      </c>
      <c r="G180" s="3">
        <v>8085.6</v>
      </c>
      <c r="H180" s="3">
        <f>Table1[[#This Row],[Sale]]-Table1[[#This Row],[Cost]]</f>
        <v>970.27000000000044</v>
      </c>
      <c r="I180" s="4">
        <f>Table1[[#This Row],[Profit]]/Table1[[#This Row],[Sale]]</f>
        <v>0.11999975264668057</v>
      </c>
      <c r="J180" s="5">
        <f t="shared" si="4"/>
        <v>2004</v>
      </c>
      <c r="K180" s="5">
        <f>MONTH(Table1[[#This Row],[Date]])</f>
        <v>12</v>
      </c>
      <c r="L180" s="5">
        <f>DAY(Table1[[#This Row],[Date]])</f>
        <v>1</v>
      </c>
      <c r="M180" s="5" t="str">
        <f t="shared" si="5"/>
        <v>Dec</v>
      </c>
    </row>
    <row r="181" spans="1:13" x14ac:dyDescent="0.25">
      <c r="A181" s="2">
        <v>38500</v>
      </c>
      <c r="B181" t="s">
        <v>11</v>
      </c>
      <c r="C181" t="s">
        <v>29</v>
      </c>
      <c r="D181" t="s">
        <v>16</v>
      </c>
      <c r="E181" t="s">
        <v>24</v>
      </c>
      <c r="F181" s="3">
        <v>4924.26</v>
      </c>
      <c r="G181" s="3">
        <v>8953.2000000000007</v>
      </c>
      <c r="H181" s="3">
        <f>Table1[[#This Row],[Sale]]-Table1[[#This Row],[Cost]]</f>
        <v>4028.9400000000005</v>
      </c>
      <c r="I181" s="4">
        <f>Table1[[#This Row],[Profit]]/Table1[[#This Row],[Sale]]</f>
        <v>0.45</v>
      </c>
      <c r="J181" s="5">
        <f t="shared" si="4"/>
        <v>2005</v>
      </c>
      <c r="K181" s="5">
        <f>MONTH(Table1[[#This Row],[Date]])</f>
        <v>5</v>
      </c>
      <c r="L181" s="5">
        <f>DAY(Table1[[#This Row],[Date]])</f>
        <v>28</v>
      </c>
      <c r="M181" s="5" t="str">
        <f t="shared" si="5"/>
        <v>May</v>
      </c>
    </row>
    <row r="182" spans="1:13" x14ac:dyDescent="0.25">
      <c r="A182" s="2">
        <v>38435</v>
      </c>
      <c r="B182" t="s">
        <v>15</v>
      </c>
      <c r="C182" t="s">
        <v>27</v>
      </c>
      <c r="D182" t="s">
        <v>16</v>
      </c>
      <c r="E182" t="s">
        <v>20</v>
      </c>
      <c r="F182" s="3">
        <v>3540.59</v>
      </c>
      <c r="G182" s="3">
        <v>6437.43</v>
      </c>
      <c r="H182" s="3">
        <f>Table1[[#This Row],[Sale]]-Table1[[#This Row],[Cost]]</f>
        <v>2896.84</v>
      </c>
      <c r="I182" s="4">
        <f>Table1[[#This Row],[Profit]]/Table1[[#This Row],[Sale]]</f>
        <v>0.44999945630476756</v>
      </c>
      <c r="J182" s="5">
        <f t="shared" si="4"/>
        <v>2005</v>
      </c>
      <c r="K182" s="5">
        <f>MONTH(Table1[[#This Row],[Date]])</f>
        <v>3</v>
      </c>
      <c r="L182" s="5">
        <f>DAY(Table1[[#This Row],[Date]])</f>
        <v>24</v>
      </c>
      <c r="M182" s="5" t="str">
        <f t="shared" si="5"/>
        <v>Mar</v>
      </c>
    </row>
    <row r="183" spans="1:13" x14ac:dyDescent="0.25">
      <c r="A183" s="2">
        <v>38493</v>
      </c>
      <c r="B183" t="s">
        <v>11</v>
      </c>
      <c r="C183" t="s">
        <v>18</v>
      </c>
      <c r="D183" t="s">
        <v>16</v>
      </c>
      <c r="E183" t="s">
        <v>24</v>
      </c>
      <c r="F183" s="3">
        <v>2149.36</v>
      </c>
      <c r="G183" s="3">
        <v>4998.5200000000004</v>
      </c>
      <c r="H183" s="3">
        <f>Table1[[#This Row],[Sale]]-Table1[[#This Row],[Cost]]</f>
        <v>2849.1600000000003</v>
      </c>
      <c r="I183" s="4">
        <f>Table1[[#This Row],[Profit]]/Table1[[#This Row],[Sale]]</f>
        <v>0.57000072021318315</v>
      </c>
      <c r="J183" s="5">
        <f t="shared" si="4"/>
        <v>2005</v>
      </c>
      <c r="K183" s="5">
        <f>MONTH(Table1[[#This Row],[Date]])</f>
        <v>5</v>
      </c>
      <c r="L183" s="5">
        <f>DAY(Table1[[#This Row],[Date]])</f>
        <v>21</v>
      </c>
      <c r="M183" s="5" t="str">
        <f t="shared" si="5"/>
        <v>May</v>
      </c>
    </row>
    <row r="184" spans="1:13" x14ac:dyDescent="0.25">
      <c r="A184" s="2">
        <v>38675</v>
      </c>
      <c r="B184" t="s">
        <v>26</v>
      </c>
      <c r="C184" t="s">
        <v>23</v>
      </c>
      <c r="D184" t="s">
        <v>13</v>
      </c>
      <c r="E184" t="s">
        <v>24</v>
      </c>
      <c r="F184" s="3">
        <v>1193.47</v>
      </c>
      <c r="G184" s="3">
        <v>1591.29</v>
      </c>
      <c r="H184" s="3">
        <f>Table1[[#This Row],[Sale]]-Table1[[#This Row],[Cost]]</f>
        <v>397.81999999999994</v>
      </c>
      <c r="I184" s="4">
        <f>Table1[[#This Row],[Profit]]/Table1[[#This Row],[Sale]]</f>
        <v>0.24999842894758337</v>
      </c>
      <c r="J184" s="5">
        <f t="shared" si="4"/>
        <v>2005</v>
      </c>
      <c r="K184" s="5">
        <f>MONTH(Table1[[#This Row],[Date]])</f>
        <v>11</v>
      </c>
      <c r="L184" s="5">
        <f>DAY(Table1[[#This Row],[Date]])</f>
        <v>19</v>
      </c>
      <c r="M184" s="5" t="str">
        <f t="shared" si="5"/>
        <v>Nov</v>
      </c>
    </row>
    <row r="185" spans="1:13" x14ac:dyDescent="0.25">
      <c r="A185" s="2">
        <v>38224</v>
      </c>
      <c r="B185" t="s">
        <v>17</v>
      </c>
      <c r="C185" t="s">
        <v>27</v>
      </c>
      <c r="D185" t="s">
        <v>16</v>
      </c>
      <c r="E185" t="s">
        <v>20</v>
      </c>
      <c r="F185" s="3">
        <v>4647.29</v>
      </c>
      <c r="G185" s="3">
        <v>8449.61</v>
      </c>
      <c r="H185" s="3">
        <f>Table1[[#This Row],[Sale]]-Table1[[#This Row],[Cost]]</f>
        <v>3802.3200000000006</v>
      </c>
      <c r="I185" s="4">
        <f>Table1[[#This Row],[Profit]]/Table1[[#This Row],[Sale]]</f>
        <v>0.44999946743104124</v>
      </c>
      <c r="J185" s="5">
        <f t="shared" si="4"/>
        <v>2004</v>
      </c>
      <c r="K185" s="5">
        <f>MONTH(Table1[[#This Row],[Date]])</f>
        <v>8</v>
      </c>
      <c r="L185" s="5">
        <f>DAY(Table1[[#This Row],[Date]])</f>
        <v>25</v>
      </c>
      <c r="M185" s="5" t="str">
        <f t="shared" si="5"/>
        <v>Aug</v>
      </c>
    </row>
    <row r="186" spans="1:13" x14ac:dyDescent="0.25">
      <c r="A186" s="2">
        <v>38434</v>
      </c>
      <c r="B186" t="s">
        <v>15</v>
      </c>
      <c r="C186" t="s">
        <v>23</v>
      </c>
      <c r="D186" t="s">
        <v>28</v>
      </c>
      <c r="E186" t="s">
        <v>24</v>
      </c>
      <c r="F186" s="3">
        <v>7978.4</v>
      </c>
      <c r="G186" s="3">
        <v>8533.0499999999993</v>
      </c>
      <c r="H186" s="3">
        <f>Table1[[#This Row],[Sale]]-Table1[[#This Row],[Cost]]</f>
        <v>554.64999999999964</v>
      </c>
      <c r="I186" s="4">
        <f>Table1[[#This Row],[Profit]]/Table1[[#This Row],[Sale]]</f>
        <v>6.5000205084934426E-2</v>
      </c>
      <c r="J186" s="5">
        <f t="shared" si="4"/>
        <v>2005</v>
      </c>
      <c r="K186" s="5">
        <f>MONTH(Table1[[#This Row],[Date]])</f>
        <v>3</v>
      </c>
      <c r="L186" s="5">
        <f>DAY(Table1[[#This Row],[Date]])</f>
        <v>23</v>
      </c>
      <c r="M186" s="5" t="str">
        <f t="shared" si="5"/>
        <v>Mar</v>
      </c>
    </row>
    <row r="187" spans="1:13" x14ac:dyDescent="0.25">
      <c r="A187" s="2">
        <v>38594</v>
      </c>
      <c r="B187" t="s">
        <v>15</v>
      </c>
      <c r="C187" t="s">
        <v>12</v>
      </c>
      <c r="D187" t="s">
        <v>28</v>
      </c>
      <c r="E187" t="s">
        <v>14</v>
      </c>
      <c r="F187" s="3">
        <v>8815.92</v>
      </c>
      <c r="G187" s="3">
        <v>9428.7900000000009</v>
      </c>
      <c r="H187" s="3">
        <f>Table1[[#This Row],[Sale]]-Table1[[#This Row],[Cost]]</f>
        <v>612.8700000000008</v>
      </c>
      <c r="I187" s="4">
        <f>Table1[[#This Row],[Profit]]/Table1[[#This Row],[Sale]]</f>
        <v>6.4999856821501029E-2</v>
      </c>
      <c r="J187" s="5">
        <f t="shared" si="4"/>
        <v>2005</v>
      </c>
      <c r="K187" s="5">
        <f>MONTH(Table1[[#This Row],[Date]])</f>
        <v>8</v>
      </c>
      <c r="L187" s="5">
        <f>DAY(Table1[[#This Row],[Date]])</f>
        <v>30</v>
      </c>
      <c r="M187" s="5" t="str">
        <f t="shared" si="5"/>
        <v>Aug</v>
      </c>
    </row>
    <row r="188" spans="1:13" x14ac:dyDescent="0.25">
      <c r="A188" s="2">
        <v>38678</v>
      </c>
      <c r="B188" t="s">
        <v>17</v>
      </c>
      <c r="C188" t="s">
        <v>18</v>
      </c>
      <c r="D188" t="s">
        <v>16</v>
      </c>
      <c r="E188" t="s">
        <v>20</v>
      </c>
      <c r="F188" s="3">
        <v>5646.13</v>
      </c>
      <c r="G188" s="3">
        <v>9569.7099999999991</v>
      </c>
      <c r="H188" s="3">
        <f>Table1[[#This Row],[Sale]]-Table1[[#This Row],[Cost]]</f>
        <v>3923.579999999999</v>
      </c>
      <c r="I188" s="4">
        <f>Table1[[#This Row],[Profit]]/Table1[[#This Row],[Sale]]</f>
        <v>0.40999988505398799</v>
      </c>
      <c r="J188" s="5">
        <f t="shared" si="4"/>
        <v>2005</v>
      </c>
      <c r="K188" s="5">
        <f>MONTH(Table1[[#This Row],[Date]])</f>
        <v>11</v>
      </c>
      <c r="L188" s="5">
        <f>DAY(Table1[[#This Row],[Date]])</f>
        <v>22</v>
      </c>
      <c r="M188" s="5" t="str">
        <f t="shared" si="5"/>
        <v>Nov</v>
      </c>
    </row>
    <row r="189" spans="1:13" x14ac:dyDescent="0.25">
      <c r="A189" s="2">
        <v>38882</v>
      </c>
      <c r="B189" t="s">
        <v>17</v>
      </c>
      <c r="C189" t="s">
        <v>12</v>
      </c>
      <c r="D189" t="s">
        <v>28</v>
      </c>
      <c r="E189" t="s">
        <v>24</v>
      </c>
      <c r="F189" s="3">
        <v>2065.11</v>
      </c>
      <c r="G189" s="3">
        <v>4589.1400000000003</v>
      </c>
      <c r="H189" s="3">
        <f>Table1[[#This Row],[Sale]]-Table1[[#This Row],[Cost]]</f>
        <v>2524.0300000000002</v>
      </c>
      <c r="I189" s="4">
        <f>Table1[[#This Row],[Profit]]/Table1[[#This Row],[Sale]]</f>
        <v>0.55000065371725426</v>
      </c>
      <c r="J189" s="5">
        <f t="shared" si="4"/>
        <v>2006</v>
      </c>
      <c r="K189" s="5">
        <f>MONTH(Table1[[#This Row],[Date]])</f>
        <v>6</v>
      </c>
      <c r="L189" s="5">
        <f>DAY(Table1[[#This Row],[Date]])</f>
        <v>14</v>
      </c>
      <c r="M189" s="5" t="str">
        <f t="shared" si="5"/>
        <v>Jun</v>
      </c>
    </row>
    <row r="190" spans="1:13" x14ac:dyDescent="0.25">
      <c r="A190" s="2">
        <v>38586</v>
      </c>
      <c r="B190" t="s">
        <v>21</v>
      </c>
      <c r="C190" t="s">
        <v>18</v>
      </c>
      <c r="D190" t="s">
        <v>28</v>
      </c>
      <c r="E190" t="s">
        <v>20</v>
      </c>
      <c r="F190" s="3">
        <v>1670.37</v>
      </c>
      <c r="G190" s="3">
        <v>3711.93</v>
      </c>
      <c r="H190" s="3">
        <f>Table1[[#This Row],[Sale]]-Table1[[#This Row],[Cost]]</f>
        <v>2041.56</v>
      </c>
      <c r="I190" s="4">
        <f>Table1[[#This Row],[Profit]]/Table1[[#This Row],[Sale]]</f>
        <v>0.54999959589755198</v>
      </c>
      <c r="J190" s="5">
        <f t="shared" si="4"/>
        <v>2005</v>
      </c>
      <c r="K190" s="5">
        <f>MONTH(Table1[[#This Row],[Date]])</f>
        <v>8</v>
      </c>
      <c r="L190" s="5">
        <f>DAY(Table1[[#This Row],[Date]])</f>
        <v>22</v>
      </c>
      <c r="M190" s="5" t="str">
        <f t="shared" si="5"/>
        <v>Aug</v>
      </c>
    </row>
    <row r="191" spans="1:13" x14ac:dyDescent="0.25">
      <c r="A191" s="2">
        <v>38202</v>
      </c>
      <c r="B191" t="s">
        <v>22</v>
      </c>
      <c r="C191" t="s">
        <v>27</v>
      </c>
      <c r="D191" t="s">
        <v>19</v>
      </c>
      <c r="E191" t="s">
        <v>20</v>
      </c>
      <c r="F191" s="3">
        <v>421.62</v>
      </c>
      <c r="G191" s="3">
        <v>479.11</v>
      </c>
      <c r="H191" s="3">
        <f>Table1[[#This Row],[Sale]]-Table1[[#This Row],[Cost]]</f>
        <v>57.490000000000009</v>
      </c>
      <c r="I191" s="4">
        <f>Table1[[#This Row],[Profit]]/Table1[[#This Row],[Sale]]</f>
        <v>0.1199933209492601</v>
      </c>
      <c r="J191" s="5">
        <f t="shared" si="4"/>
        <v>2004</v>
      </c>
      <c r="K191" s="5">
        <f>MONTH(Table1[[#This Row],[Date]])</f>
        <v>8</v>
      </c>
      <c r="L191" s="5">
        <f>DAY(Table1[[#This Row],[Date]])</f>
        <v>3</v>
      </c>
      <c r="M191" s="5" t="str">
        <f t="shared" si="5"/>
        <v>Aug</v>
      </c>
    </row>
    <row r="192" spans="1:13" x14ac:dyDescent="0.25">
      <c r="A192" s="2">
        <v>38640</v>
      </c>
      <c r="B192" t="s">
        <v>17</v>
      </c>
      <c r="C192" t="s">
        <v>12</v>
      </c>
      <c r="D192" t="s">
        <v>28</v>
      </c>
      <c r="E192" t="s">
        <v>24</v>
      </c>
      <c r="F192" s="3">
        <v>2632.68</v>
      </c>
      <c r="G192" s="3">
        <v>6122.51</v>
      </c>
      <c r="H192" s="3">
        <f>Table1[[#This Row],[Sale]]-Table1[[#This Row],[Cost]]</f>
        <v>3489.8300000000004</v>
      </c>
      <c r="I192" s="4">
        <f>Table1[[#This Row],[Profit]]/Table1[[#This Row],[Sale]]</f>
        <v>0.56999988566780624</v>
      </c>
      <c r="J192" s="5">
        <f t="shared" si="4"/>
        <v>2005</v>
      </c>
      <c r="K192" s="5">
        <f>MONTH(Table1[[#This Row],[Date]])</f>
        <v>10</v>
      </c>
      <c r="L192" s="5">
        <f>DAY(Table1[[#This Row],[Date]])</f>
        <v>15</v>
      </c>
      <c r="M192" s="5" t="str">
        <f t="shared" si="5"/>
        <v>Oct</v>
      </c>
    </row>
    <row r="193" spans="1:13" x14ac:dyDescent="0.25">
      <c r="A193" s="2">
        <v>38560</v>
      </c>
      <c r="B193" t="s">
        <v>17</v>
      </c>
      <c r="C193" t="s">
        <v>12</v>
      </c>
      <c r="D193" t="s">
        <v>16</v>
      </c>
      <c r="E193" t="s">
        <v>25</v>
      </c>
      <c r="F193" s="3">
        <v>3641.25</v>
      </c>
      <c r="G193" s="3">
        <v>8091.67</v>
      </c>
      <c r="H193" s="3">
        <f>Table1[[#This Row],[Sale]]-Table1[[#This Row],[Cost]]</f>
        <v>4450.42</v>
      </c>
      <c r="I193" s="4">
        <f>Table1[[#This Row],[Profit]]/Table1[[#This Row],[Sale]]</f>
        <v>0.55000018537582473</v>
      </c>
      <c r="J193" s="5">
        <f t="shared" si="4"/>
        <v>2005</v>
      </c>
      <c r="K193" s="5">
        <f>MONTH(Table1[[#This Row],[Date]])</f>
        <v>7</v>
      </c>
      <c r="L193" s="5">
        <f>DAY(Table1[[#This Row],[Date]])</f>
        <v>27</v>
      </c>
      <c r="M193" s="5" t="str">
        <f t="shared" si="5"/>
        <v>Jul</v>
      </c>
    </row>
    <row r="194" spans="1:13" x14ac:dyDescent="0.25">
      <c r="A194" s="2">
        <v>38493</v>
      </c>
      <c r="B194" t="s">
        <v>11</v>
      </c>
      <c r="C194" t="s">
        <v>29</v>
      </c>
      <c r="D194" t="s">
        <v>28</v>
      </c>
      <c r="E194" t="s">
        <v>24</v>
      </c>
      <c r="F194" s="3">
        <v>1242.07</v>
      </c>
      <c r="G194" s="3">
        <v>1826.57</v>
      </c>
      <c r="H194" s="3">
        <f>Table1[[#This Row],[Sale]]-Table1[[#This Row],[Cost]]</f>
        <v>584.5</v>
      </c>
      <c r="I194" s="4">
        <f>Table1[[#This Row],[Profit]]/Table1[[#This Row],[Sale]]</f>
        <v>0.31999868606185367</v>
      </c>
      <c r="J194" s="5">
        <f t="shared" ref="J194:J257" si="6">YEAR(A:A)</f>
        <v>2005</v>
      </c>
      <c r="K194" s="5">
        <f>MONTH(Table1[[#This Row],[Date]])</f>
        <v>5</v>
      </c>
      <c r="L194" s="5">
        <f>DAY(Table1[[#This Row],[Date]])</f>
        <v>21</v>
      </c>
      <c r="M194" s="5" t="str">
        <f t="shared" ref="M194:M257" si="7">CHOOSE(K194,"Jan", "Feb", "Mar", "Apr", "May", "Jun", "Jul", "Aug", "Sep", "Oct", "Nov", "Dec")</f>
        <v>May</v>
      </c>
    </row>
    <row r="195" spans="1:13" x14ac:dyDescent="0.25">
      <c r="A195" s="2">
        <v>38721</v>
      </c>
      <c r="B195" t="s">
        <v>21</v>
      </c>
      <c r="C195" t="s">
        <v>23</v>
      </c>
      <c r="D195" t="s">
        <v>16</v>
      </c>
      <c r="E195" t="s">
        <v>20</v>
      </c>
      <c r="F195" s="3">
        <v>2693.56</v>
      </c>
      <c r="G195" s="3">
        <v>5985.68</v>
      </c>
      <c r="H195" s="3">
        <f>Table1[[#This Row],[Sale]]-Table1[[#This Row],[Cost]]</f>
        <v>3292.1200000000003</v>
      </c>
      <c r="I195" s="4">
        <f>Table1[[#This Row],[Profit]]/Table1[[#This Row],[Sale]]</f>
        <v>0.54999933173841575</v>
      </c>
      <c r="J195" s="5">
        <f t="shared" si="6"/>
        <v>2006</v>
      </c>
      <c r="K195" s="5">
        <f>MONTH(Table1[[#This Row],[Date]])</f>
        <v>1</v>
      </c>
      <c r="L195" s="5">
        <f>DAY(Table1[[#This Row],[Date]])</f>
        <v>4</v>
      </c>
      <c r="M195" s="5" t="str">
        <f t="shared" si="7"/>
        <v>Jan</v>
      </c>
    </row>
    <row r="196" spans="1:13" x14ac:dyDescent="0.25">
      <c r="A196" s="2">
        <v>38330</v>
      </c>
      <c r="B196" t="s">
        <v>17</v>
      </c>
      <c r="C196" t="s">
        <v>23</v>
      </c>
      <c r="D196" t="s">
        <v>28</v>
      </c>
      <c r="E196" t="s">
        <v>20</v>
      </c>
      <c r="F196" s="3">
        <v>627.28</v>
      </c>
      <c r="G196" s="3">
        <v>1393.96</v>
      </c>
      <c r="H196" s="3">
        <f>Table1[[#This Row],[Sale]]-Table1[[#This Row],[Cost]]</f>
        <v>766.68000000000006</v>
      </c>
      <c r="I196" s="4">
        <f>Table1[[#This Row],[Profit]]/Table1[[#This Row],[Sale]]</f>
        <v>0.55000143476139918</v>
      </c>
      <c r="J196" s="5">
        <f t="shared" si="6"/>
        <v>2004</v>
      </c>
      <c r="K196" s="5">
        <f>MONTH(Table1[[#This Row],[Date]])</f>
        <v>12</v>
      </c>
      <c r="L196" s="5">
        <f>DAY(Table1[[#This Row],[Date]])</f>
        <v>9</v>
      </c>
      <c r="M196" s="5" t="str">
        <f t="shared" si="7"/>
        <v>Dec</v>
      </c>
    </row>
    <row r="197" spans="1:13" x14ac:dyDescent="0.25">
      <c r="A197" s="2">
        <v>38224</v>
      </c>
      <c r="B197" t="s">
        <v>26</v>
      </c>
      <c r="C197" t="s">
        <v>27</v>
      </c>
      <c r="D197" t="s">
        <v>19</v>
      </c>
      <c r="E197" t="s">
        <v>20</v>
      </c>
      <c r="F197" s="3">
        <v>3188.92</v>
      </c>
      <c r="G197" s="3">
        <v>7416.09</v>
      </c>
      <c r="H197" s="3">
        <f>Table1[[#This Row],[Sale]]-Table1[[#This Row],[Cost]]</f>
        <v>4227.17</v>
      </c>
      <c r="I197" s="4">
        <f>Table1[[#This Row],[Profit]]/Table1[[#This Row],[Sale]]</f>
        <v>0.5699998247054715</v>
      </c>
      <c r="J197" s="5">
        <f t="shared" si="6"/>
        <v>2004</v>
      </c>
      <c r="K197" s="5">
        <f>MONTH(Table1[[#This Row],[Date]])</f>
        <v>8</v>
      </c>
      <c r="L197" s="5">
        <f>DAY(Table1[[#This Row],[Date]])</f>
        <v>25</v>
      </c>
      <c r="M197" s="5" t="str">
        <f t="shared" si="7"/>
        <v>Aug</v>
      </c>
    </row>
    <row r="198" spans="1:13" x14ac:dyDescent="0.25">
      <c r="A198" s="2">
        <v>38282</v>
      </c>
      <c r="B198" t="s">
        <v>15</v>
      </c>
      <c r="C198" t="s">
        <v>27</v>
      </c>
      <c r="D198" t="s">
        <v>16</v>
      </c>
      <c r="E198" t="s">
        <v>14</v>
      </c>
      <c r="F198" s="3">
        <v>1721.55</v>
      </c>
      <c r="G198" s="3">
        <v>4003.61</v>
      </c>
      <c r="H198" s="3">
        <f>Table1[[#This Row],[Sale]]-Table1[[#This Row],[Cost]]</f>
        <v>2282.0600000000004</v>
      </c>
      <c r="I198" s="4">
        <f>Table1[[#This Row],[Profit]]/Table1[[#This Row],[Sale]]</f>
        <v>0.57000057448153052</v>
      </c>
      <c r="J198" s="5">
        <f t="shared" si="6"/>
        <v>2004</v>
      </c>
      <c r="K198" s="5">
        <f>MONTH(Table1[[#This Row],[Date]])</f>
        <v>10</v>
      </c>
      <c r="L198" s="5">
        <f>DAY(Table1[[#This Row],[Date]])</f>
        <v>22</v>
      </c>
      <c r="M198" s="5" t="str">
        <f t="shared" si="7"/>
        <v>Oct</v>
      </c>
    </row>
    <row r="199" spans="1:13" x14ac:dyDescent="0.25">
      <c r="A199" s="2">
        <v>38155</v>
      </c>
      <c r="B199" t="s">
        <v>21</v>
      </c>
      <c r="C199" t="s">
        <v>12</v>
      </c>
      <c r="D199" t="s">
        <v>28</v>
      </c>
      <c r="E199" t="s">
        <v>24</v>
      </c>
      <c r="F199" s="3">
        <v>4577.7299999999996</v>
      </c>
      <c r="G199" s="3">
        <v>7758.86</v>
      </c>
      <c r="H199" s="3">
        <f>Table1[[#This Row],[Sale]]-Table1[[#This Row],[Cost]]</f>
        <v>3181.13</v>
      </c>
      <c r="I199" s="4">
        <f>Table1[[#This Row],[Profit]]/Table1[[#This Row],[Sale]]</f>
        <v>0.4099996648992249</v>
      </c>
      <c r="J199" s="5">
        <f t="shared" si="6"/>
        <v>2004</v>
      </c>
      <c r="K199" s="5">
        <f>MONTH(Table1[[#This Row],[Date]])</f>
        <v>6</v>
      </c>
      <c r="L199" s="5">
        <f>DAY(Table1[[#This Row],[Date]])</f>
        <v>17</v>
      </c>
      <c r="M199" s="5" t="str">
        <f t="shared" si="7"/>
        <v>Jun</v>
      </c>
    </row>
    <row r="200" spans="1:13" x14ac:dyDescent="0.25">
      <c r="A200" s="2">
        <v>38402</v>
      </c>
      <c r="B200" t="s">
        <v>21</v>
      </c>
      <c r="C200" t="s">
        <v>12</v>
      </c>
      <c r="D200" t="s">
        <v>16</v>
      </c>
      <c r="E200" t="s">
        <v>24</v>
      </c>
      <c r="F200" s="3">
        <v>2891.06</v>
      </c>
      <c r="G200" s="3">
        <v>3285.29</v>
      </c>
      <c r="H200" s="3">
        <f>Table1[[#This Row],[Sale]]-Table1[[#This Row],[Cost]]</f>
        <v>394.23</v>
      </c>
      <c r="I200" s="4">
        <f>Table1[[#This Row],[Profit]]/Table1[[#This Row],[Sale]]</f>
        <v>0.11999853894176771</v>
      </c>
      <c r="J200" s="5">
        <f t="shared" si="6"/>
        <v>2005</v>
      </c>
      <c r="K200" s="5">
        <f>MONTH(Table1[[#This Row],[Date]])</f>
        <v>2</v>
      </c>
      <c r="L200" s="5">
        <f>DAY(Table1[[#This Row],[Date]])</f>
        <v>19</v>
      </c>
      <c r="M200" s="5" t="str">
        <f t="shared" si="7"/>
        <v>Feb</v>
      </c>
    </row>
    <row r="201" spans="1:13" x14ac:dyDescent="0.25">
      <c r="A201" s="2">
        <v>38418</v>
      </c>
      <c r="B201" t="s">
        <v>26</v>
      </c>
      <c r="C201" t="s">
        <v>23</v>
      </c>
      <c r="D201" t="s">
        <v>16</v>
      </c>
      <c r="E201" t="s">
        <v>25</v>
      </c>
      <c r="F201" s="3">
        <v>4069.88</v>
      </c>
      <c r="G201" s="3">
        <v>7399.78</v>
      </c>
      <c r="H201" s="3">
        <f>Table1[[#This Row],[Sale]]-Table1[[#This Row],[Cost]]</f>
        <v>3329.8999999999996</v>
      </c>
      <c r="I201" s="4">
        <f>Table1[[#This Row],[Profit]]/Table1[[#This Row],[Sale]]</f>
        <v>0.4499998648608472</v>
      </c>
      <c r="J201" s="5">
        <f t="shared" si="6"/>
        <v>2005</v>
      </c>
      <c r="K201" s="5">
        <f>MONTH(Table1[[#This Row],[Date]])</f>
        <v>3</v>
      </c>
      <c r="L201" s="5">
        <f>DAY(Table1[[#This Row],[Date]])</f>
        <v>7</v>
      </c>
      <c r="M201" s="5" t="str">
        <f t="shared" si="7"/>
        <v>Mar</v>
      </c>
    </row>
    <row r="202" spans="1:13" x14ac:dyDescent="0.25">
      <c r="A202" s="2">
        <v>38728</v>
      </c>
      <c r="B202" t="s">
        <v>17</v>
      </c>
      <c r="C202" t="s">
        <v>12</v>
      </c>
      <c r="D202" t="s">
        <v>16</v>
      </c>
      <c r="E202" t="s">
        <v>20</v>
      </c>
      <c r="F202" s="3">
        <v>3163.78</v>
      </c>
      <c r="G202" s="3">
        <v>4218.37</v>
      </c>
      <c r="H202" s="3">
        <f>Table1[[#This Row],[Sale]]-Table1[[#This Row],[Cost]]</f>
        <v>1054.5899999999997</v>
      </c>
      <c r="I202" s="4">
        <f>Table1[[#This Row],[Profit]]/Table1[[#This Row],[Sale]]</f>
        <v>0.24999940735402532</v>
      </c>
      <c r="J202" s="5">
        <f t="shared" si="6"/>
        <v>2006</v>
      </c>
      <c r="K202" s="5">
        <f>MONTH(Table1[[#This Row],[Date]])</f>
        <v>1</v>
      </c>
      <c r="L202" s="5">
        <f>DAY(Table1[[#This Row],[Date]])</f>
        <v>11</v>
      </c>
      <c r="M202" s="5" t="str">
        <f t="shared" si="7"/>
        <v>Jan</v>
      </c>
    </row>
    <row r="203" spans="1:13" x14ac:dyDescent="0.25">
      <c r="A203" s="2">
        <v>38272</v>
      </c>
      <c r="B203" t="s">
        <v>22</v>
      </c>
      <c r="C203" t="s">
        <v>29</v>
      </c>
      <c r="D203" t="s">
        <v>13</v>
      </c>
      <c r="E203" t="s">
        <v>14</v>
      </c>
      <c r="F203" s="3">
        <v>2274.3000000000002</v>
      </c>
      <c r="G203" s="3">
        <v>3921.21</v>
      </c>
      <c r="H203" s="3">
        <f>Table1[[#This Row],[Sale]]-Table1[[#This Row],[Cost]]</f>
        <v>1646.9099999999999</v>
      </c>
      <c r="I203" s="4">
        <f>Table1[[#This Row],[Profit]]/Table1[[#This Row],[Sale]]</f>
        <v>0.42000045904197936</v>
      </c>
      <c r="J203" s="5">
        <f t="shared" si="6"/>
        <v>2004</v>
      </c>
      <c r="K203" s="5">
        <f>MONTH(Table1[[#This Row],[Date]])</f>
        <v>10</v>
      </c>
      <c r="L203" s="5">
        <f>DAY(Table1[[#This Row],[Date]])</f>
        <v>12</v>
      </c>
      <c r="M203" s="5" t="str">
        <f t="shared" si="7"/>
        <v>Oct</v>
      </c>
    </row>
    <row r="204" spans="1:13" x14ac:dyDescent="0.25">
      <c r="A204" s="2">
        <v>38722</v>
      </c>
      <c r="B204" t="s">
        <v>15</v>
      </c>
      <c r="C204" t="s">
        <v>12</v>
      </c>
      <c r="D204" t="s">
        <v>16</v>
      </c>
      <c r="E204" t="s">
        <v>14</v>
      </c>
      <c r="F204" s="3">
        <v>3253.48</v>
      </c>
      <c r="G204" s="3">
        <v>4337.9799999999996</v>
      </c>
      <c r="H204" s="3">
        <f>Table1[[#This Row],[Sale]]-Table1[[#This Row],[Cost]]</f>
        <v>1084.4999999999995</v>
      </c>
      <c r="I204" s="4">
        <f>Table1[[#This Row],[Profit]]/Table1[[#This Row],[Sale]]</f>
        <v>0.25000115261020101</v>
      </c>
      <c r="J204" s="5">
        <f t="shared" si="6"/>
        <v>2006</v>
      </c>
      <c r="K204" s="5">
        <f>MONTH(Table1[[#This Row],[Date]])</f>
        <v>1</v>
      </c>
      <c r="L204" s="5">
        <f>DAY(Table1[[#This Row],[Date]])</f>
        <v>5</v>
      </c>
      <c r="M204" s="5" t="str">
        <f t="shared" si="7"/>
        <v>Jan</v>
      </c>
    </row>
    <row r="205" spans="1:13" x14ac:dyDescent="0.25">
      <c r="A205" s="2">
        <v>38361</v>
      </c>
      <c r="B205" t="s">
        <v>11</v>
      </c>
      <c r="C205" t="s">
        <v>18</v>
      </c>
      <c r="D205" t="s">
        <v>16</v>
      </c>
      <c r="E205" t="s">
        <v>25</v>
      </c>
      <c r="F205" s="3">
        <v>3330.01</v>
      </c>
      <c r="G205" s="3">
        <v>7400.03</v>
      </c>
      <c r="H205" s="3">
        <f>Table1[[#This Row],[Sale]]-Table1[[#This Row],[Cost]]</f>
        <v>4070.0199999999995</v>
      </c>
      <c r="I205" s="4">
        <f>Table1[[#This Row],[Profit]]/Table1[[#This Row],[Sale]]</f>
        <v>0.55000047297105548</v>
      </c>
      <c r="J205" s="5">
        <f t="shared" si="6"/>
        <v>2005</v>
      </c>
      <c r="K205" s="5">
        <f>MONTH(Table1[[#This Row],[Date]])</f>
        <v>1</v>
      </c>
      <c r="L205" s="5">
        <f>DAY(Table1[[#This Row],[Date]])</f>
        <v>9</v>
      </c>
      <c r="M205" s="5" t="str">
        <f t="shared" si="7"/>
        <v>Jan</v>
      </c>
    </row>
    <row r="206" spans="1:13" x14ac:dyDescent="0.25">
      <c r="A206" s="2">
        <v>38602</v>
      </c>
      <c r="B206" t="s">
        <v>17</v>
      </c>
      <c r="C206" t="s">
        <v>18</v>
      </c>
      <c r="D206" t="s">
        <v>19</v>
      </c>
      <c r="E206" t="s">
        <v>25</v>
      </c>
      <c r="F206" s="3">
        <v>1880.04</v>
      </c>
      <c r="G206" s="3">
        <v>5081.1899999999996</v>
      </c>
      <c r="H206" s="3">
        <f>Table1[[#This Row],[Sale]]-Table1[[#This Row],[Cost]]</f>
        <v>3201.1499999999996</v>
      </c>
      <c r="I206" s="4">
        <f>Table1[[#This Row],[Profit]]/Table1[[#This Row],[Sale]]</f>
        <v>0.63000005904128753</v>
      </c>
      <c r="J206" s="5">
        <f t="shared" si="6"/>
        <v>2005</v>
      </c>
      <c r="K206" s="5">
        <f>MONTH(Table1[[#This Row],[Date]])</f>
        <v>9</v>
      </c>
      <c r="L206" s="5">
        <f>DAY(Table1[[#This Row],[Date]])</f>
        <v>7</v>
      </c>
      <c r="M206" s="5" t="str">
        <f t="shared" si="7"/>
        <v>Sep</v>
      </c>
    </row>
    <row r="207" spans="1:13" x14ac:dyDescent="0.25">
      <c r="A207" s="2">
        <v>38708</v>
      </c>
      <c r="B207" t="s">
        <v>17</v>
      </c>
      <c r="C207" t="s">
        <v>18</v>
      </c>
      <c r="D207" t="s">
        <v>16</v>
      </c>
      <c r="E207" t="s">
        <v>20</v>
      </c>
      <c r="F207" s="3">
        <v>4382.95</v>
      </c>
      <c r="G207" s="3">
        <v>4980.62</v>
      </c>
      <c r="H207" s="3">
        <f>Table1[[#This Row],[Sale]]-Table1[[#This Row],[Cost]]</f>
        <v>597.67000000000007</v>
      </c>
      <c r="I207" s="4">
        <f>Table1[[#This Row],[Profit]]/Table1[[#This Row],[Sale]]</f>
        <v>0.119999116575848</v>
      </c>
      <c r="J207" s="5">
        <f t="shared" si="6"/>
        <v>2005</v>
      </c>
      <c r="K207" s="5">
        <f>MONTH(Table1[[#This Row],[Date]])</f>
        <v>12</v>
      </c>
      <c r="L207" s="5">
        <f>DAY(Table1[[#This Row],[Date]])</f>
        <v>22</v>
      </c>
      <c r="M207" s="5" t="str">
        <f t="shared" si="7"/>
        <v>Dec</v>
      </c>
    </row>
    <row r="208" spans="1:13" x14ac:dyDescent="0.25">
      <c r="A208" s="2">
        <v>38536</v>
      </c>
      <c r="B208" t="s">
        <v>22</v>
      </c>
      <c r="C208" t="s">
        <v>23</v>
      </c>
      <c r="D208" t="s">
        <v>19</v>
      </c>
      <c r="E208" t="s">
        <v>14</v>
      </c>
      <c r="F208" s="3">
        <v>1034.1500000000001</v>
      </c>
      <c r="G208" s="3">
        <v>1783.01</v>
      </c>
      <c r="H208" s="3">
        <f>Table1[[#This Row],[Sale]]-Table1[[#This Row],[Cost]]</f>
        <v>748.8599999999999</v>
      </c>
      <c r="I208" s="4">
        <f>Table1[[#This Row],[Profit]]/Table1[[#This Row],[Sale]]</f>
        <v>0.41999764443272886</v>
      </c>
      <c r="J208" s="5">
        <f t="shared" si="6"/>
        <v>2005</v>
      </c>
      <c r="K208" s="5">
        <f>MONTH(Table1[[#This Row],[Date]])</f>
        <v>7</v>
      </c>
      <c r="L208" s="5">
        <f>DAY(Table1[[#This Row],[Date]])</f>
        <v>3</v>
      </c>
      <c r="M208" s="5" t="str">
        <f t="shared" si="7"/>
        <v>Jul</v>
      </c>
    </row>
    <row r="209" spans="1:13" x14ac:dyDescent="0.25">
      <c r="A209" s="2">
        <v>38545</v>
      </c>
      <c r="B209" t="s">
        <v>17</v>
      </c>
      <c r="C209" t="s">
        <v>27</v>
      </c>
      <c r="D209" t="s">
        <v>28</v>
      </c>
      <c r="E209" t="s">
        <v>25</v>
      </c>
      <c r="F209" s="3">
        <v>2880.9</v>
      </c>
      <c r="G209" s="3">
        <v>3273.75</v>
      </c>
      <c r="H209" s="3">
        <f>Table1[[#This Row],[Sale]]-Table1[[#This Row],[Cost]]</f>
        <v>392.84999999999991</v>
      </c>
      <c r="I209" s="4">
        <f>Table1[[#This Row],[Profit]]/Table1[[#This Row],[Sale]]</f>
        <v>0.11999999999999997</v>
      </c>
      <c r="J209" s="5">
        <f t="shared" si="6"/>
        <v>2005</v>
      </c>
      <c r="K209" s="5">
        <f>MONTH(Table1[[#This Row],[Date]])</f>
        <v>7</v>
      </c>
      <c r="L209" s="5">
        <f>DAY(Table1[[#This Row],[Date]])</f>
        <v>12</v>
      </c>
      <c r="M209" s="5" t="str">
        <f t="shared" si="7"/>
        <v>Jul</v>
      </c>
    </row>
    <row r="210" spans="1:13" x14ac:dyDescent="0.25">
      <c r="A210" s="2">
        <v>38574</v>
      </c>
      <c r="B210" t="s">
        <v>17</v>
      </c>
      <c r="C210" t="s">
        <v>23</v>
      </c>
      <c r="D210" t="s">
        <v>16</v>
      </c>
      <c r="E210" t="s">
        <v>20</v>
      </c>
      <c r="F210" s="3">
        <v>526.08000000000004</v>
      </c>
      <c r="G210" s="3">
        <v>891.66</v>
      </c>
      <c r="H210" s="3">
        <f>Table1[[#This Row],[Sale]]-Table1[[#This Row],[Cost]]</f>
        <v>365.57999999999993</v>
      </c>
      <c r="I210" s="4">
        <f>Table1[[#This Row],[Profit]]/Table1[[#This Row],[Sale]]</f>
        <v>0.40999932709777265</v>
      </c>
      <c r="J210" s="5">
        <f t="shared" si="6"/>
        <v>2005</v>
      </c>
      <c r="K210" s="5">
        <f>MONTH(Table1[[#This Row],[Date]])</f>
        <v>8</v>
      </c>
      <c r="L210" s="5">
        <f>DAY(Table1[[#This Row],[Date]])</f>
        <v>10</v>
      </c>
      <c r="M210" s="5" t="str">
        <f t="shared" si="7"/>
        <v>Aug</v>
      </c>
    </row>
    <row r="211" spans="1:13" x14ac:dyDescent="0.25">
      <c r="A211" s="2">
        <v>38169</v>
      </c>
      <c r="B211" t="s">
        <v>17</v>
      </c>
      <c r="C211" t="s">
        <v>29</v>
      </c>
      <c r="D211" t="s">
        <v>13</v>
      </c>
      <c r="E211" t="s">
        <v>24</v>
      </c>
      <c r="F211" s="3">
        <v>3960.83</v>
      </c>
      <c r="G211" s="3">
        <v>7201.51</v>
      </c>
      <c r="H211" s="3">
        <f>Table1[[#This Row],[Sale]]-Table1[[#This Row],[Cost]]</f>
        <v>3240.6800000000003</v>
      </c>
      <c r="I211" s="4">
        <f>Table1[[#This Row],[Profit]]/Table1[[#This Row],[Sale]]</f>
        <v>0.45000006942988346</v>
      </c>
      <c r="J211" s="5">
        <f t="shared" si="6"/>
        <v>2004</v>
      </c>
      <c r="K211" s="5">
        <f>MONTH(Table1[[#This Row],[Date]])</f>
        <v>7</v>
      </c>
      <c r="L211" s="5">
        <f>DAY(Table1[[#This Row],[Date]])</f>
        <v>1</v>
      </c>
      <c r="M211" s="5" t="str">
        <f t="shared" si="7"/>
        <v>Jul</v>
      </c>
    </row>
    <row r="212" spans="1:13" x14ac:dyDescent="0.25">
      <c r="A212" s="2">
        <v>38402</v>
      </c>
      <c r="B212" t="s">
        <v>11</v>
      </c>
      <c r="C212" t="s">
        <v>29</v>
      </c>
      <c r="D212" t="s">
        <v>13</v>
      </c>
      <c r="E212" t="s">
        <v>25</v>
      </c>
      <c r="F212" s="3">
        <v>116.92</v>
      </c>
      <c r="G212" s="3">
        <v>171.94</v>
      </c>
      <c r="H212" s="3">
        <f>Table1[[#This Row],[Sale]]-Table1[[#This Row],[Cost]]</f>
        <v>55.019999999999996</v>
      </c>
      <c r="I212" s="4">
        <f>Table1[[#This Row],[Profit]]/Table1[[#This Row],[Sale]]</f>
        <v>0.31999534721414447</v>
      </c>
      <c r="J212" s="5">
        <f t="shared" si="6"/>
        <v>2005</v>
      </c>
      <c r="K212" s="5">
        <f>MONTH(Table1[[#This Row],[Date]])</f>
        <v>2</v>
      </c>
      <c r="L212" s="5">
        <f>DAY(Table1[[#This Row],[Date]])</f>
        <v>19</v>
      </c>
      <c r="M212" s="5" t="str">
        <f t="shared" si="7"/>
        <v>Feb</v>
      </c>
    </row>
    <row r="213" spans="1:13" x14ac:dyDescent="0.25">
      <c r="A213" s="2">
        <v>38826</v>
      </c>
      <c r="B213" t="s">
        <v>26</v>
      </c>
      <c r="C213" t="s">
        <v>29</v>
      </c>
      <c r="D213" t="s">
        <v>28</v>
      </c>
      <c r="E213" t="s">
        <v>20</v>
      </c>
      <c r="F213" s="3">
        <v>4338.3999999999996</v>
      </c>
      <c r="G213" s="3">
        <v>7353.22</v>
      </c>
      <c r="H213" s="3">
        <f>Table1[[#This Row],[Sale]]-Table1[[#This Row],[Cost]]</f>
        <v>3014.8200000000006</v>
      </c>
      <c r="I213" s="4">
        <f>Table1[[#This Row],[Profit]]/Table1[[#This Row],[Sale]]</f>
        <v>0.40999997280103145</v>
      </c>
      <c r="J213" s="5">
        <f t="shared" si="6"/>
        <v>2006</v>
      </c>
      <c r="K213" s="5">
        <f>MONTH(Table1[[#This Row],[Date]])</f>
        <v>4</v>
      </c>
      <c r="L213" s="5">
        <f>DAY(Table1[[#This Row],[Date]])</f>
        <v>19</v>
      </c>
      <c r="M213" s="5" t="str">
        <f t="shared" si="7"/>
        <v>Apr</v>
      </c>
    </row>
    <row r="214" spans="1:13" x14ac:dyDescent="0.25">
      <c r="A214" s="2">
        <v>38620</v>
      </c>
      <c r="B214" t="s">
        <v>11</v>
      </c>
      <c r="C214" t="s">
        <v>23</v>
      </c>
      <c r="D214" t="s">
        <v>16</v>
      </c>
      <c r="E214" t="s">
        <v>24</v>
      </c>
      <c r="F214" s="3">
        <v>1503.71</v>
      </c>
      <c r="G214" s="3">
        <v>2004.95</v>
      </c>
      <c r="H214" s="3">
        <f>Table1[[#This Row],[Sale]]-Table1[[#This Row],[Cost]]</f>
        <v>501.24</v>
      </c>
      <c r="I214" s="4">
        <f>Table1[[#This Row],[Profit]]/Table1[[#This Row],[Sale]]</f>
        <v>0.25000124691388814</v>
      </c>
      <c r="J214" s="5">
        <f t="shared" si="6"/>
        <v>2005</v>
      </c>
      <c r="K214" s="5">
        <f>MONTH(Table1[[#This Row],[Date]])</f>
        <v>9</v>
      </c>
      <c r="L214" s="5">
        <f>DAY(Table1[[#This Row],[Date]])</f>
        <v>25</v>
      </c>
      <c r="M214" s="5" t="str">
        <f t="shared" si="7"/>
        <v>Sep</v>
      </c>
    </row>
    <row r="215" spans="1:13" x14ac:dyDescent="0.25">
      <c r="A215" s="2">
        <v>38500</v>
      </c>
      <c r="B215" t="s">
        <v>17</v>
      </c>
      <c r="C215" t="s">
        <v>18</v>
      </c>
      <c r="D215" t="s">
        <v>19</v>
      </c>
      <c r="E215" t="s">
        <v>20</v>
      </c>
      <c r="F215" s="3">
        <v>1681.55</v>
      </c>
      <c r="G215" s="3">
        <v>3736.77</v>
      </c>
      <c r="H215" s="3">
        <f>Table1[[#This Row],[Sale]]-Table1[[#This Row],[Cost]]</f>
        <v>2055.2200000000003</v>
      </c>
      <c r="I215" s="4">
        <f>Table1[[#This Row],[Profit]]/Table1[[#This Row],[Sale]]</f>
        <v>0.54999906336220861</v>
      </c>
      <c r="J215" s="5">
        <f t="shared" si="6"/>
        <v>2005</v>
      </c>
      <c r="K215" s="5">
        <f>MONTH(Table1[[#This Row],[Date]])</f>
        <v>5</v>
      </c>
      <c r="L215" s="5">
        <f>DAY(Table1[[#This Row],[Date]])</f>
        <v>28</v>
      </c>
      <c r="M215" s="5" t="str">
        <f t="shared" si="7"/>
        <v>May</v>
      </c>
    </row>
    <row r="216" spans="1:13" x14ac:dyDescent="0.25">
      <c r="A216" s="2">
        <v>38593</v>
      </c>
      <c r="B216" t="s">
        <v>26</v>
      </c>
      <c r="C216" t="s">
        <v>18</v>
      </c>
      <c r="D216" t="s">
        <v>19</v>
      </c>
      <c r="E216" t="s">
        <v>20</v>
      </c>
      <c r="F216" s="3">
        <v>8149.08</v>
      </c>
      <c r="G216" s="3">
        <v>8715.59</v>
      </c>
      <c r="H216" s="3">
        <f>Table1[[#This Row],[Sale]]-Table1[[#This Row],[Cost]]</f>
        <v>566.51000000000022</v>
      </c>
      <c r="I216" s="4">
        <f>Table1[[#This Row],[Profit]]/Table1[[#This Row],[Sale]]</f>
        <v>6.4999615631299801E-2</v>
      </c>
      <c r="J216" s="5">
        <f t="shared" si="6"/>
        <v>2005</v>
      </c>
      <c r="K216" s="5">
        <f>MONTH(Table1[[#This Row],[Date]])</f>
        <v>8</v>
      </c>
      <c r="L216" s="5">
        <f>DAY(Table1[[#This Row],[Date]])</f>
        <v>29</v>
      </c>
      <c r="M216" s="5" t="str">
        <f t="shared" si="7"/>
        <v>Aug</v>
      </c>
    </row>
    <row r="217" spans="1:13" x14ac:dyDescent="0.25">
      <c r="A217" s="2">
        <v>38702</v>
      </c>
      <c r="B217" t="s">
        <v>11</v>
      </c>
      <c r="C217" t="s">
        <v>29</v>
      </c>
      <c r="D217" t="s">
        <v>28</v>
      </c>
      <c r="E217" t="s">
        <v>24</v>
      </c>
      <c r="F217" s="3">
        <v>3978.19</v>
      </c>
      <c r="G217" s="3">
        <v>6858.94</v>
      </c>
      <c r="H217" s="3">
        <f>Table1[[#This Row],[Sale]]-Table1[[#This Row],[Cost]]</f>
        <v>2880.7499999999995</v>
      </c>
      <c r="I217" s="4">
        <f>Table1[[#This Row],[Profit]]/Table1[[#This Row],[Sale]]</f>
        <v>0.4199993001834102</v>
      </c>
      <c r="J217" s="5">
        <f t="shared" si="6"/>
        <v>2005</v>
      </c>
      <c r="K217" s="5">
        <f>MONTH(Table1[[#This Row],[Date]])</f>
        <v>12</v>
      </c>
      <c r="L217" s="5">
        <f>DAY(Table1[[#This Row],[Date]])</f>
        <v>16</v>
      </c>
      <c r="M217" s="5" t="str">
        <f t="shared" si="7"/>
        <v>Dec</v>
      </c>
    </row>
    <row r="218" spans="1:13" x14ac:dyDescent="0.25">
      <c r="A218" s="2">
        <v>38810</v>
      </c>
      <c r="B218" t="s">
        <v>26</v>
      </c>
      <c r="C218" t="s">
        <v>29</v>
      </c>
      <c r="D218" t="s">
        <v>28</v>
      </c>
      <c r="E218" t="s">
        <v>20</v>
      </c>
      <c r="F218" s="3">
        <v>8792.4699999999993</v>
      </c>
      <c r="G218" s="3">
        <v>9991.44</v>
      </c>
      <c r="H218" s="3">
        <f>Table1[[#This Row],[Sale]]-Table1[[#This Row],[Cost]]</f>
        <v>1198.9700000000012</v>
      </c>
      <c r="I218" s="4">
        <f>Table1[[#This Row],[Profit]]/Table1[[#This Row],[Sale]]</f>
        <v>0.11999971976011477</v>
      </c>
      <c r="J218" s="5">
        <f t="shared" si="6"/>
        <v>2006</v>
      </c>
      <c r="K218" s="5">
        <f>MONTH(Table1[[#This Row],[Date]])</f>
        <v>4</v>
      </c>
      <c r="L218" s="5">
        <f>DAY(Table1[[#This Row],[Date]])</f>
        <v>3</v>
      </c>
      <c r="M218" s="5" t="str">
        <f t="shared" si="7"/>
        <v>Apr</v>
      </c>
    </row>
    <row r="219" spans="1:13" x14ac:dyDescent="0.25">
      <c r="A219" s="2">
        <v>38588</v>
      </c>
      <c r="B219" t="s">
        <v>22</v>
      </c>
      <c r="C219" t="s">
        <v>18</v>
      </c>
      <c r="D219" t="s">
        <v>28</v>
      </c>
      <c r="E219" t="s">
        <v>25</v>
      </c>
      <c r="F219" s="3">
        <v>923.91</v>
      </c>
      <c r="G219" s="3">
        <v>1049.9000000000001</v>
      </c>
      <c r="H219" s="3">
        <f>Table1[[#This Row],[Sale]]-Table1[[#This Row],[Cost]]</f>
        <v>125.99000000000012</v>
      </c>
      <c r="I219" s="4">
        <f>Table1[[#This Row],[Profit]]/Table1[[#This Row],[Sale]]</f>
        <v>0.12000190494332805</v>
      </c>
      <c r="J219" s="5">
        <f t="shared" si="6"/>
        <v>2005</v>
      </c>
      <c r="K219" s="5">
        <f>MONTH(Table1[[#This Row],[Date]])</f>
        <v>8</v>
      </c>
      <c r="L219" s="5">
        <f>DAY(Table1[[#This Row],[Date]])</f>
        <v>24</v>
      </c>
      <c r="M219" s="5" t="str">
        <f t="shared" si="7"/>
        <v>Aug</v>
      </c>
    </row>
    <row r="220" spans="1:13" x14ac:dyDescent="0.25">
      <c r="A220" s="2">
        <v>38634</v>
      </c>
      <c r="B220" t="s">
        <v>22</v>
      </c>
      <c r="C220" t="s">
        <v>12</v>
      </c>
      <c r="D220" t="s">
        <v>28</v>
      </c>
      <c r="E220" t="s">
        <v>20</v>
      </c>
      <c r="F220" s="3">
        <v>2970.66</v>
      </c>
      <c r="G220" s="3">
        <v>3177.18</v>
      </c>
      <c r="H220" s="3">
        <f>Table1[[#This Row],[Sale]]-Table1[[#This Row],[Cost]]</f>
        <v>206.51999999999998</v>
      </c>
      <c r="I220" s="4">
        <f>Table1[[#This Row],[Profit]]/Table1[[#This Row],[Sale]]</f>
        <v>6.500103865692218E-2</v>
      </c>
      <c r="J220" s="5">
        <f t="shared" si="6"/>
        <v>2005</v>
      </c>
      <c r="K220" s="5">
        <f>MONTH(Table1[[#This Row],[Date]])</f>
        <v>10</v>
      </c>
      <c r="L220" s="5">
        <f>DAY(Table1[[#This Row],[Date]])</f>
        <v>9</v>
      </c>
      <c r="M220" s="5" t="str">
        <f t="shared" si="7"/>
        <v>Oct</v>
      </c>
    </row>
    <row r="221" spans="1:13" x14ac:dyDescent="0.25">
      <c r="A221" s="2">
        <v>38605</v>
      </c>
      <c r="B221" t="s">
        <v>26</v>
      </c>
      <c r="C221" t="s">
        <v>29</v>
      </c>
      <c r="D221" t="s">
        <v>13</v>
      </c>
      <c r="E221" t="s">
        <v>14</v>
      </c>
      <c r="F221" s="3">
        <v>3060.27</v>
      </c>
      <c r="G221" s="3">
        <v>5564.13</v>
      </c>
      <c r="H221" s="3">
        <f>Table1[[#This Row],[Sale]]-Table1[[#This Row],[Cost]]</f>
        <v>2503.86</v>
      </c>
      <c r="I221" s="4">
        <f>Table1[[#This Row],[Profit]]/Table1[[#This Row],[Sale]]</f>
        <v>0.4500002695839242</v>
      </c>
      <c r="J221" s="5">
        <f t="shared" si="6"/>
        <v>2005</v>
      </c>
      <c r="K221" s="5">
        <f>MONTH(Table1[[#This Row],[Date]])</f>
        <v>9</v>
      </c>
      <c r="L221" s="5">
        <f>DAY(Table1[[#This Row],[Date]])</f>
        <v>10</v>
      </c>
      <c r="M221" s="5" t="str">
        <f t="shared" si="7"/>
        <v>Sep</v>
      </c>
    </row>
    <row r="222" spans="1:13" x14ac:dyDescent="0.25">
      <c r="A222" s="2">
        <v>38722</v>
      </c>
      <c r="B222" t="s">
        <v>26</v>
      </c>
      <c r="C222" t="s">
        <v>12</v>
      </c>
      <c r="D222" t="s">
        <v>16</v>
      </c>
      <c r="E222" t="s">
        <v>20</v>
      </c>
      <c r="F222" s="3">
        <v>122.82</v>
      </c>
      <c r="G222" s="3">
        <v>131.36000000000001</v>
      </c>
      <c r="H222" s="3">
        <f>Table1[[#This Row],[Sale]]-Table1[[#This Row],[Cost]]</f>
        <v>8.5400000000000205</v>
      </c>
      <c r="I222" s="4">
        <f>Table1[[#This Row],[Profit]]/Table1[[#This Row],[Sale]]</f>
        <v>6.5012180267966041E-2</v>
      </c>
      <c r="J222" s="5">
        <f t="shared" si="6"/>
        <v>2006</v>
      </c>
      <c r="K222" s="5">
        <f>MONTH(Table1[[#This Row],[Date]])</f>
        <v>1</v>
      </c>
      <c r="L222" s="5">
        <f>DAY(Table1[[#This Row],[Date]])</f>
        <v>5</v>
      </c>
      <c r="M222" s="5" t="str">
        <f t="shared" si="7"/>
        <v>Jan</v>
      </c>
    </row>
    <row r="223" spans="1:13" x14ac:dyDescent="0.25">
      <c r="A223" s="2">
        <v>38293</v>
      </c>
      <c r="B223" t="s">
        <v>15</v>
      </c>
      <c r="C223" t="s">
        <v>27</v>
      </c>
      <c r="D223" t="s">
        <v>19</v>
      </c>
      <c r="E223" t="s">
        <v>14</v>
      </c>
      <c r="F223" s="3">
        <v>8311.74</v>
      </c>
      <c r="G223" s="3">
        <v>9445.16</v>
      </c>
      <c r="H223" s="3">
        <f>Table1[[#This Row],[Sale]]-Table1[[#This Row],[Cost]]</f>
        <v>1133.42</v>
      </c>
      <c r="I223" s="4">
        <f>Table1[[#This Row],[Profit]]/Table1[[#This Row],[Sale]]</f>
        <v>0.12000008469946513</v>
      </c>
      <c r="J223" s="5">
        <f t="shared" si="6"/>
        <v>2004</v>
      </c>
      <c r="K223" s="5">
        <f>MONTH(Table1[[#This Row],[Date]])</f>
        <v>11</v>
      </c>
      <c r="L223" s="5">
        <f>DAY(Table1[[#This Row],[Date]])</f>
        <v>2</v>
      </c>
      <c r="M223" s="5" t="str">
        <f t="shared" si="7"/>
        <v>Nov</v>
      </c>
    </row>
    <row r="224" spans="1:13" x14ac:dyDescent="0.25">
      <c r="A224" s="2">
        <v>38209</v>
      </c>
      <c r="B224" t="s">
        <v>11</v>
      </c>
      <c r="C224" t="s">
        <v>12</v>
      </c>
      <c r="D224" t="s">
        <v>28</v>
      </c>
      <c r="E224" t="s">
        <v>20</v>
      </c>
      <c r="F224" s="3">
        <v>5686.04</v>
      </c>
      <c r="G224" s="3">
        <v>9803.51</v>
      </c>
      <c r="H224" s="3">
        <f>Table1[[#This Row],[Sale]]-Table1[[#This Row],[Cost]]</f>
        <v>4117.47</v>
      </c>
      <c r="I224" s="4">
        <f>Table1[[#This Row],[Profit]]/Table1[[#This Row],[Sale]]</f>
        <v>0.41999957158201501</v>
      </c>
      <c r="J224" s="5">
        <f t="shared" si="6"/>
        <v>2004</v>
      </c>
      <c r="K224" s="5">
        <f>MONTH(Table1[[#This Row],[Date]])</f>
        <v>8</v>
      </c>
      <c r="L224" s="5">
        <f>DAY(Table1[[#This Row],[Date]])</f>
        <v>10</v>
      </c>
      <c r="M224" s="5" t="str">
        <f t="shared" si="7"/>
        <v>Aug</v>
      </c>
    </row>
    <row r="225" spans="1:13" x14ac:dyDescent="0.25">
      <c r="A225" s="2">
        <v>38645</v>
      </c>
      <c r="B225" t="s">
        <v>26</v>
      </c>
      <c r="C225" t="s">
        <v>18</v>
      </c>
      <c r="D225" t="s">
        <v>19</v>
      </c>
      <c r="E225" t="s">
        <v>20</v>
      </c>
      <c r="F225" s="3">
        <v>612.13</v>
      </c>
      <c r="G225" s="3">
        <v>1360.28</v>
      </c>
      <c r="H225" s="3">
        <f>Table1[[#This Row],[Sale]]-Table1[[#This Row],[Cost]]</f>
        <v>748.15</v>
      </c>
      <c r="I225" s="4">
        <f>Table1[[#This Row],[Profit]]/Table1[[#This Row],[Sale]]</f>
        <v>0.54999705942894106</v>
      </c>
      <c r="J225" s="5">
        <f t="shared" si="6"/>
        <v>2005</v>
      </c>
      <c r="K225" s="5">
        <f>MONTH(Table1[[#This Row],[Date]])</f>
        <v>10</v>
      </c>
      <c r="L225" s="5">
        <f>DAY(Table1[[#This Row],[Date]])</f>
        <v>20</v>
      </c>
      <c r="M225" s="5" t="str">
        <f t="shared" si="7"/>
        <v>Oct</v>
      </c>
    </row>
    <row r="226" spans="1:13" x14ac:dyDescent="0.25">
      <c r="A226" s="2">
        <v>38453</v>
      </c>
      <c r="B226" t="s">
        <v>11</v>
      </c>
      <c r="C226" t="s">
        <v>12</v>
      </c>
      <c r="D226" t="s">
        <v>19</v>
      </c>
      <c r="E226" t="s">
        <v>25</v>
      </c>
      <c r="F226" s="3">
        <v>3296.17</v>
      </c>
      <c r="G226" s="3">
        <v>3745.65</v>
      </c>
      <c r="H226" s="3">
        <f>Table1[[#This Row],[Sale]]-Table1[[#This Row],[Cost]]</f>
        <v>449.48</v>
      </c>
      <c r="I226" s="4">
        <f>Table1[[#This Row],[Profit]]/Table1[[#This Row],[Sale]]</f>
        <v>0.12000053395271849</v>
      </c>
      <c r="J226" s="5">
        <f t="shared" si="6"/>
        <v>2005</v>
      </c>
      <c r="K226" s="5">
        <f>MONTH(Table1[[#This Row],[Date]])</f>
        <v>4</v>
      </c>
      <c r="L226" s="5">
        <f>DAY(Table1[[#This Row],[Date]])</f>
        <v>11</v>
      </c>
      <c r="M226" s="5" t="str">
        <f t="shared" si="7"/>
        <v>Apr</v>
      </c>
    </row>
    <row r="227" spans="1:13" x14ac:dyDescent="0.25">
      <c r="A227" s="2">
        <v>38560</v>
      </c>
      <c r="B227" t="s">
        <v>21</v>
      </c>
      <c r="C227" t="s">
        <v>29</v>
      </c>
      <c r="D227" t="s">
        <v>16</v>
      </c>
      <c r="E227" t="s">
        <v>20</v>
      </c>
      <c r="F227" s="3">
        <v>2807.34</v>
      </c>
      <c r="G227" s="3">
        <v>5104.26</v>
      </c>
      <c r="H227" s="3">
        <f>Table1[[#This Row],[Sale]]-Table1[[#This Row],[Cost]]</f>
        <v>2296.92</v>
      </c>
      <c r="I227" s="4">
        <f>Table1[[#This Row],[Profit]]/Table1[[#This Row],[Sale]]</f>
        <v>0.4500005877443547</v>
      </c>
      <c r="J227" s="5">
        <f t="shared" si="6"/>
        <v>2005</v>
      </c>
      <c r="K227" s="5">
        <f>MONTH(Table1[[#This Row],[Date]])</f>
        <v>7</v>
      </c>
      <c r="L227" s="5">
        <f>DAY(Table1[[#This Row],[Date]])</f>
        <v>27</v>
      </c>
      <c r="M227" s="5" t="str">
        <f t="shared" si="7"/>
        <v>Jul</v>
      </c>
    </row>
    <row r="228" spans="1:13" x14ac:dyDescent="0.25">
      <c r="A228" s="2">
        <v>38278</v>
      </c>
      <c r="B228" t="s">
        <v>22</v>
      </c>
      <c r="C228" t="s">
        <v>12</v>
      </c>
      <c r="D228" t="s">
        <v>28</v>
      </c>
      <c r="E228" t="s">
        <v>20</v>
      </c>
      <c r="F228" s="3">
        <v>427.9</v>
      </c>
      <c r="G228" s="3">
        <v>629.27</v>
      </c>
      <c r="H228" s="3">
        <f>Table1[[#This Row],[Sale]]-Table1[[#This Row],[Cost]]</f>
        <v>201.37</v>
      </c>
      <c r="I228" s="4">
        <f>Table1[[#This Row],[Profit]]/Table1[[#This Row],[Sale]]</f>
        <v>0.32000572091471069</v>
      </c>
      <c r="J228" s="5">
        <f t="shared" si="6"/>
        <v>2004</v>
      </c>
      <c r="K228" s="5">
        <f>MONTH(Table1[[#This Row],[Date]])</f>
        <v>10</v>
      </c>
      <c r="L228" s="5">
        <f>DAY(Table1[[#This Row],[Date]])</f>
        <v>18</v>
      </c>
      <c r="M228" s="5" t="str">
        <f t="shared" si="7"/>
        <v>Oct</v>
      </c>
    </row>
    <row r="229" spans="1:13" x14ac:dyDescent="0.25">
      <c r="A229" s="2">
        <v>38879</v>
      </c>
      <c r="B229" t="s">
        <v>11</v>
      </c>
      <c r="C229" t="s">
        <v>29</v>
      </c>
      <c r="D229" t="s">
        <v>28</v>
      </c>
      <c r="E229" t="s">
        <v>14</v>
      </c>
      <c r="F229" s="3">
        <v>3427.84</v>
      </c>
      <c r="G229" s="3">
        <v>5809.9</v>
      </c>
      <c r="H229" s="3">
        <f>Table1[[#This Row],[Sale]]-Table1[[#This Row],[Cost]]</f>
        <v>2382.0599999999995</v>
      </c>
      <c r="I229" s="4">
        <f>Table1[[#This Row],[Profit]]/Table1[[#This Row],[Sale]]</f>
        <v>0.410000172120002</v>
      </c>
      <c r="J229" s="5">
        <f t="shared" si="6"/>
        <v>2006</v>
      </c>
      <c r="K229" s="5">
        <f>MONTH(Table1[[#This Row],[Date]])</f>
        <v>6</v>
      </c>
      <c r="L229" s="5">
        <f>DAY(Table1[[#This Row],[Date]])</f>
        <v>11</v>
      </c>
      <c r="M229" s="5" t="str">
        <f t="shared" si="7"/>
        <v>Jun</v>
      </c>
    </row>
    <row r="230" spans="1:13" x14ac:dyDescent="0.25">
      <c r="A230" s="2">
        <v>38840</v>
      </c>
      <c r="B230" t="s">
        <v>11</v>
      </c>
      <c r="C230" t="s">
        <v>12</v>
      </c>
      <c r="D230" t="s">
        <v>13</v>
      </c>
      <c r="E230" t="s">
        <v>14</v>
      </c>
      <c r="F230" s="3">
        <v>1978.15</v>
      </c>
      <c r="G230" s="3">
        <v>2115.67</v>
      </c>
      <c r="H230" s="3">
        <f>Table1[[#This Row],[Sale]]-Table1[[#This Row],[Cost]]</f>
        <v>137.51999999999998</v>
      </c>
      <c r="I230" s="4">
        <f>Table1[[#This Row],[Profit]]/Table1[[#This Row],[Sale]]</f>
        <v>6.5000685362083865E-2</v>
      </c>
      <c r="J230" s="5">
        <f t="shared" si="6"/>
        <v>2006</v>
      </c>
      <c r="K230" s="5">
        <f>MONTH(Table1[[#This Row],[Date]])</f>
        <v>5</v>
      </c>
      <c r="L230" s="5">
        <f>DAY(Table1[[#This Row],[Date]])</f>
        <v>3</v>
      </c>
      <c r="M230" s="5" t="str">
        <f t="shared" si="7"/>
        <v>May</v>
      </c>
    </row>
    <row r="231" spans="1:13" x14ac:dyDescent="0.25">
      <c r="A231" s="2">
        <v>38212</v>
      </c>
      <c r="B231" t="s">
        <v>15</v>
      </c>
      <c r="C231" t="s">
        <v>23</v>
      </c>
      <c r="D231" t="s">
        <v>19</v>
      </c>
      <c r="E231" t="s">
        <v>25</v>
      </c>
      <c r="F231" s="3">
        <v>852.83</v>
      </c>
      <c r="G231" s="3">
        <v>1470.4</v>
      </c>
      <c r="H231" s="3">
        <f>Table1[[#This Row],[Sale]]-Table1[[#This Row],[Cost]]</f>
        <v>617.57000000000005</v>
      </c>
      <c r="I231" s="4">
        <f>Table1[[#This Row],[Profit]]/Table1[[#This Row],[Sale]]</f>
        <v>0.42000136017410228</v>
      </c>
      <c r="J231" s="5">
        <f t="shared" si="6"/>
        <v>2004</v>
      </c>
      <c r="K231" s="5">
        <f>MONTH(Table1[[#This Row],[Date]])</f>
        <v>8</v>
      </c>
      <c r="L231" s="5">
        <f>DAY(Table1[[#This Row],[Date]])</f>
        <v>13</v>
      </c>
      <c r="M231" s="5" t="str">
        <f t="shared" si="7"/>
        <v>Aug</v>
      </c>
    </row>
    <row r="232" spans="1:13" x14ac:dyDescent="0.25">
      <c r="A232" s="2">
        <v>38288</v>
      </c>
      <c r="B232" t="s">
        <v>22</v>
      </c>
      <c r="C232" t="s">
        <v>18</v>
      </c>
      <c r="D232" t="s">
        <v>28</v>
      </c>
      <c r="E232" t="s">
        <v>14</v>
      </c>
      <c r="F232" s="3">
        <v>5717.72</v>
      </c>
      <c r="G232" s="3">
        <v>8408.41</v>
      </c>
      <c r="H232" s="3">
        <f>Table1[[#This Row],[Sale]]-Table1[[#This Row],[Cost]]</f>
        <v>2690.6899999999996</v>
      </c>
      <c r="I232" s="4">
        <f>Table1[[#This Row],[Profit]]/Table1[[#This Row],[Sale]]</f>
        <v>0.31999985728574126</v>
      </c>
      <c r="J232" s="5">
        <f t="shared" si="6"/>
        <v>2004</v>
      </c>
      <c r="K232" s="5">
        <f>MONTH(Table1[[#This Row],[Date]])</f>
        <v>10</v>
      </c>
      <c r="L232" s="5">
        <f>DAY(Table1[[#This Row],[Date]])</f>
        <v>28</v>
      </c>
      <c r="M232" s="5" t="str">
        <f t="shared" si="7"/>
        <v>Oct</v>
      </c>
    </row>
    <row r="233" spans="1:13" x14ac:dyDescent="0.25">
      <c r="A233" s="2">
        <v>38867</v>
      </c>
      <c r="B233" t="s">
        <v>26</v>
      </c>
      <c r="C233" t="s">
        <v>23</v>
      </c>
      <c r="D233" t="s">
        <v>13</v>
      </c>
      <c r="E233" t="s">
        <v>25</v>
      </c>
      <c r="F233" s="3">
        <v>1117.5</v>
      </c>
      <c r="G233" s="3">
        <v>1894.07</v>
      </c>
      <c r="H233" s="3">
        <f>Table1[[#This Row],[Sale]]-Table1[[#This Row],[Cost]]</f>
        <v>776.56999999999994</v>
      </c>
      <c r="I233" s="4">
        <f>Table1[[#This Row],[Profit]]/Table1[[#This Row],[Sale]]</f>
        <v>0.41000068635266912</v>
      </c>
      <c r="J233" s="5">
        <f t="shared" si="6"/>
        <v>2006</v>
      </c>
      <c r="K233" s="5">
        <f>MONTH(Table1[[#This Row],[Date]])</f>
        <v>5</v>
      </c>
      <c r="L233" s="5">
        <f>DAY(Table1[[#This Row],[Date]])</f>
        <v>30</v>
      </c>
      <c r="M233" s="5" t="str">
        <f t="shared" si="7"/>
        <v>May</v>
      </c>
    </row>
    <row r="234" spans="1:13" x14ac:dyDescent="0.25">
      <c r="A234" s="2">
        <v>38406</v>
      </c>
      <c r="B234" t="s">
        <v>17</v>
      </c>
      <c r="C234" t="s">
        <v>29</v>
      </c>
      <c r="D234" t="s">
        <v>28</v>
      </c>
      <c r="E234" t="s">
        <v>14</v>
      </c>
      <c r="F234" s="3">
        <v>3422.95</v>
      </c>
      <c r="G234" s="3">
        <v>3889.72</v>
      </c>
      <c r="H234" s="3">
        <f>Table1[[#This Row],[Sale]]-Table1[[#This Row],[Cost]]</f>
        <v>466.77</v>
      </c>
      <c r="I234" s="4">
        <f>Table1[[#This Row],[Profit]]/Table1[[#This Row],[Sale]]</f>
        <v>0.12000092551648962</v>
      </c>
      <c r="J234" s="5">
        <f t="shared" si="6"/>
        <v>2005</v>
      </c>
      <c r="K234" s="5">
        <f>MONTH(Table1[[#This Row],[Date]])</f>
        <v>2</v>
      </c>
      <c r="L234" s="5">
        <f>DAY(Table1[[#This Row],[Date]])</f>
        <v>23</v>
      </c>
      <c r="M234" s="5" t="str">
        <f t="shared" si="7"/>
        <v>Feb</v>
      </c>
    </row>
    <row r="235" spans="1:13" x14ac:dyDescent="0.25">
      <c r="A235" s="2">
        <v>38253</v>
      </c>
      <c r="B235" t="s">
        <v>15</v>
      </c>
      <c r="C235" t="s">
        <v>27</v>
      </c>
      <c r="D235" t="s">
        <v>16</v>
      </c>
      <c r="E235" t="s">
        <v>25</v>
      </c>
      <c r="F235" s="3">
        <v>4597.51</v>
      </c>
      <c r="G235" s="3">
        <v>6130.01</v>
      </c>
      <c r="H235" s="3">
        <f>Table1[[#This Row],[Sale]]-Table1[[#This Row],[Cost]]</f>
        <v>1532.5</v>
      </c>
      <c r="I235" s="4">
        <f>Table1[[#This Row],[Profit]]/Table1[[#This Row],[Sale]]</f>
        <v>0.24999959217032272</v>
      </c>
      <c r="J235" s="5">
        <f t="shared" si="6"/>
        <v>2004</v>
      </c>
      <c r="K235" s="5">
        <f>MONTH(Table1[[#This Row],[Date]])</f>
        <v>9</v>
      </c>
      <c r="L235" s="5">
        <f>DAY(Table1[[#This Row],[Date]])</f>
        <v>23</v>
      </c>
      <c r="M235" s="5" t="str">
        <f t="shared" si="7"/>
        <v>Sep</v>
      </c>
    </row>
    <row r="236" spans="1:13" x14ac:dyDescent="0.25">
      <c r="A236" s="2">
        <v>38434</v>
      </c>
      <c r="B236" t="s">
        <v>26</v>
      </c>
      <c r="C236" t="s">
        <v>29</v>
      </c>
      <c r="D236" t="s">
        <v>16</v>
      </c>
      <c r="E236" t="s">
        <v>24</v>
      </c>
      <c r="F236" s="3">
        <v>944.41</v>
      </c>
      <c r="G236" s="3">
        <v>2552.46</v>
      </c>
      <c r="H236" s="3">
        <f>Table1[[#This Row],[Sale]]-Table1[[#This Row],[Cost]]</f>
        <v>1608.0500000000002</v>
      </c>
      <c r="I236" s="4">
        <f>Table1[[#This Row],[Profit]]/Table1[[#This Row],[Sale]]</f>
        <v>0.63000007835578231</v>
      </c>
      <c r="J236" s="5">
        <f t="shared" si="6"/>
        <v>2005</v>
      </c>
      <c r="K236" s="5">
        <f>MONTH(Table1[[#This Row],[Date]])</f>
        <v>3</v>
      </c>
      <c r="L236" s="5">
        <f>DAY(Table1[[#This Row],[Date]])</f>
        <v>23</v>
      </c>
      <c r="M236" s="5" t="str">
        <f t="shared" si="7"/>
        <v>Mar</v>
      </c>
    </row>
    <row r="237" spans="1:13" x14ac:dyDescent="0.25">
      <c r="A237" s="2">
        <v>38288</v>
      </c>
      <c r="B237" t="s">
        <v>17</v>
      </c>
      <c r="C237" t="s">
        <v>18</v>
      </c>
      <c r="D237" t="s">
        <v>13</v>
      </c>
      <c r="E237" t="s">
        <v>14</v>
      </c>
      <c r="F237" s="3">
        <v>499.14</v>
      </c>
      <c r="G237" s="3">
        <v>1109.19</v>
      </c>
      <c r="H237" s="3">
        <f>Table1[[#This Row],[Sale]]-Table1[[#This Row],[Cost]]</f>
        <v>610.05000000000007</v>
      </c>
      <c r="I237" s="4">
        <f>Table1[[#This Row],[Profit]]/Table1[[#This Row],[Sale]]</f>
        <v>0.54999594298542187</v>
      </c>
      <c r="J237" s="5">
        <f t="shared" si="6"/>
        <v>2004</v>
      </c>
      <c r="K237" s="5">
        <f>MONTH(Table1[[#This Row],[Date]])</f>
        <v>10</v>
      </c>
      <c r="L237" s="5">
        <f>DAY(Table1[[#This Row],[Date]])</f>
        <v>28</v>
      </c>
      <c r="M237" s="5" t="str">
        <f t="shared" si="7"/>
        <v>Oct</v>
      </c>
    </row>
    <row r="238" spans="1:13" x14ac:dyDescent="0.25">
      <c r="A238" s="2">
        <v>38205</v>
      </c>
      <c r="B238" t="s">
        <v>22</v>
      </c>
      <c r="C238" t="s">
        <v>18</v>
      </c>
      <c r="D238" t="s">
        <v>13</v>
      </c>
      <c r="E238" t="s">
        <v>24</v>
      </c>
      <c r="F238" s="3">
        <v>1254.29</v>
      </c>
      <c r="G238" s="3">
        <v>3389.97</v>
      </c>
      <c r="H238" s="3">
        <f>Table1[[#This Row],[Sale]]-Table1[[#This Row],[Cost]]</f>
        <v>2135.6799999999998</v>
      </c>
      <c r="I238" s="4">
        <f>Table1[[#This Row],[Profit]]/Table1[[#This Row],[Sale]]</f>
        <v>0.62999967551335256</v>
      </c>
      <c r="J238" s="5">
        <f t="shared" si="6"/>
        <v>2004</v>
      </c>
      <c r="K238" s="5">
        <f>MONTH(Table1[[#This Row],[Date]])</f>
        <v>8</v>
      </c>
      <c r="L238" s="5">
        <f>DAY(Table1[[#This Row],[Date]])</f>
        <v>6</v>
      </c>
      <c r="M238" s="5" t="str">
        <f t="shared" si="7"/>
        <v>Aug</v>
      </c>
    </row>
    <row r="239" spans="1:13" x14ac:dyDescent="0.25">
      <c r="A239" s="2">
        <v>38695</v>
      </c>
      <c r="B239" t="s">
        <v>17</v>
      </c>
      <c r="C239" t="s">
        <v>18</v>
      </c>
      <c r="D239" t="s">
        <v>16</v>
      </c>
      <c r="E239" t="s">
        <v>25</v>
      </c>
      <c r="F239" s="3">
        <v>6619.09</v>
      </c>
      <c r="G239" s="3">
        <v>9733.9500000000007</v>
      </c>
      <c r="H239" s="3">
        <f>Table1[[#This Row],[Sale]]-Table1[[#This Row],[Cost]]</f>
        <v>3114.8600000000006</v>
      </c>
      <c r="I239" s="4">
        <f>Table1[[#This Row],[Profit]]/Table1[[#This Row],[Sale]]</f>
        <v>0.31999958906713105</v>
      </c>
      <c r="J239" s="5">
        <f t="shared" si="6"/>
        <v>2005</v>
      </c>
      <c r="K239" s="5">
        <f>MONTH(Table1[[#This Row],[Date]])</f>
        <v>12</v>
      </c>
      <c r="L239" s="5">
        <f>DAY(Table1[[#This Row],[Date]])</f>
        <v>9</v>
      </c>
      <c r="M239" s="5" t="str">
        <f t="shared" si="7"/>
        <v>Dec</v>
      </c>
    </row>
    <row r="240" spans="1:13" x14ac:dyDescent="0.25">
      <c r="A240" s="2">
        <v>38258</v>
      </c>
      <c r="B240" t="s">
        <v>11</v>
      </c>
      <c r="C240" t="s">
        <v>27</v>
      </c>
      <c r="D240" t="s">
        <v>13</v>
      </c>
      <c r="E240" t="s">
        <v>14</v>
      </c>
      <c r="F240" s="3">
        <v>1582.75</v>
      </c>
      <c r="G240" s="3">
        <v>2327.5700000000002</v>
      </c>
      <c r="H240" s="3">
        <f>Table1[[#This Row],[Sale]]-Table1[[#This Row],[Cost]]</f>
        <v>744.82000000000016</v>
      </c>
      <c r="I240" s="4">
        <f>Table1[[#This Row],[Profit]]/Table1[[#This Row],[Sale]]</f>
        <v>0.31999896888170931</v>
      </c>
      <c r="J240" s="5">
        <f t="shared" si="6"/>
        <v>2004</v>
      </c>
      <c r="K240" s="5">
        <f>MONTH(Table1[[#This Row],[Date]])</f>
        <v>9</v>
      </c>
      <c r="L240" s="5">
        <f>DAY(Table1[[#This Row],[Date]])</f>
        <v>28</v>
      </c>
      <c r="M240" s="5" t="str">
        <f t="shared" si="7"/>
        <v>Sep</v>
      </c>
    </row>
    <row r="241" spans="1:13" x14ac:dyDescent="0.25">
      <c r="A241" s="2">
        <v>38513</v>
      </c>
      <c r="B241" t="s">
        <v>11</v>
      </c>
      <c r="C241" t="s">
        <v>27</v>
      </c>
      <c r="D241" t="s">
        <v>16</v>
      </c>
      <c r="E241" t="s">
        <v>14</v>
      </c>
      <c r="F241" s="3">
        <v>5331.83</v>
      </c>
      <c r="G241" s="3">
        <v>5702.49</v>
      </c>
      <c r="H241" s="3">
        <f>Table1[[#This Row],[Sale]]-Table1[[#This Row],[Cost]]</f>
        <v>370.65999999999985</v>
      </c>
      <c r="I241" s="4">
        <f>Table1[[#This Row],[Profit]]/Table1[[#This Row],[Sale]]</f>
        <v>6.4999675580316649E-2</v>
      </c>
      <c r="J241" s="5">
        <f t="shared" si="6"/>
        <v>2005</v>
      </c>
      <c r="K241" s="5">
        <f>MONTH(Table1[[#This Row],[Date]])</f>
        <v>6</v>
      </c>
      <c r="L241" s="5">
        <f>DAY(Table1[[#This Row],[Date]])</f>
        <v>10</v>
      </c>
      <c r="M241" s="5" t="str">
        <f t="shared" si="7"/>
        <v>Jun</v>
      </c>
    </row>
    <row r="242" spans="1:13" x14ac:dyDescent="0.25">
      <c r="A242" s="2">
        <v>38217</v>
      </c>
      <c r="B242" t="s">
        <v>17</v>
      </c>
      <c r="C242" t="s">
        <v>12</v>
      </c>
      <c r="D242" t="s">
        <v>13</v>
      </c>
      <c r="E242" t="s">
        <v>25</v>
      </c>
      <c r="F242" s="3">
        <v>2991.76</v>
      </c>
      <c r="G242" s="3">
        <v>3989.02</v>
      </c>
      <c r="H242" s="3">
        <f>Table1[[#This Row],[Sale]]-Table1[[#This Row],[Cost]]</f>
        <v>997.25999999999976</v>
      </c>
      <c r="I242" s="4">
        <f>Table1[[#This Row],[Profit]]/Table1[[#This Row],[Sale]]</f>
        <v>0.25000125344069463</v>
      </c>
      <c r="J242" s="5">
        <f t="shared" si="6"/>
        <v>2004</v>
      </c>
      <c r="K242" s="5">
        <f>MONTH(Table1[[#This Row],[Date]])</f>
        <v>8</v>
      </c>
      <c r="L242" s="5">
        <f>DAY(Table1[[#This Row],[Date]])</f>
        <v>18</v>
      </c>
      <c r="M242" s="5" t="str">
        <f t="shared" si="7"/>
        <v>Aug</v>
      </c>
    </row>
    <row r="243" spans="1:13" x14ac:dyDescent="0.25">
      <c r="A243" s="2">
        <v>38677</v>
      </c>
      <c r="B243" t="s">
        <v>22</v>
      </c>
      <c r="C243" t="s">
        <v>12</v>
      </c>
      <c r="D243" t="s">
        <v>13</v>
      </c>
      <c r="E243" t="s">
        <v>25</v>
      </c>
      <c r="F243" s="3">
        <v>3180.82</v>
      </c>
      <c r="G243" s="3">
        <v>8596.7999999999993</v>
      </c>
      <c r="H243" s="3">
        <f>Table1[[#This Row],[Sale]]-Table1[[#This Row],[Cost]]</f>
        <v>5415.98</v>
      </c>
      <c r="I243" s="4">
        <f>Table1[[#This Row],[Profit]]/Table1[[#This Row],[Sale]]</f>
        <v>0.62999953471059</v>
      </c>
      <c r="J243" s="5">
        <f t="shared" si="6"/>
        <v>2005</v>
      </c>
      <c r="K243" s="5">
        <f>MONTH(Table1[[#This Row],[Date]])</f>
        <v>11</v>
      </c>
      <c r="L243" s="5">
        <f>DAY(Table1[[#This Row],[Date]])</f>
        <v>21</v>
      </c>
      <c r="M243" s="5" t="str">
        <f t="shared" si="7"/>
        <v>Nov</v>
      </c>
    </row>
    <row r="244" spans="1:13" x14ac:dyDescent="0.25">
      <c r="A244" s="2">
        <v>38327</v>
      </c>
      <c r="B244" t="s">
        <v>15</v>
      </c>
      <c r="C244" t="s">
        <v>27</v>
      </c>
      <c r="D244" t="s">
        <v>16</v>
      </c>
      <c r="E244" t="s">
        <v>25</v>
      </c>
      <c r="F244" s="3">
        <v>31.75</v>
      </c>
      <c r="G244" s="3">
        <v>46.69</v>
      </c>
      <c r="H244" s="3">
        <f>Table1[[#This Row],[Sale]]-Table1[[#This Row],[Cost]]</f>
        <v>14.939999999999998</v>
      </c>
      <c r="I244" s="4">
        <f>Table1[[#This Row],[Profit]]/Table1[[#This Row],[Sale]]</f>
        <v>0.31998286571000212</v>
      </c>
      <c r="J244" s="5">
        <f t="shared" si="6"/>
        <v>2004</v>
      </c>
      <c r="K244" s="5">
        <f>MONTH(Table1[[#This Row],[Date]])</f>
        <v>12</v>
      </c>
      <c r="L244" s="5">
        <f>DAY(Table1[[#This Row],[Date]])</f>
        <v>6</v>
      </c>
      <c r="M244" s="5" t="str">
        <f t="shared" si="7"/>
        <v>Dec</v>
      </c>
    </row>
    <row r="245" spans="1:13" x14ac:dyDescent="0.25">
      <c r="A245" s="2">
        <v>38263</v>
      </c>
      <c r="B245" t="s">
        <v>26</v>
      </c>
      <c r="C245" t="s">
        <v>29</v>
      </c>
      <c r="D245" t="s">
        <v>13</v>
      </c>
      <c r="E245" t="s">
        <v>14</v>
      </c>
      <c r="F245" s="3">
        <v>2774.78</v>
      </c>
      <c r="G245" s="3">
        <v>6452.97</v>
      </c>
      <c r="H245" s="3">
        <f>Table1[[#This Row],[Sale]]-Table1[[#This Row],[Cost]]</f>
        <v>3678.19</v>
      </c>
      <c r="I245" s="4">
        <f>Table1[[#This Row],[Profit]]/Table1[[#This Row],[Sale]]</f>
        <v>0.56999955059453244</v>
      </c>
      <c r="J245" s="5">
        <f t="shared" si="6"/>
        <v>2004</v>
      </c>
      <c r="K245" s="5">
        <f>MONTH(Table1[[#This Row],[Date]])</f>
        <v>10</v>
      </c>
      <c r="L245" s="5">
        <f>DAY(Table1[[#This Row],[Date]])</f>
        <v>3</v>
      </c>
      <c r="M245" s="5" t="str">
        <f t="shared" si="7"/>
        <v>Oct</v>
      </c>
    </row>
    <row r="246" spans="1:13" x14ac:dyDescent="0.25">
      <c r="A246" s="2">
        <v>38575</v>
      </c>
      <c r="B246" t="s">
        <v>17</v>
      </c>
      <c r="C246" t="s">
        <v>27</v>
      </c>
      <c r="D246" t="s">
        <v>16</v>
      </c>
      <c r="E246" t="s">
        <v>25</v>
      </c>
      <c r="F246" s="3">
        <v>2583.56</v>
      </c>
      <c r="G246" s="3">
        <v>2935.86</v>
      </c>
      <c r="H246" s="3">
        <f>Table1[[#This Row],[Sale]]-Table1[[#This Row],[Cost]]</f>
        <v>352.30000000000018</v>
      </c>
      <c r="I246" s="4">
        <f>Table1[[#This Row],[Profit]]/Table1[[#This Row],[Sale]]</f>
        <v>0.11999891002976987</v>
      </c>
      <c r="J246" s="5">
        <f t="shared" si="6"/>
        <v>2005</v>
      </c>
      <c r="K246" s="5">
        <f>MONTH(Table1[[#This Row],[Date]])</f>
        <v>8</v>
      </c>
      <c r="L246" s="5">
        <f>DAY(Table1[[#This Row],[Date]])</f>
        <v>11</v>
      </c>
      <c r="M246" s="5" t="str">
        <f t="shared" si="7"/>
        <v>Aug</v>
      </c>
    </row>
    <row r="247" spans="1:13" x14ac:dyDescent="0.25">
      <c r="A247" s="2">
        <v>38266</v>
      </c>
      <c r="B247" t="s">
        <v>26</v>
      </c>
      <c r="C247" t="s">
        <v>27</v>
      </c>
      <c r="D247" t="s">
        <v>28</v>
      </c>
      <c r="E247" t="s">
        <v>24</v>
      </c>
      <c r="F247" s="3">
        <v>1547.15</v>
      </c>
      <c r="G247" s="3">
        <v>3438.11</v>
      </c>
      <c r="H247" s="3">
        <f>Table1[[#This Row],[Sale]]-Table1[[#This Row],[Cost]]</f>
        <v>1890.96</v>
      </c>
      <c r="I247" s="4">
        <f>Table1[[#This Row],[Profit]]/Table1[[#This Row],[Sale]]</f>
        <v>0.54999985457126155</v>
      </c>
      <c r="J247" s="5">
        <f t="shared" si="6"/>
        <v>2004</v>
      </c>
      <c r="K247" s="5">
        <f>MONTH(Table1[[#This Row],[Date]])</f>
        <v>10</v>
      </c>
      <c r="L247" s="5">
        <f>DAY(Table1[[#This Row],[Date]])</f>
        <v>6</v>
      </c>
      <c r="M247" s="5" t="str">
        <f t="shared" si="7"/>
        <v>Oct</v>
      </c>
    </row>
    <row r="248" spans="1:13" x14ac:dyDescent="0.25">
      <c r="A248" s="2">
        <v>38393</v>
      </c>
      <c r="B248" t="s">
        <v>22</v>
      </c>
      <c r="C248" t="s">
        <v>23</v>
      </c>
      <c r="D248" t="s">
        <v>13</v>
      </c>
      <c r="E248" t="s">
        <v>24</v>
      </c>
      <c r="F248" s="3">
        <v>3806.21</v>
      </c>
      <c r="G248" s="3">
        <v>8851.64</v>
      </c>
      <c r="H248" s="3">
        <f>Table1[[#This Row],[Sale]]-Table1[[#This Row],[Cost]]</f>
        <v>5045.4299999999994</v>
      </c>
      <c r="I248" s="4">
        <f>Table1[[#This Row],[Profit]]/Table1[[#This Row],[Sale]]</f>
        <v>0.56999945772760752</v>
      </c>
      <c r="J248" s="5">
        <f t="shared" si="6"/>
        <v>2005</v>
      </c>
      <c r="K248" s="5">
        <f>MONTH(Table1[[#This Row],[Date]])</f>
        <v>2</v>
      </c>
      <c r="L248" s="5">
        <f>DAY(Table1[[#This Row],[Date]])</f>
        <v>10</v>
      </c>
      <c r="M248" s="5" t="str">
        <f t="shared" si="7"/>
        <v>Feb</v>
      </c>
    </row>
    <row r="249" spans="1:13" x14ac:dyDescent="0.25">
      <c r="A249" s="2">
        <v>38410</v>
      </c>
      <c r="B249" t="s">
        <v>15</v>
      </c>
      <c r="C249" t="s">
        <v>18</v>
      </c>
      <c r="D249" t="s">
        <v>28</v>
      </c>
      <c r="E249" t="s">
        <v>25</v>
      </c>
      <c r="F249" s="3">
        <v>2790.27</v>
      </c>
      <c r="G249" s="3">
        <v>6200.59</v>
      </c>
      <c r="H249" s="3">
        <f>Table1[[#This Row],[Sale]]-Table1[[#This Row],[Cost]]</f>
        <v>3410.32</v>
      </c>
      <c r="I249" s="4">
        <f>Table1[[#This Row],[Profit]]/Table1[[#This Row],[Sale]]</f>
        <v>0.54999927426261053</v>
      </c>
      <c r="J249" s="5">
        <f t="shared" si="6"/>
        <v>2005</v>
      </c>
      <c r="K249" s="5">
        <f>MONTH(Table1[[#This Row],[Date]])</f>
        <v>2</v>
      </c>
      <c r="L249" s="5">
        <f>DAY(Table1[[#This Row],[Date]])</f>
        <v>27</v>
      </c>
      <c r="M249" s="5" t="str">
        <f t="shared" si="7"/>
        <v>Feb</v>
      </c>
    </row>
    <row r="250" spans="1:13" x14ac:dyDescent="0.25">
      <c r="A250" s="2">
        <v>38289</v>
      </c>
      <c r="B250" t="s">
        <v>26</v>
      </c>
      <c r="C250" t="s">
        <v>12</v>
      </c>
      <c r="D250" t="s">
        <v>28</v>
      </c>
      <c r="E250" t="s">
        <v>14</v>
      </c>
      <c r="F250" s="3">
        <v>89.37</v>
      </c>
      <c r="G250" s="3">
        <v>151.47</v>
      </c>
      <c r="H250" s="3">
        <f>Table1[[#This Row],[Sale]]-Table1[[#This Row],[Cost]]</f>
        <v>62.099999999999994</v>
      </c>
      <c r="I250" s="4">
        <f>Table1[[#This Row],[Profit]]/Table1[[#This Row],[Sale]]</f>
        <v>0.40998217468805703</v>
      </c>
      <c r="J250" s="5">
        <f t="shared" si="6"/>
        <v>2004</v>
      </c>
      <c r="K250" s="5">
        <f>MONTH(Table1[[#This Row],[Date]])</f>
        <v>10</v>
      </c>
      <c r="L250" s="5">
        <f>DAY(Table1[[#This Row],[Date]])</f>
        <v>29</v>
      </c>
      <c r="M250" s="5" t="str">
        <f t="shared" si="7"/>
        <v>Oct</v>
      </c>
    </row>
    <row r="251" spans="1:13" x14ac:dyDescent="0.25">
      <c r="A251" s="2">
        <v>38416</v>
      </c>
      <c r="B251" t="s">
        <v>22</v>
      </c>
      <c r="C251" t="s">
        <v>29</v>
      </c>
      <c r="D251" t="s">
        <v>19</v>
      </c>
      <c r="E251" t="s">
        <v>20</v>
      </c>
      <c r="F251" s="3">
        <v>3412.38</v>
      </c>
      <c r="G251" s="3">
        <v>5883.42</v>
      </c>
      <c r="H251" s="3">
        <f>Table1[[#This Row],[Sale]]-Table1[[#This Row],[Cost]]</f>
        <v>2471.04</v>
      </c>
      <c r="I251" s="4">
        <f>Table1[[#This Row],[Profit]]/Table1[[#This Row],[Sale]]</f>
        <v>0.42000061188900334</v>
      </c>
      <c r="J251" s="5">
        <f t="shared" si="6"/>
        <v>2005</v>
      </c>
      <c r="K251" s="5">
        <f>MONTH(Table1[[#This Row],[Date]])</f>
        <v>3</v>
      </c>
      <c r="L251" s="5">
        <f>DAY(Table1[[#This Row],[Date]])</f>
        <v>5</v>
      </c>
      <c r="M251" s="5" t="str">
        <f t="shared" si="7"/>
        <v>Mar</v>
      </c>
    </row>
    <row r="252" spans="1:13" x14ac:dyDescent="0.25">
      <c r="A252" s="2">
        <v>38462</v>
      </c>
      <c r="B252" t="s">
        <v>26</v>
      </c>
      <c r="C252" t="s">
        <v>29</v>
      </c>
      <c r="D252" t="s">
        <v>28</v>
      </c>
      <c r="E252" t="s">
        <v>14</v>
      </c>
      <c r="F252" s="3">
        <v>3970.29</v>
      </c>
      <c r="G252" s="3">
        <v>9233.24</v>
      </c>
      <c r="H252" s="3">
        <f>Table1[[#This Row],[Sale]]-Table1[[#This Row],[Cost]]</f>
        <v>5262.95</v>
      </c>
      <c r="I252" s="4">
        <f>Table1[[#This Row],[Profit]]/Table1[[#This Row],[Sale]]</f>
        <v>0.57000034657390042</v>
      </c>
      <c r="J252" s="5">
        <f t="shared" si="6"/>
        <v>2005</v>
      </c>
      <c r="K252" s="5">
        <f>MONTH(Table1[[#This Row],[Date]])</f>
        <v>4</v>
      </c>
      <c r="L252" s="5">
        <f>DAY(Table1[[#This Row],[Date]])</f>
        <v>20</v>
      </c>
      <c r="M252" s="5" t="str">
        <f t="shared" si="7"/>
        <v>Apr</v>
      </c>
    </row>
    <row r="253" spans="1:13" x14ac:dyDescent="0.25">
      <c r="A253" s="2">
        <v>38527</v>
      </c>
      <c r="B253" t="s">
        <v>11</v>
      </c>
      <c r="C253" t="s">
        <v>23</v>
      </c>
      <c r="D253" t="s">
        <v>13</v>
      </c>
      <c r="E253" t="s">
        <v>14</v>
      </c>
      <c r="F253" s="3">
        <v>1402.97</v>
      </c>
      <c r="G253" s="3">
        <v>1594.28</v>
      </c>
      <c r="H253" s="3">
        <f>Table1[[#This Row],[Sale]]-Table1[[#This Row],[Cost]]</f>
        <v>191.30999999999995</v>
      </c>
      <c r="I253" s="4">
        <f>Table1[[#This Row],[Profit]]/Table1[[#This Row],[Sale]]</f>
        <v>0.11999774192739039</v>
      </c>
      <c r="J253" s="5">
        <f t="shared" si="6"/>
        <v>2005</v>
      </c>
      <c r="K253" s="5">
        <f>MONTH(Table1[[#This Row],[Date]])</f>
        <v>6</v>
      </c>
      <c r="L253" s="5">
        <f>DAY(Table1[[#This Row],[Date]])</f>
        <v>24</v>
      </c>
      <c r="M253" s="5" t="str">
        <f t="shared" si="7"/>
        <v>Jun</v>
      </c>
    </row>
    <row r="254" spans="1:13" x14ac:dyDescent="0.25">
      <c r="A254" s="2">
        <v>38717</v>
      </c>
      <c r="B254" t="s">
        <v>11</v>
      </c>
      <c r="C254" t="s">
        <v>27</v>
      </c>
      <c r="D254" t="s">
        <v>19</v>
      </c>
      <c r="E254" t="s">
        <v>24</v>
      </c>
      <c r="F254" s="3">
        <v>4764.7</v>
      </c>
      <c r="G254" s="3">
        <v>8663.1</v>
      </c>
      <c r="H254" s="3">
        <f>Table1[[#This Row],[Sale]]-Table1[[#This Row],[Cost]]</f>
        <v>3898.4000000000005</v>
      </c>
      <c r="I254" s="4">
        <f>Table1[[#This Row],[Profit]]/Table1[[#This Row],[Sale]]</f>
        <v>0.45000057716060077</v>
      </c>
      <c r="J254" s="5">
        <f t="shared" si="6"/>
        <v>2005</v>
      </c>
      <c r="K254" s="5">
        <f>MONTH(Table1[[#This Row],[Date]])</f>
        <v>12</v>
      </c>
      <c r="L254" s="5">
        <f>DAY(Table1[[#This Row],[Date]])</f>
        <v>31</v>
      </c>
      <c r="M254" s="5" t="str">
        <f t="shared" si="7"/>
        <v>Dec</v>
      </c>
    </row>
    <row r="255" spans="1:13" x14ac:dyDescent="0.25">
      <c r="A255" s="2">
        <v>38393</v>
      </c>
      <c r="B255" t="s">
        <v>15</v>
      </c>
      <c r="C255" t="s">
        <v>29</v>
      </c>
      <c r="D255" t="s">
        <v>19</v>
      </c>
      <c r="E255" t="s">
        <v>14</v>
      </c>
      <c r="F255" s="3">
        <v>2590.35</v>
      </c>
      <c r="G255" s="3">
        <v>2943.58</v>
      </c>
      <c r="H255" s="3">
        <f>Table1[[#This Row],[Sale]]-Table1[[#This Row],[Cost]]</f>
        <v>353.23</v>
      </c>
      <c r="I255" s="4">
        <f>Table1[[#This Row],[Profit]]/Table1[[#This Row],[Sale]]</f>
        <v>0.12000013588895156</v>
      </c>
      <c r="J255" s="5">
        <f t="shared" si="6"/>
        <v>2005</v>
      </c>
      <c r="K255" s="5">
        <f>MONTH(Table1[[#This Row],[Date]])</f>
        <v>2</v>
      </c>
      <c r="L255" s="5">
        <f>DAY(Table1[[#This Row],[Date]])</f>
        <v>10</v>
      </c>
      <c r="M255" s="5" t="str">
        <f t="shared" si="7"/>
        <v>Feb</v>
      </c>
    </row>
    <row r="256" spans="1:13" x14ac:dyDescent="0.25">
      <c r="A256" s="2">
        <v>38219</v>
      </c>
      <c r="B256" t="s">
        <v>21</v>
      </c>
      <c r="C256" t="s">
        <v>12</v>
      </c>
      <c r="D256" t="s">
        <v>28</v>
      </c>
      <c r="E256" t="s">
        <v>25</v>
      </c>
      <c r="F256" s="3">
        <v>2734.87</v>
      </c>
      <c r="G256" s="3">
        <v>4635.38</v>
      </c>
      <c r="H256" s="3">
        <f>Table1[[#This Row],[Sale]]-Table1[[#This Row],[Cost]]</f>
        <v>1900.5100000000002</v>
      </c>
      <c r="I256" s="4">
        <f>Table1[[#This Row],[Profit]]/Table1[[#This Row],[Sale]]</f>
        <v>0.41000090607458289</v>
      </c>
      <c r="J256" s="5">
        <f t="shared" si="6"/>
        <v>2004</v>
      </c>
      <c r="K256" s="5">
        <f>MONTH(Table1[[#This Row],[Date]])</f>
        <v>8</v>
      </c>
      <c r="L256" s="5">
        <f>DAY(Table1[[#This Row],[Date]])</f>
        <v>20</v>
      </c>
      <c r="M256" s="5" t="str">
        <f t="shared" si="7"/>
        <v>Aug</v>
      </c>
    </row>
    <row r="257" spans="1:13" x14ac:dyDescent="0.25">
      <c r="A257" s="2">
        <v>38802</v>
      </c>
      <c r="B257" t="s">
        <v>17</v>
      </c>
      <c r="C257" t="s">
        <v>27</v>
      </c>
      <c r="D257" t="s">
        <v>16</v>
      </c>
      <c r="E257" t="s">
        <v>20</v>
      </c>
      <c r="F257" s="3">
        <v>1619.56</v>
      </c>
      <c r="G257" s="3">
        <v>3599.03</v>
      </c>
      <c r="H257" s="3">
        <f>Table1[[#This Row],[Sale]]-Table1[[#This Row],[Cost]]</f>
        <v>1979.4700000000003</v>
      </c>
      <c r="I257" s="4">
        <f>Table1[[#This Row],[Profit]]/Table1[[#This Row],[Sale]]</f>
        <v>0.55000097248425273</v>
      </c>
      <c r="J257" s="5">
        <f t="shared" si="6"/>
        <v>2006</v>
      </c>
      <c r="K257" s="5">
        <f>MONTH(Table1[[#This Row],[Date]])</f>
        <v>3</v>
      </c>
      <c r="L257" s="5">
        <f>DAY(Table1[[#This Row],[Date]])</f>
        <v>26</v>
      </c>
      <c r="M257" s="5" t="str">
        <f t="shared" si="7"/>
        <v>Mar</v>
      </c>
    </row>
    <row r="258" spans="1:13" x14ac:dyDescent="0.25">
      <c r="A258" s="2">
        <v>38253</v>
      </c>
      <c r="B258" t="s">
        <v>15</v>
      </c>
      <c r="C258" t="s">
        <v>29</v>
      </c>
      <c r="D258" t="s">
        <v>28</v>
      </c>
      <c r="E258" t="s">
        <v>25</v>
      </c>
      <c r="F258" s="3">
        <v>4089.39</v>
      </c>
      <c r="G258" s="3">
        <v>9510.2000000000007</v>
      </c>
      <c r="H258" s="3">
        <f>Table1[[#This Row],[Sale]]-Table1[[#This Row],[Cost]]</f>
        <v>5420.8100000000013</v>
      </c>
      <c r="I258" s="4">
        <f>Table1[[#This Row],[Profit]]/Table1[[#This Row],[Sale]]</f>
        <v>0.56999957939896118</v>
      </c>
      <c r="J258" s="5">
        <f t="shared" ref="J258:J321" si="8">YEAR(A:A)</f>
        <v>2004</v>
      </c>
      <c r="K258" s="5">
        <f>MONTH(Table1[[#This Row],[Date]])</f>
        <v>9</v>
      </c>
      <c r="L258" s="5">
        <f>DAY(Table1[[#This Row],[Date]])</f>
        <v>23</v>
      </c>
      <c r="M258" s="5" t="str">
        <f t="shared" ref="M258:M321" si="9">CHOOSE(K258,"Jan", "Feb", "Mar", "Apr", "May", "Jun", "Jul", "Aug", "Sep", "Oct", "Nov", "Dec")</f>
        <v>Sep</v>
      </c>
    </row>
    <row r="259" spans="1:13" x14ac:dyDescent="0.25">
      <c r="A259" s="2">
        <v>38544</v>
      </c>
      <c r="B259" t="s">
        <v>21</v>
      </c>
      <c r="C259" t="s">
        <v>29</v>
      </c>
      <c r="D259" t="s">
        <v>19</v>
      </c>
      <c r="E259" t="s">
        <v>14</v>
      </c>
      <c r="F259" s="3">
        <v>5096.54</v>
      </c>
      <c r="G259" s="3">
        <v>8638.2000000000007</v>
      </c>
      <c r="H259" s="3">
        <f>Table1[[#This Row],[Sale]]-Table1[[#This Row],[Cost]]</f>
        <v>3541.6600000000008</v>
      </c>
      <c r="I259" s="4">
        <f>Table1[[#This Row],[Profit]]/Table1[[#This Row],[Sale]]</f>
        <v>0.40999976847028319</v>
      </c>
      <c r="J259" s="5">
        <f t="shared" si="8"/>
        <v>2005</v>
      </c>
      <c r="K259" s="5">
        <f>MONTH(Table1[[#This Row],[Date]])</f>
        <v>7</v>
      </c>
      <c r="L259" s="5">
        <f>DAY(Table1[[#This Row],[Date]])</f>
        <v>11</v>
      </c>
      <c r="M259" s="5" t="str">
        <f t="shared" si="9"/>
        <v>Jul</v>
      </c>
    </row>
    <row r="260" spans="1:13" x14ac:dyDescent="0.25">
      <c r="A260" s="2">
        <v>38630</v>
      </c>
      <c r="B260" t="s">
        <v>11</v>
      </c>
      <c r="C260" t="s">
        <v>29</v>
      </c>
      <c r="D260" t="s">
        <v>16</v>
      </c>
      <c r="E260" t="s">
        <v>14</v>
      </c>
      <c r="F260" s="3">
        <v>1365.32</v>
      </c>
      <c r="G260" s="3">
        <v>1551.5</v>
      </c>
      <c r="H260" s="3">
        <f>Table1[[#This Row],[Sale]]-Table1[[#This Row],[Cost]]</f>
        <v>186.18000000000006</v>
      </c>
      <c r="I260" s="4">
        <f>Table1[[#This Row],[Profit]]/Table1[[#This Row],[Sale]]</f>
        <v>0.12000000000000004</v>
      </c>
      <c r="J260" s="5">
        <f t="shared" si="8"/>
        <v>2005</v>
      </c>
      <c r="K260" s="5">
        <f>MONTH(Table1[[#This Row],[Date]])</f>
        <v>10</v>
      </c>
      <c r="L260" s="5">
        <f>DAY(Table1[[#This Row],[Date]])</f>
        <v>5</v>
      </c>
      <c r="M260" s="5" t="str">
        <f t="shared" si="9"/>
        <v>Oct</v>
      </c>
    </row>
    <row r="261" spans="1:13" x14ac:dyDescent="0.25">
      <c r="A261" s="2">
        <v>38823</v>
      </c>
      <c r="B261" t="s">
        <v>11</v>
      </c>
      <c r="C261" t="s">
        <v>18</v>
      </c>
      <c r="D261" t="s">
        <v>28</v>
      </c>
      <c r="E261" t="s">
        <v>20</v>
      </c>
      <c r="F261" s="3">
        <v>2986.66</v>
      </c>
      <c r="G261" s="3">
        <v>4392.1400000000003</v>
      </c>
      <c r="H261" s="3">
        <f>Table1[[#This Row],[Sale]]-Table1[[#This Row],[Cost]]</f>
        <v>1405.4800000000005</v>
      </c>
      <c r="I261" s="4">
        <f>Table1[[#This Row],[Profit]]/Table1[[#This Row],[Sale]]</f>
        <v>0.31999890713866141</v>
      </c>
      <c r="J261" s="5">
        <f t="shared" si="8"/>
        <v>2006</v>
      </c>
      <c r="K261" s="5">
        <f>MONTH(Table1[[#This Row],[Date]])</f>
        <v>4</v>
      </c>
      <c r="L261" s="5">
        <f>DAY(Table1[[#This Row],[Date]])</f>
        <v>16</v>
      </c>
      <c r="M261" s="5" t="str">
        <f t="shared" si="9"/>
        <v>Apr</v>
      </c>
    </row>
    <row r="262" spans="1:13" x14ac:dyDescent="0.25">
      <c r="A262" s="2">
        <v>38703</v>
      </c>
      <c r="B262" t="s">
        <v>26</v>
      </c>
      <c r="C262" t="s">
        <v>27</v>
      </c>
      <c r="D262" t="s">
        <v>13</v>
      </c>
      <c r="E262" t="s">
        <v>24</v>
      </c>
      <c r="F262" s="3">
        <v>1528.84</v>
      </c>
      <c r="G262" s="3">
        <v>2779.7</v>
      </c>
      <c r="H262" s="3">
        <f>Table1[[#This Row],[Sale]]-Table1[[#This Row],[Cost]]</f>
        <v>1250.8599999999999</v>
      </c>
      <c r="I262" s="4">
        <f>Table1[[#This Row],[Profit]]/Table1[[#This Row],[Sale]]</f>
        <v>0.44999820124473866</v>
      </c>
      <c r="J262" s="5">
        <f t="shared" si="8"/>
        <v>2005</v>
      </c>
      <c r="K262" s="5">
        <f>MONTH(Table1[[#This Row],[Date]])</f>
        <v>12</v>
      </c>
      <c r="L262" s="5">
        <f>DAY(Table1[[#This Row],[Date]])</f>
        <v>17</v>
      </c>
      <c r="M262" s="5" t="str">
        <f t="shared" si="9"/>
        <v>Dec</v>
      </c>
    </row>
    <row r="263" spans="1:13" x14ac:dyDescent="0.25">
      <c r="A263" s="2">
        <v>38220</v>
      </c>
      <c r="B263" t="s">
        <v>26</v>
      </c>
      <c r="C263" t="s">
        <v>29</v>
      </c>
      <c r="D263" t="s">
        <v>28</v>
      </c>
      <c r="E263" t="s">
        <v>20</v>
      </c>
      <c r="F263" s="3">
        <v>1381.91</v>
      </c>
      <c r="G263" s="3">
        <v>2032.22</v>
      </c>
      <c r="H263" s="3">
        <f>Table1[[#This Row],[Sale]]-Table1[[#This Row],[Cost]]</f>
        <v>650.30999999999995</v>
      </c>
      <c r="I263" s="4">
        <f>Table1[[#This Row],[Profit]]/Table1[[#This Row],[Sale]]</f>
        <v>0.31999980317091653</v>
      </c>
      <c r="J263" s="5">
        <f t="shared" si="8"/>
        <v>2004</v>
      </c>
      <c r="K263" s="5">
        <f>MONTH(Table1[[#This Row],[Date]])</f>
        <v>8</v>
      </c>
      <c r="L263" s="5">
        <f>DAY(Table1[[#This Row],[Date]])</f>
        <v>21</v>
      </c>
      <c r="M263" s="5" t="str">
        <f t="shared" si="9"/>
        <v>Aug</v>
      </c>
    </row>
    <row r="264" spans="1:13" x14ac:dyDescent="0.25">
      <c r="A264" s="2">
        <v>38271</v>
      </c>
      <c r="B264" t="s">
        <v>21</v>
      </c>
      <c r="C264" t="s">
        <v>18</v>
      </c>
      <c r="D264" t="s">
        <v>16</v>
      </c>
      <c r="E264" t="s">
        <v>24</v>
      </c>
      <c r="F264" s="3">
        <v>1094.3499999999999</v>
      </c>
      <c r="G264" s="3">
        <v>1243.58</v>
      </c>
      <c r="H264" s="3">
        <f>Table1[[#This Row],[Sale]]-Table1[[#This Row],[Cost]]</f>
        <v>149.23000000000002</v>
      </c>
      <c r="I264" s="4">
        <f>Table1[[#This Row],[Profit]]/Table1[[#This Row],[Sale]]</f>
        <v>0.12000032165200472</v>
      </c>
      <c r="J264" s="5">
        <f t="shared" si="8"/>
        <v>2004</v>
      </c>
      <c r="K264" s="5">
        <f>MONTH(Table1[[#This Row],[Date]])</f>
        <v>10</v>
      </c>
      <c r="L264" s="5">
        <f>DAY(Table1[[#This Row],[Date]])</f>
        <v>11</v>
      </c>
      <c r="M264" s="5" t="str">
        <f t="shared" si="9"/>
        <v>Oct</v>
      </c>
    </row>
    <row r="265" spans="1:13" x14ac:dyDescent="0.25">
      <c r="A265" s="2">
        <v>38249</v>
      </c>
      <c r="B265" t="s">
        <v>22</v>
      </c>
      <c r="C265" t="s">
        <v>29</v>
      </c>
      <c r="D265" t="s">
        <v>13</v>
      </c>
      <c r="E265" t="s">
        <v>14</v>
      </c>
      <c r="F265" s="3">
        <v>5342.11</v>
      </c>
      <c r="G265" s="3">
        <v>5713.49</v>
      </c>
      <c r="H265" s="3">
        <f>Table1[[#This Row],[Sale]]-Table1[[#This Row],[Cost]]</f>
        <v>371.38000000000011</v>
      </c>
      <c r="I265" s="4">
        <f>Table1[[#This Row],[Profit]]/Table1[[#This Row],[Sale]]</f>
        <v>6.500055132677228E-2</v>
      </c>
      <c r="J265" s="5">
        <f t="shared" si="8"/>
        <v>2004</v>
      </c>
      <c r="K265" s="5">
        <f>MONTH(Table1[[#This Row],[Date]])</f>
        <v>9</v>
      </c>
      <c r="L265" s="5">
        <f>DAY(Table1[[#This Row],[Date]])</f>
        <v>19</v>
      </c>
      <c r="M265" s="5" t="str">
        <f t="shared" si="9"/>
        <v>Sep</v>
      </c>
    </row>
    <row r="266" spans="1:13" x14ac:dyDescent="0.25">
      <c r="A266" s="2">
        <v>38608</v>
      </c>
      <c r="B266" t="s">
        <v>17</v>
      </c>
      <c r="C266" t="s">
        <v>27</v>
      </c>
      <c r="D266" t="s">
        <v>13</v>
      </c>
      <c r="E266" t="s">
        <v>14</v>
      </c>
      <c r="F266" s="3">
        <v>2402.11</v>
      </c>
      <c r="G266" s="3">
        <v>4071.38</v>
      </c>
      <c r="H266" s="3">
        <f>Table1[[#This Row],[Sale]]-Table1[[#This Row],[Cost]]</f>
        <v>1669.27</v>
      </c>
      <c r="I266" s="4">
        <f>Table1[[#This Row],[Profit]]/Table1[[#This Row],[Sale]]</f>
        <v>0.41000103159125406</v>
      </c>
      <c r="J266" s="5">
        <f t="shared" si="8"/>
        <v>2005</v>
      </c>
      <c r="K266" s="5">
        <f>MONTH(Table1[[#This Row],[Date]])</f>
        <v>9</v>
      </c>
      <c r="L266" s="5">
        <f>DAY(Table1[[#This Row],[Date]])</f>
        <v>13</v>
      </c>
      <c r="M266" s="5" t="str">
        <f t="shared" si="9"/>
        <v>Sep</v>
      </c>
    </row>
    <row r="267" spans="1:13" x14ac:dyDescent="0.25">
      <c r="A267" s="2">
        <v>38432</v>
      </c>
      <c r="B267" t="s">
        <v>17</v>
      </c>
      <c r="C267" t="s">
        <v>27</v>
      </c>
      <c r="D267" t="s">
        <v>13</v>
      </c>
      <c r="E267" t="s">
        <v>25</v>
      </c>
      <c r="F267" s="3">
        <v>3280.31</v>
      </c>
      <c r="G267" s="3">
        <v>5559.84</v>
      </c>
      <c r="H267" s="3">
        <f>Table1[[#This Row],[Sale]]-Table1[[#This Row],[Cost]]</f>
        <v>2279.5300000000002</v>
      </c>
      <c r="I267" s="4">
        <f>Table1[[#This Row],[Profit]]/Table1[[#This Row],[Sale]]</f>
        <v>0.40999920861031974</v>
      </c>
      <c r="J267" s="5">
        <f t="shared" si="8"/>
        <v>2005</v>
      </c>
      <c r="K267" s="5">
        <f>MONTH(Table1[[#This Row],[Date]])</f>
        <v>3</v>
      </c>
      <c r="L267" s="5">
        <f>DAY(Table1[[#This Row],[Date]])</f>
        <v>21</v>
      </c>
      <c r="M267" s="5" t="str">
        <f t="shared" si="9"/>
        <v>Mar</v>
      </c>
    </row>
    <row r="268" spans="1:13" x14ac:dyDescent="0.25">
      <c r="A268" s="2">
        <v>38502</v>
      </c>
      <c r="B268" t="s">
        <v>15</v>
      </c>
      <c r="C268" t="s">
        <v>18</v>
      </c>
      <c r="D268" t="s">
        <v>16</v>
      </c>
      <c r="E268" t="s">
        <v>24</v>
      </c>
      <c r="F268" s="3">
        <v>222.68</v>
      </c>
      <c r="G268" s="3">
        <v>494.84</v>
      </c>
      <c r="H268" s="3">
        <f>Table1[[#This Row],[Sale]]-Table1[[#This Row],[Cost]]</f>
        <v>272.15999999999997</v>
      </c>
      <c r="I268" s="4">
        <f>Table1[[#This Row],[Profit]]/Table1[[#This Row],[Sale]]</f>
        <v>0.54999595828954806</v>
      </c>
      <c r="J268" s="5">
        <f t="shared" si="8"/>
        <v>2005</v>
      </c>
      <c r="K268" s="5">
        <f>MONTH(Table1[[#This Row],[Date]])</f>
        <v>5</v>
      </c>
      <c r="L268" s="5">
        <f>DAY(Table1[[#This Row],[Date]])</f>
        <v>30</v>
      </c>
      <c r="M268" s="5" t="str">
        <f t="shared" si="9"/>
        <v>May</v>
      </c>
    </row>
    <row r="269" spans="1:13" x14ac:dyDescent="0.25">
      <c r="A269" s="2">
        <v>38704</v>
      </c>
      <c r="B269" t="s">
        <v>17</v>
      </c>
      <c r="C269" t="s">
        <v>12</v>
      </c>
      <c r="D269" t="s">
        <v>13</v>
      </c>
      <c r="E269" t="s">
        <v>24</v>
      </c>
      <c r="F269" s="3">
        <v>3553.81</v>
      </c>
      <c r="G269" s="3">
        <v>9604.89</v>
      </c>
      <c r="H269" s="3">
        <f>Table1[[#This Row],[Sale]]-Table1[[#This Row],[Cost]]</f>
        <v>6051.08</v>
      </c>
      <c r="I269" s="4">
        <f>Table1[[#This Row],[Profit]]/Table1[[#This Row],[Sale]]</f>
        <v>0.62999992712045638</v>
      </c>
      <c r="J269" s="5">
        <f t="shared" si="8"/>
        <v>2005</v>
      </c>
      <c r="K269" s="5">
        <f>MONTH(Table1[[#This Row],[Date]])</f>
        <v>12</v>
      </c>
      <c r="L269" s="5">
        <f>DAY(Table1[[#This Row],[Date]])</f>
        <v>18</v>
      </c>
      <c r="M269" s="5" t="str">
        <f t="shared" si="9"/>
        <v>Dec</v>
      </c>
    </row>
    <row r="270" spans="1:13" x14ac:dyDescent="0.25">
      <c r="A270" s="2">
        <v>38713</v>
      </c>
      <c r="B270" t="s">
        <v>17</v>
      </c>
      <c r="C270" t="s">
        <v>12</v>
      </c>
      <c r="D270" t="s">
        <v>13</v>
      </c>
      <c r="E270" t="s">
        <v>25</v>
      </c>
      <c r="F270" s="3">
        <v>6101.1</v>
      </c>
      <c r="G270" s="3">
        <v>8972.2000000000007</v>
      </c>
      <c r="H270" s="3">
        <f>Table1[[#This Row],[Sale]]-Table1[[#This Row],[Cost]]</f>
        <v>2871.1000000000004</v>
      </c>
      <c r="I270" s="4">
        <f>Table1[[#This Row],[Profit]]/Table1[[#This Row],[Sale]]</f>
        <v>0.31999955417846238</v>
      </c>
      <c r="J270" s="5">
        <f t="shared" si="8"/>
        <v>2005</v>
      </c>
      <c r="K270" s="5">
        <f>MONTH(Table1[[#This Row],[Date]])</f>
        <v>12</v>
      </c>
      <c r="L270" s="5">
        <f>DAY(Table1[[#This Row],[Date]])</f>
        <v>27</v>
      </c>
      <c r="M270" s="5" t="str">
        <f t="shared" si="9"/>
        <v>Dec</v>
      </c>
    </row>
    <row r="271" spans="1:13" x14ac:dyDescent="0.25">
      <c r="A271" s="2">
        <v>38445</v>
      </c>
      <c r="B271" t="s">
        <v>26</v>
      </c>
      <c r="C271" t="s">
        <v>18</v>
      </c>
      <c r="D271" t="s">
        <v>28</v>
      </c>
      <c r="E271" t="s">
        <v>20</v>
      </c>
      <c r="F271" s="3">
        <v>732.19</v>
      </c>
      <c r="G271" s="3">
        <v>1978.89</v>
      </c>
      <c r="H271" s="3">
        <f>Table1[[#This Row],[Sale]]-Table1[[#This Row],[Cost]]</f>
        <v>1246.7</v>
      </c>
      <c r="I271" s="4">
        <f>Table1[[#This Row],[Profit]]/Table1[[#This Row],[Sale]]</f>
        <v>0.6299996462663412</v>
      </c>
      <c r="J271" s="5">
        <f t="shared" si="8"/>
        <v>2005</v>
      </c>
      <c r="K271" s="5">
        <f>MONTH(Table1[[#This Row],[Date]])</f>
        <v>4</v>
      </c>
      <c r="L271" s="5">
        <f>DAY(Table1[[#This Row],[Date]])</f>
        <v>3</v>
      </c>
      <c r="M271" s="5" t="str">
        <f t="shared" si="9"/>
        <v>Apr</v>
      </c>
    </row>
    <row r="272" spans="1:13" x14ac:dyDescent="0.25">
      <c r="A272" s="2">
        <v>38391</v>
      </c>
      <c r="B272" t="s">
        <v>17</v>
      </c>
      <c r="C272" t="s">
        <v>12</v>
      </c>
      <c r="D272" t="s">
        <v>16</v>
      </c>
      <c r="E272" t="s">
        <v>14</v>
      </c>
      <c r="F272" s="3">
        <v>2180.04</v>
      </c>
      <c r="G272" s="3">
        <v>2477.3200000000002</v>
      </c>
      <c r="H272" s="3">
        <f>Table1[[#This Row],[Sale]]-Table1[[#This Row],[Cost]]</f>
        <v>297.2800000000002</v>
      </c>
      <c r="I272" s="4">
        <f>Table1[[#This Row],[Profit]]/Table1[[#This Row],[Sale]]</f>
        <v>0.12000064585923505</v>
      </c>
      <c r="J272" s="5">
        <f t="shared" si="8"/>
        <v>2005</v>
      </c>
      <c r="K272" s="5">
        <f>MONTH(Table1[[#This Row],[Date]])</f>
        <v>2</v>
      </c>
      <c r="L272" s="5">
        <f>DAY(Table1[[#This Row],[Date]])</f>
        <v>8</v>
      </c>
      <c r="M272" s="5" t="str">
        <f t="shared" si="9"/>
        <v>Feb</v>
      </c>
    </row>
    <row r="273" spans="1:13" x14ac:dyDescent="0.25">
      <c r="A273" s="2">
        <v>38544</v>
      </c>
      <c r="B273" t="s">
        <v>22</v>
      </c>
      <c r="C273" t="s">
        <v>29</v>
      </c>
      <c r="D273" t="s">
        <v>13</v>
      </c>
      <c r="E273" t="s">
        <v>25</v>
      </c>
      <c r="F273" s="3">
        <v>4211.18</v>
      </c>
      <c r="G273" s="3">
        <v>7260.66</v>
      </c>
      <c r="H273" s="3">
        <f>Table1[[#This Row],[Sale]]-Table1[[#This Row],[Cost]]</f>
        <v>3049.4799999999996</v>
      </c>
      <c r="I273" s="4">
        <f>Table1[[#This Row],[Profit]]/Table1[[#This Row],[Sale]]</f>
        <v>0.42000038563987291</v>
      </c>
      <c r="J273" s="5">
        <f t="shared" si="8"/>
        <v>2005</v>
      </c>
      <c r="K273" s="5">
        <f>MONTH(Table1[[#This Row],[Date]])</f>
        <v>7</v>
      </c>
      <c r="L273" s="5">
        <f>DAY(Table1[[#This Row],[Date]])</f>
        <v>11</v>
      </c>
      <c r="M273" s="5" t="str">
        <f t="shared" si="9"/>
        <v>Jul</v>
      </c>
    </row>
    <row r="274" spans="1:13" x14ac:dyDescent="0.25">
      <c r="A274" s="2">
        <v>38673</v>
      </c>
      <c r="B274" t="s">
        <v>17</v>
      </c>
      <c r="C274" t="s">
        <v>29</v>
      </c>
      <c r="D274" t="s">
        <v>13</v>
      </c>
      <c r="E274" t="s">
        <v>25</v>
      </c>
      <c r="F274" s="3">
        <v>4276.92</v>
      </c>
      <c r="G274" s="3">
        <v>9946.32</v>
      </c>
      <c r="H274" s="3">
        <f>Table1[[#This Row],[Sale]]-Table1[[#This Row],[Cost]]</f>
        <v>5669.4</v>
      </c>
      <c r="I274" s="4">
        <f>Table1[[#This Row],[Profit]]/Table1[[#This Row],[Sale]]</f>
        <v>0.56999975870472697</v>
      </c>
      <c r="J274" s="5">
        <f t="shared" si="8"/>
        <v>2005</v>
      </c>
      <c r="K274" s="5">
        <f>MONTH(Table1[[#This Row],[Date]])</f>
        <v>11</v>
      </c>
      <c r="L274" s="5">
        <f>DAY(Table1[[#This Row],[Date]])</f>
        <v>17</v>
      </c>
      <c r="M274" s="5" t="str">
        <f t="shared" si="9"/>
        <v>Nov</v>
      </c>
    </row>
    <row r="275" spans="1:13" x14ac:dyDescent="0.25">
      <c r="A275" s="2">
        <v>38689</v>
      </c>
      <c r="B275" t="s">
        <v>21</v>
      </c>
      <c r="C275" t="s">
        <v>27</v>
      </c>
      <c r="D275" t="s">
        <v>13</v>
      </c>
      <c r="E275" t="s">
        <v>25</v>
      </c>
      <c r="F275" s="3">
        <v>1011.25</v>
      </c>
      <c r="G275" s="3">
        <v>1487.13</v>
      </c>
      <c r="H275" s="3">
        <f>Table1[[#This Row],[Sale]]-Table1[[#This Row],[Cost]]</f>
        <v>475.88000000000011</v>
      </c>
      <c r="I275" s="4">
        <f>Table1[[#This Row],[Profit]]/Table1[[#This Row],[Sale]]</f>
        <v>0.31999892410212966</v>
      </c>
      <c r="J275" s="5">
        <f t="shared" si="8"/>
        <v>2005</v>
      </c>
      <c r="K275" s="5">
        <f>MONTH(Table1[[#This Row],[Date]])</f>
        <v>12</v>
      </c>
      <c r="L275" s="5">
        <f>DAY(Table1[[#This Row],[Date]])</f>
        <v>3</v>
      </c>
      <c r="M275" s="5" t="str">
        <f t="shared" si="9"/>
        <v>Dec</v>
      </c>
    </row>
    <row r="276" spans="1:13" x14ac:dyDescent="0.25">
      <c r="A276" s="2">
        <v>38800</v>
      </c>
      <c r="B276" t="s">
        <v>21</v>
      </c>
      <c r="C276" t="s">
        <v>12</v>
      </c>
      <c r="D276" t="s">
        <v>19</v>
      </c>
      <c r="E276" t="s">
        <v>24</v>
      </c>
      <c r="F276" s="3">
        <v>141.08000000000001</v>
      </c>
      <c r="G276" s="3">
        <v>313.52</v>
      </c>
      <c r="H276" s="3">
        <f>Table1[[#This Row],[Sale]]-Table1[[#This Row],[Cost]]</f>
        <v>172.43999999999997</v>
      </c>
      <c r="I276" s="4">
        <f>Table1[[#This Row],[Profit]]/Table1[[#This Row],[Sale]]</f>
        <v>0.55001275835672359</v>
      </c>
      <c r="J276" s="5">
        <f t="shared" si="8"/>
        <v>2006</v>
      </c>
      <c r="K276" s="5">
        <f>MONTH(Table1[[#This Row],[Date]])</f>
        <v>3</v>
      </c>
      <c r="L276" s="5">
        <f>DAY(Table1[[#This Row],[Date]])</f>
        <v>24</v>
      </c>
      <c r="M276" s="5" t="str">
        <f t="shared" si="9"/>
        <v>Mar</v>
      </c>
    </row>
    <row r="277" spans="1:13" x14ac:dyDescent="0.25">
      <c r="A277" s="2">
        <v>38649</v>
      </c>
      <c r="B277" t="s">
        <v>26</v>
      </c>
      <c r="C277" t="s">
        <v>12</v>
      </c>
      <c r="D277" t="s">
        <v>16</v>
      </c>
      <c r="E277" t="s">
        <v>25</v>
      </c>
      <c r="F277" s="3">
        <v>1798.34</v>
      </c>
      <c r="G277" s="3">
        <v>2043.57</v>
      </c>
      <c r="H277" s="3">
        <f>Table1[[#This Row],[Sale]]-Table1[[#This Row],[Cost]]</f>
        <v>245.23000000000002</v>
      </c>
      <c r="I277" s="4">
        <f>Table1[[#This Row],[Profit]]/Table1[[#This Row],[Sale]]</f>
        <v>0.12000078294357425</v>
      </c>
      <c r="J277" s="5">
        <f t="shared" si="8"/>
        <v>2005</v>
      </c>
      <c r="K277" s="5">
        <f>MONTH(Table1[[#This Row],[Date]])</f>
        <v>10</v>
      </c>
      <c r="L277" s="5">
        <f>DAY(Table1[[#This Row],[Date]])</f>
        <v>24</v>
      </c>
      <c r="M277" s="5" t="str">
        <f t="shared" si="9"/>
        <v>Oct</v>
      </c>
    </row>
    <row r="278" spans="1:13" x14ac:dyDescent="0.25">
      <c r="A278" s="2">
        <v>38262</v>
      </c>
      <c r="B278" t="s">
        <v>15</v>
      </c>
      <c r="C278" t="s">
        <v>23</v>
      </c>
      <c r="D278" t="s">
        <v>13</v>
      </c>
      <c r="E278" t="s">
        <v>25</v>
      </c>
      <c r="F278" s="3">
        <v>2578.5100000000002</v>
      </c>
      <c r="G278" s="3">
        <v>2930.13</v>
      </c>
      <c r="H278" s="3">
        <f>Table1[[#This Row],[Sale]]-Table1[[#This Row],[Cost]]</f>
        <v>351.61999999999989</v>
      </c>
      <c r="I278" s="4">
        <f>Table1[[#This Row],[Profit]]/Table1[[#This Row],[Sale]]</f>
        <v>0.12000150163985894</v>
      </c>
      <c r="J278" s="5">
        <f t="shared" si="8"/>
        <v>2004</v>
      </c>
      <c r="K278" s="5">
        <f>MONTH(Table1[[#This Row],[Date]])</f>
        <v>10</v>
      </c>
      <c r="L278" s="5">
        <f>DAY(Table1[[#This Row],[Date]])</f>
        <v>2</v>
      </c>
      <c r="M278" s="5" t="str">
        <f t="shared" si="9"/>
        <v>Oct</v>
      </c>
    </row>
    <row r="279" spans="1:13" x14ac:dyDescent="0.25">
      <c r="A279" s="2">
        <v>38462</v>
      </c>
      <c r="B279" t="s">
        <v>17</v>
      </c>
      <c r="C279" t="s">
        <v>29</v>
      </c>
      <c r="D279" t="s">
        <v>13</v>
      </c>
      <c r="E279" t="s">
        <v>14</v>
      </c>
      <c r="F279" s="3">
        <v>4501.76</v>
      </c>
      <c r="G279" s="3">
        <v>6002.34</v>
      </c>
      <c r="H279" s="3">
        <f>Table1[[#This Row],[Sale]]-Table1[[#This Row],[Cost]]</f>
        <v>1500.58</v>
      </c>
      <c r="I279" s="4">
        <f>Table1[[#This Row],[Profit]]/Table1[[#This Row],[Sale]]</f>
        <v>0.24999916699153996</v>
      </c>
      <c r="J279" s="5">
        <f t="shared" si="8"/>
        <v>2005</v>
      </c>
      <c r="K279" s="5">
        <f>MONTH(Table1[[#This Row],[Date]])</f>
        <v>4</v>
      </c>
      <c r="L279" s="5">
        <f>DAY(Table1[[#This Row],[Date]])</f>
        <v>20</v>
      </c>
      <c r="M279" s="5" t="str">
        <f t="shared" si="9"/>
        <v>Apr</v>
      </c>
    </row>
    <row r="280" spans="1:13" x14ac:dyDescent="0.25">
      <c r="A280" s="2">
        <v>38359</v>
      </c>
      <c r="B280" t="s">
        <v>11</v>
      </c>
      <c r="C280" t="s">
        <v>29</v>
      </c>
      <c r="D280" t="s">
        <v>28</v>
      </c>
      <c r="E280" t="s">
        <v>14</v>
      </c>
      <c r="F280" s="3">
        <v>2486.46</v>
      </c>
      <c r="G280" s="3">
        <v>6720.15</v>
      </c>
      <c r="H280" s="3">
        <f>Table1[[#This Row],[Sale]]-Table1[[#This Row],[Cost]]</f>
        <v>4233.6899999999996</v>
      </c>
      <c r="I280" s="4">
        <f>Table1[[#This Row],[Profit]]/Table1[[#This Row],[Sale]]</f>
        <v>0.62999933037208988</v>
      </c>
      <c r="J280" s="5">
        <f t="shared" si="8"/>
        <v>2005</v>
      </c>
      <c r="K280" s="5">
        <f>MONTH(Table1[[#This Row],[Date]])</f>
        <v>1</v>
      </c>
      <c r="L280" s="5">
        <f>DAY(Table1[[#This Row],[Date]])</f>
        <v>7</v>
      </c>
      <c r="M280" s="5" t="str">
        <f t="shared" si="9"/>
        <v>Jan</v>
      </c>
    </row>
    <row r="281" spans="1:13" x14ac:dyDescent="0.25">
      <c r="A281" s="2">
        <v>38207</v>
      </c>
      <c r="B281" t="s">
        <v>26</v>
      </c>
      <c r="C281" t="s">
        <v>12</v>
      </c>
      <c r="D281" t="s">
        <v>16</v>
      </c>
      <c r="E281" t="s">
        <v>25</v>
      </c>
      <c r="F281" s="3">
        <v>7632.07</v>
      </c>
      <c r="G281" s="3">
        <v>8162.64</v>
      </c>
      <c r="H281" s="3">
        <f>Table1[[#This Row],[Sale]]-Table1[[#This Row],[Cost]]</f>
        <v>530.57000000000062</v>
      </c>
      <c r="I281" s="4">
        <f>Table1[[#This Row],[Profit]]/Table1[[#This Row],[Sale]]</f>
        <v>6.4999803984985324E-2</v>
      </c>
      <c r="J281" s="5">
        <f t="shared" si="8"/>
        <v>2004</v>
      </c>
      <c r="K281" s="5">
        <f>MONTH(Table1[[#This Row],[Date]])</f>
        <v>8</v>
      </c>
      <c r="L281" s="5">
        <f>DAY(Table1[[#This Row],[Date]])</f>
        <v>8</v>
      </c>
      <c r="M281" s="5" t="str">
        <f t="shared" si="9"/>
        <v>Aug</v>
      </c>
    </row>
    <row r="282" spans="1:13" x14ac:dyDescent="0.25">
      <c r="A282" s="2">
        <v>38640</v>
      </c>
      <c r="B282" t="s">
        <v>26</v>
      </c>
      <c r="C282" t="s">
        <v>12</v>
      </c>
      <c r="D282" t="s">
        <v>28</v>
      </c>
      <c r="E282" t="s">
        <v>20</v>
      </c>
      <c r="F282" s="3">
        <v>815.21</v>
      </c>
      <c r="G282" s="3">
        <v>1381.71</v>
      </c>
      <c r="H282" s="3">
        <f>Table1[[#This Row],[Sale]]-Table1[[#This Row],[Cost]]</f>
        <v>566.5</v>
      </c>
      <c r="I282" s="4">
        <f>Table1[[#This Row],[Profit]]/Table1[[#This Row],[Sale]]</f>
        <v>0.40999920388504096</v>
      </c>
      <c r="J282" s="5">
        <f t="shared" si="8"/>
        <v>2005</v>
      </c>
      <c r="K282" s="5">
        <f>MONTH(Table1[[#This Row],[Date]])</f>
        <v>10</v>
      </c>
      <c r="L282" s="5">
        <f>DAY(Table1[[#This Row],[Date]])</f>
        <v>15</v>
      </c>
      <c r="M282" s="5" t="str">
        <f t="shared" si="9"/>
        <v>Oct</v>
      </c>
    </row>
    <row r="283" spans="1:13" x14ac:dyDescent="0.25">
      <c r="A283" s="2">
        <v>38209</v>
      </c>
      <c r="B283" t="s">
        <v>11</v>
      </c>
      <c r="C283" t="s">
        <v>23</v>
      </c>
      <c r="D283" t="s">
        <v>13</v>
      </c>
      <c r="E283" t="s">
        <v>24</v>
      </c>
      <c r="F283" s="3">
        <v>234.09</v>
      </c>
      <c r="G283" s="3">
        <v>266.01</v>
      </c>
      <c r="H283" s="3">
        <f>Table1[[#This Row],[Sale]]-Table1[[#This Row],[Cost]]</f>
        <v>31.919999999999987</v>
      </c>
      <c r="I283" s="4">
        <f>Table1[[#This Row],[Profit]]/Table1[[#This Row],[Sale]]</f>
        <v>0.11999548889139501</v>
      </c>
      <c r="J283" s="5">
        <f t="shared" si="8"/>
        <v>2004</v>
      </c>
      <c r="K283" s="5">
        <f>MONTH(Table1[[#This Row],[Date]])</f>
        <v>8</v>
      </c>
      <c r="L283" s="5">
        <f>DAY(Table1[[#This Row],[Date]])</f>
        <v>10</v>
      </c>
      <c r="M283" s="5" t="str">
        <f t="shared" si="9"/>
        <v>Aug</v>
      </c>
    </row>
    <row r="284" spans="1:13" x14ac:dyDescent="0.25">
      <c r="A284" s="2">
        <v>38457</v>
      </c>
      <c r="B284" t="s">
        <v>17</v>
      </c>
      <c r="C284" t="s">
        <v>18</v>
      </c>
      <c r="D284" t="s">
        <v>19</v>
      </c>
      <c r="E284" t="s">
        <v>24</v>
      </c>
      <c r="F284" s="3">
        <v>4387.37</v>
      </c>
      <c r="G284" s="3">
        <v>7436.22</v>
      </c>
      <c r="H284" s="3">
        <f>Table1[[#This Row],[Sale]]-Table1[[#This Row],[Cost]]</f>
        <v>3048.8500000000004</v>
      </c>
      <c r="I284" s="4">
        <f>Table1[[#This Row],[Profit]]/Table1[[#This Row],[Sale]]</f>
        <v>0.409999973104615</v>
      </c>
      <c r="J284" s="5">
        <f t="shared" si="8"/>
        <v>2005</v>
      </c>
      <c r="K284" s="5">
        <f>MONTH(Table1[[#This Row],[Date]])</f>
        <v>4</v>
      </c>
      <c r="L284" s="5">
        <f>DAY(Table1[[#This Row],[Date]])</f>
        <v>15</v>
      </c>
      <c r="M284" s="5" t="str">
        <f t="shared" si="9"/>
        <v>Apr</v>
      </c>
    </row>
    <row r="285" spans="1:13" x14ac:dyDescent="0.25">
      <c r="A285" s="2">
        <v>38161</v>
      </c>
      <c r="B285" t="s">
        <v>11</v>
      </c>
      <c r="C285" t="s">
        <v>23</v>
      </c>
      <c r="D285" t="s">
        <v>16</v>
      </c>
      <c r="E285" t="s">
        <v>20</v>
      </c>
      <c r="F285" s="3">
        <v>776.83</v>
      </c>
      <c r="G285" s="3">
        <v>1412.42</v>
      </c>
      <c r="H285" s="3">
        <f>Table1[[#This Row],[Sale]]-Table1[[#This Row],[Cost]]</f>
        <v>635.59</v>
      </c>
      <c r="I285" s="4">
        <f>Table1[[#This Row],[Profit]]/Table1[[#This Row],[Sale]]</f>
        <v>0.45000070800470116</v>
      </c>
      <c r="J285" s="5">
        <f t="shared" si="8"/>
        <v>2004</v>
      </c>
      <c r="K285" s="5">
        <f>MONTH(Table1[[#This Row],[Date]])</f>
        <v>6</v>
      </c>
      <c r="L285" s="5">
        <f>DAY(Table1[[#This Row],[Date]])</f>
        <v>23</v>
      </c>
      <c r="M285" s="5" t="str">
        <f t="shared" si="9"/>
        <v>Jun</v>
      </c>
    </row>
    <row r="286" spans="1:13" x14ac:dyDescent="0.25">
      <c r="A286" s="2">
        <v>38717</v>
      </c>
      <c r="B286" t="s">
        <v>17</v>
      </c>
      <c r="C286" t="s">
        <v>27</v>
      </c>
      <c r="D286" t="s">
        <v>19</v>
      </c>
      <c r="E286" t="s">
        <v>20</v>
      </c>
      <c r="F286" s="3">
        <v>2963.68</v>
      </c>
      <c r="G286" s="3">
        <v>5023.18</v>
      </c>
      <c r="H286" s="3">
        <f>Table1[[#This Row],[Sale]]-Table1[[#This Row],[Cost]]</f>
        <v>2059.5000000000005</v>
      </c>
      <c r="I286" s="4">
        <f>Table1[[#This Row],[Profit]]/Table1[[#This Row],[Sale]]</f>
        <v>0.40999924350710115</v>
      </c>
      <c r="J286" s="5">
        <f t="shared" si="8"/>
        <v>2005</v>
      </c>
      <c r="K286" s="5">
        <f>MONTH(Table1[[#This Row],[Date]])</f>
        <v>12</v>
      </c>
      <c r="L286" s="5">
        <f>DAY(Table1[[#This Row],[Date]])</f>
        <v>31</v>
      </c>
      <c r="M286" s="5" t="str">
        <f t="shared" si="9"/>
        <v>Dec</v>
      </c>
    </row>
    <row r="287" spans="1:13" x14ac:dyDescent="0.25">
      <c r="A287" s="2">
        <v>38196</v>
      </c>
      <c r="B287" t="s">
        <v>26</v>
      </c>
      <c r="C287" t="s">
        <v>12</v>
      </c>
      <c r="D287" t="s">
        <v>16</v>
      </c>
      <c r="E287" t="s">
        <v>14</v>
      </c>
      <c r="F287" s="3">
        <v>4400.1099999999997</v>
      </c>
      <c r="G287" s="3">
        <v>5000.12</v>
      </c>
      <c r="H287" s="3">
        <f>Table1[[#This Row],[Sale]]-Table1[[#This Row],[Cost]]</f>
        <v>600.01000000000022</v>
      </c>
      <c r="I287" s="4">
        <f>Table1[[#This Row],[Profit]]/Table1[[#This Row],[Sale]]</f>
        <v>0.11999912002111954</v>
      </c>
      <c r="J287" s="5">
        <f t="shared" si="8"/>
        <v>2004</v>
      </c>
      <c r="K287" s="5">
        <f>MONTH(Table1[[#This Row],[Date]])</f>
        <v>7</v>
      </c>
      <c r="L287" s="5">
        <f>DAY(Table1[[#This Row],[Date]])</f>
        <v>28</v>
      </c>
      <c r="M287" s="5" t="str">
        <f t="shared" si="9"/>
        <v>Jul</v>
      </c>
    </row>
    <row r="288" spans="1:13" x14ac:dyDescent="0.25">
      <c r="A288" s="2">
        <v>38712</v>
      </c>
      <c r="B288" t="s">
        <v>21</v>
      </c>
      <c r="C288" t="s">
        <v>18</v>
      </c>
      <c r="D288" t="s">
        <v>28</v>
      </c>
      <c r="E288" t="s">
        <v>20</v>
      </c>
      <c r="F288" s="3">
        <v>1063.79</v>
      </c>
      <c r="G288" s="3">
        <v>2473.9299999999998</v>
      </c>
      <c r="H288" s="3">
        <f>Table1[[#This Row],[Sale]]-Table1[[#This Row],[Cost]]</f>
        <v>1410.1399999999999</v>
      </c>
      <c r="I288" s="4">
        <f>Table1[[#This Row],[Profit]]/Table1[[#This Row],[Sale]]</f>
        <v>0.56999995957848437</v>
      </c>
      <c r="J288" s="5">
        <f t="shared" si="8"/>
        <v>2005</v>
      </c>
      <c r="K288" s="5">
        <f>MONTH(Table1[[#This Row],[Date]])</f>
        <v>12</v>
      </c>
      <c r="L288" s="5">
        <f>DAY(Table1[[#This Row],[Date]])</f>
        <v>26</v>
      </c>
      <c r="M288" s="5" t="str">
        <f t="shared" si="9"/>
        <v>Dec</v>
      </c>
    </row>
    <row r="289" spans="1:13" x14ac:dyDescent="0.25">
      <c r="A289" s="2">
        <v>38410</v>
      </c>
      <c r="B289" t="s">
        <v>15</v>
      </c>
      <c r="C289" t="s">
        <v>12</v>
      </c>
      <c r="D289" t="s">
        <v>28</v>
      </c>
      <c r="E289" t="s">
        <v>24</v>
      </c>
      <c r="F289" s="3">
        <v>5257.49</v>
      </c>
      <c r="G289" s="3">
        <v>5974.42</v>
      </c>
      <c r="H289" s="3">
        <f>Table1[[#This Row],[Sale]]-Table1[[#This Row],[Cost]]</f>
        <v>716.93000000000029</v>
      </c>
      <c r="I289" s="4">
        <f>Table1[[#This Row],[Profit]]/Table1[[#This Row],[Sale]]</f>
        <v>0.11999993304789423</v>
      </c>
      <c r="J289" s="5">
        <f t="shared" si="8"/>
        <v>2005</v>
      </c>
      <c r="K289" s="5">
        <f>MONTH(Table1[[#This Row],[Date]])</f>
        <v>2</v>
      </c>
      <c r="L289" s="5">
        <f>DAY(Table1[[#This Row],[Date]])</f>
        <v>27</v>
      </c>
      <c r="M289" s="5" t="str">
        <f t="shared" si="9"/>
        <v>Feb</v>
      </c>
    </row>
    <row r="290" spans="1:13" x14ac:dyDescent="0.25">
      <c r="A290" s="2">
        <v>38700</v>
      </c>
      <c r="B290" t="s">
        <v>21</v>
      </c>
      <c r="C290" t="s">
        <v>23</v>
      </c>
      <c r="D290" t="s">
        <v>28</v>
      </c>
      <c r="E290" t="s">
        <v>20</v>
      </c>
      <c r="F290" s="3">
        <v>1066.29</v>
      </c>
      <c r="G290" s="3">
        <v>1938.7</v>
      </c>
      <c r="H290" s="3">
        <f>Table1[[#This Row],[Sale]]-Table1[[#This Row],[Cost]]</f>
        <v>872.41000000000008</v>
      </c>
      <c r="I290" s="4">
        <f>Table1[[#This Row],[Profit]]/Table1[[#This Row],[Sale]]</f>
        <v>0.44999742095218448</v>
      </c>
      <c r="J290" s="5">
        <f t="shared" si="8"/>
        <v>2005</v>
      </c>
      <c r="K290" s="5">
        <f>MONTH(Table1[[#This Row],[Date]])</f>
        <v>12</v>
      </c>
      <c r="L290" s="5">
        <f>DAY(Table1[[#This Row],[Date]])</f>
        <v>14</v>
      </c>
      <c r="M290" s="5" t="str">
        <f t="shared" si="9"/>
        <v>Dec</v>
      </c>
    </row>
    <row r="291" spans="1:13" x14ac:dyDescent="0.25">
      <c r="A291" s="2">
        <v>38357</v>
      </c>
      <c r="B291" t="s">
        <v>15</v>
      </c>
      <c r="C291" t="s">
        <v>27</v>
      </c>
      <c r="D291" t="s">
        <v>19</v>
      </c>
      <c r="E291" t="s">
        <v>20</v>
      </c>
      <c r="F291" s="3">
        <v>568.01</v>
      </c>
      <c r="G291" s="3">
        <v>1320.96</v>
      </c>
      <c r="H291" s="3">
        <f>Table1[[#This Row],[Sale]]-Table1[[#This Row],[Cost]]</f>
        <v>752.95</v>
      </c>
      <c r="I291" s="4">
        <f>Table1[[#This Row],[Profit]]/Table1[[#This Row],[Sale]]</f>
        <v>0.57000211967054271</v>
      </c>
      <c r="J291" s="5">
        <f t="shared" si="8"/>
        <v>2005</v>
      </c>
      <c r="K291" s="5">
        <f>MONTH(Table1[[#This Row],[Date]])</f>
        <v>1</v>
      </c>
      <c r="L291" s="5">
        <f>DAY(Table1[[#This Row],[Date]])</f>
        <v>5</v>
      </c>
      <c r="M291" s="5" t="str">
        <f t="shared" si="9"/>
        <v>Jan</v>
      </c>
    </row>
    <row r="292" spans="1:13" x14ac:dyDescent="0.25">
      <c r="A292" s="2">
        <v>38799</v>
      </c>
      <c r="B292" t="s">
        <v>22</v>
      </c>
      <c r="C292" t="s">
        <v>23</v>
      </c>
      <c r="D292" t="s">
        <v>13</v>
      </c>
      <c r="E292" t="s">
        <v>24</v>
      </c>
      <c r="F292" s="3">
        <v>1496.69</v>
      </c>
      <c r="G292" s="3">
        <v>2721.26</v>
      </c>
      <c r="H292" s="3">
        <f>Table1[[#This Row],[Sale]]-Table1[[#This Row],[Cost]]</f>
        <v>1224.5700000000002</v>
      </c>
      <c r="I292" s="4">
        <f>Table1[[#This Row],[Profit]]/Table1[[#This Row],[Sale]]</f>
        <v>0.4500011024304918</v>
      </c>
      <c r="J292" s="5">
        <f t="shared" si="8"/>
        <v>2006</v>
      </c>
      <c r="K292" s="5">
        <f>MONTH(Table1[[#This Row],[Date]])</f>
        <v>3</v>
      </c>
      <c r="L292" s="5">
        <f>DAY(Table1[[#This Row],[Date]])</f>
        <v>23</v>
      </c>
      <c r="M292" s="5" t="str">
        <f t="shared" si="9"/>
        <v>Mar</v>
      </c>
    </row>
    <row r="293" spans="1:13" x14ac:dyDescent="0.25">
      <c r="A293" s="2">
        <v>38822</v>
      </c>
      <c r="B293" t="s">
        <v>26</v>
      </c>
      <c r="C293" t="s">
        <v>29</v>
      </c>
      <c r="D293" t="s">
        <v>19</v>
      </c>
      <c r="E293" t="s">
        <v>14</v>
      </c>
      <c r="F293" s="3">
        <v>1182.05</v>
      </c>
      <c r="G293" s="3">
        <v>3194.72</v>
      </c>
      <c r="H293" s="3">
        <f>Table1[[#This Row],[Sale]]-Table1[[#This Row],[Cost]]</f>
        <v>2012.6699999999998</v>
      </c>
      <c r="I293" s="4">
        <f>Table1[[#This Row],[Profit]]/Table1[[#This Row],[Sale]]</f>
        <v>0.62999887314068215</v>
      </c>
      <c r="J293" s="5">
        <f t="shared" si="8"/>
        <v>2006</v>
      </c>
      <c r="K293" s="5">
        <f>MONTH(Table1[[#This Row],[Date]])</f>
        <v>4</v>
      </c>
      <c r="L293" s="5">
        <f>DAY(Table1[[#This Row],[Date]])</f>
        <v>15</v>
      </c>
      <c r="M293" s="5" t="str">
        <f t="shared" si="9"/>
        <v>Apr</v>
      </c>
    </row>
    <row r="294" spans="1:13" x14ac:dyDescent="0.25">
      <c r="A294" s="2">
        <v>38484</v>
      </c>
      <c r="B294" t="s">
        <v>21</v>
      </c>
      <c r="C294" t="s">
        <v>29</v>
      </c>
      <c r="D294" t="s">
        <v>19</v>
      </c>
      <c r="E294" t="s">
        <v>20</v>
      </c>
      <c r="F294" s="3">
        <v>366.03</v>
      </c>
      <c r="G294" s="3">
        <v>391.48</v>
      </c>
      <c r="H294" s="3">
        <f>Table1[[#This Row],[Sale]]-Table1[[#This Row],[Cost]]</f>
        <v>25.450000000000045</v>
      </c>
      <c r="I294" s="4">
        <f>Table1[[#This Row],[Profit]]/Table1[[#This Row],[Sale]]</f>
        <v>6.5009706753857269E-2</v>
      </c>
      <c r="J294" s="5">
        <f t="shared" si="8"/>
        <v>2005</v>
      </c>
      <c r="K294" s="5">
        <f>MONTH(Table1[[#This Row],[Date]])</f>
        <v>5</v>
      </c>
      <c r="L294" s="5">
        <f>DAY(Table1[[#This Row],[Date]])</f>
        <v>12</v>
      </c>
      <c r="M294" s="5" t="str">
        <f t="shared" si="9"/>
        <v>May</v>
      </c>
    </row>
    <row r="295" spans="1:13" x14ac:dyDescent="0.25">
      <c r="A295" s="2">
        <v>38384</v>
      </c>
      <c r="B295" t="s">
        <v>15</v>
      </c>
      <c r="C295" t="s">
        <v>29</v>
      </c>
      <c r="D295" t="s">
        <v>19</v>
      </c>
      <c r="E295" t="s">
        <v>14</v>
      </c>
      <c r="F295" s="3">
        <v>9318.9599999999991</v>
      </c>
      <c r="G295" s="3">
        <v>9966.7999999999993</v>
      </c>
      <c r="H295" s="3">
        <f>Table1[[#This Row],[Sale]]-Table1[[#This Row],[Cost]]</f>
        <v>647.84000000000015</v>
      </c>
      <c r="I295" s="4">
        <f>Table1[[#This Row],[Profit]]/Table1[[#This Row],[Sale]]</f>
        <v>6.4999799333788202E-2</v>
      </c>
      <c r="J295" s="5">
        <f t="shared" si="8"/>
        <v>2005</v>
      </c>
      <c r="K295" s="5">
        <f>MONTH(Table1[[#This Row],[Date]])</f>
        <v>2</v>
      </c>
      <c r="L295" s="5">
        <f>DAY(Table1[[#This Row],[Date]])</f>
        <v>1</v>
      </c>
      <c r="M295" s="5" t="str">
        <f t="shared" si="9"/>
        <v>Feb</v>
      </c>
    </row>
    <row r="296" spans="1:13" x14ac:dyDescent="0.25">
      <c r="A296" s="2">
        <v>38354</v>
      </c>
      <c r="B296" t="s">
        <v>22</v>
      </c>
      <c r="C296" t="s">
        <v>12</v>
      </c>
      <c r="D296" t="s">
        <v>13</v>
      </c>
      <c r="E296" t="s">
        <v>25</v>
      </c>
      <c r="F296" s="3">
        <v>2423.75</v>
      </c>
      <c r="G296" s="3">
        <v>4406.8100000000004</v>
      </c>
      <c r="H296" s="3">
        <f>Table1[[#This Row],[Sale]]-Table1[[#This Row],[Cost]]</f>
        <v>1983.0600000000004</v>
      </c>
      <c r="I296" s="4">
        <f>Table1[[#This Row],[Profit]]/Table1[[#This Row],[Sale]]</f>
        <v>0.44999897885318407</v>
      </c>
      <c r="J296" s="5">
        <f t="shared" si="8"/>
        <v>2005</v>
      </c>
      <c r="K296" s="5">
        <f>MONTH(Table1[[#This Row],[Date]])</f>
        <v>1</v>
      </c>
      <c r="L296" s="5">
        <f>DAY(Table1[[#This Row],[Date]])</f>
        <v>2</v>
      </c>
      <c r="M296" s="5" t="str">
        <f t="shared" si="9"/>
        <v>Jan</v>
      </c>
    </row>
    <row r="297" spans="1:13" x14ac:dyDescent="0.25">
      <c r="A297" s="2">
        <v>38380</v>
      </c>
      <c r="B297" t="s">
        <v>17</v>
      </c>
      <c r="C297" t="s">
        <v>12</v>
      </c>
      <c r="D297" t="s">
        <v>28</v>
      </c>
      <c r="E297" t="s">
        <v>25</v>
      </c>
      <c r="F297" s="3">
        <v>1917.9</v>
      </c>
      <c r="G297" s="3">
        <v>5183.51</v>
      </c>
      <c r="H297" s="3">
        <f>Table1[[#This Row],[Sale]]-Table1[[#This Row],[Cost]]</f>
        <v>3265.61</v>
      </c>
      <c r="I297" s="4">
        <f>Table1[[#This Row],[Profit]]/Table1[[#This Row],[Sale]]</f>
        <v>0.62999974920468949</v>
      </c>
      <c r="J297" s="5">
        <f t="shared" si="8"/>
        <v>2005</v>
      </c>
      <c r="K297" s="5">
        <f>MONTH(Table1[[#This Row],[Date]])</f>
        <v>1</v>
      </c>
      <c r="L297" s="5">
        <f>DAY(Table1[[#This Row],[Date]])</f>
        <v>28</v>
      </c>
      <c r="M297" s="5" t="str">
        <f t="shared" si="9"/>
        <v>Jan</v>
      </c>
    </row>
    <row r="298" spans="1:13" x14ac:dyDescent="0.25">
      <c r="A298" s="2">
        <v>38412</v>
      </c>
      <c r="B298" t="s">
        <v>26</v>
      </c>
      <c r="C298" t="s">
        <v>27</v>
      </c>
      <c r="D298" t="s">
        <v>13</v>
      </c>
      <c r="E298" t="s">
        <v>25</v>
      </c>
      <c r="F298" s="3">
        <v>5672.61</v>
      </c>
      <c r="G298" s="3">
        <v>7563.48</v>
      </c>
      <c r="H298" s="3">
        <f>Table1[[#This Row],[Sale]]-Table1[[#This Row],[Cost]]</f>
        <v>1890.87</v>
      </c>
      <c r="I298" s="4">
        <f>Table1[[#This Row],[Profit]]/Table1[[#This Row],[Sale]]</f>
        <v>0.25</v>
      </c>
      <c r="J298" s="5">
        <f t="shared" si="8"/>
        <v>2005</v>
      </c>
      <c r="K298" s="5">
        <f>MONTH(Table1[[#This Row],[Date]])</f>
        <v>3</v>
      </c>
      <c r="L298" s="5">
        <f>DAY(Table1[[#This Row],[Date]])</f>
        <v>1</v>
      </c>
      <c r="M298" s="5" t="str">
        <f t="shared" si="9"/>
        <v>Mar</v>
      </c>
    </row>
    <row r="299" spans="1:13" x14ac:dyDescent="0.25">
      <c r="A299" s="2">
        <v>38324</v>
      </c>
      <c r="B299" t="s">
        <v>26</v>
      </c>
      <c r="C299" t="s">
        <v>23</v>
      </c>
      <c r="D299" t="s">
        <v>19</v>
      </c>
      <c r="E299" t="s">
        <v>14</v>
      </c>
      <c r="F299" s="3">
        <v>1514.95</v>
      </c>
      <c r="G299" s="3">
        <v>2227.87</v>
      </c>
      <c r="H299" s="3">
        <f>Table1[[#This Row],[Sale]]-Table1[[#This Row],[Cost]]</f>
        <v>712.91999999999985</v>
      </c>
      <c r="I299" s="4">
        <f>Table1[[#This Row],[Profit]]/Table1[[#This Row],[Sale]]</f>
        <v>0.32000071817475878</v>
      </c>
      <c r="J299" s="5">
        <f t="shared" si="8"/>
        <v>2004</v>
      </c>
      <c r="K299" s="5">
        <f>MONTH(Table1[[#This Row],[Date]])</f>
        <v>12</v>
      </c>
      <c r="L299" s="5">
        <f>DAY(Table1[[#This Row],[Date]])</f>
        <v>3</v>
      </c>
      <c r="M299" s="5" t="str">
        <f t="shared" si="9"/>
        <v>Dec</v>
      </c>
    </row>
    <row r="300" spans="1:13" x14ac:dyDescent="0.25">
      <c r="A300" s="2">
        <v>38600</v>
      </c>
      <c r="B300" t="s">
        <v>22</v>
      </c>
      <c r="C300" t="s">
        <v>23</v>
      </c>
      <c r="D300" t="s">
        <v>19</v>
      </c>
      <c r="E300" t="s">
        <v>25</v>
      </c>
      <c r="F300" s="3">
        <v>6648.68</v>
      </c>
      <c r="G300" s="3">
        <v>8864.91</v>
      </c>
      <c r="H300" s="3">
        <f>Table1[[#This Row],[Sale]]-Table1[[#This Row],[Cost]]</f>
        <v>2216.2299999999996</v>
      </c>
      <c r="I300" s="4">
        <f>Table1[[#This Row],[Profit]]/Table1[[#This Row],[Sale]]</f>
        <v>0.25000028201075924</v>
      </c>
      <c r="J300" s="5">
        <f t="shared" si="8"/>
        <v>2005</v>
      </c>
      <c r="K300" s="5">
        <f>MONTH(Table1[[#This Row],[Date]])</f>
        <v>9</v>
      </c>
      <c r="L300" s="5">
        <f>DAY(Table1[[#This Row],[Date]])</f>
        <v>5</v>
      </c>
      <c r="M300" s="5" t="str">
        <f t="shared" si="9"/>
        <v>Sep</v>
      </c>
    </row>
    <row r="301" spans="1:13" x14ac:dyDescent="0.25">
      <c r="A301" s="2">
        <v>38590</v>
      </c>
      <c r="B301" t="s">
        <v>17</v>
      </c>
      <c r="C301" t="s">
        <v>18</v>
      </c>
      <c r="D301" t="s">
        <v>28</v>
      </c>
      <c r="E301" t="s">
        <v>24</v>
      </c>
      <c r="F301" s="3">
        <v>1041.69</v>
      </c>
      <c r="G301" s="3">
        <v>2815.39</v>
      </c>
      <c r="H301" s="3">
        <f>Table1[[#This Row],[Sale]]-Table1[[#This Row],[Cost]]</f>
        <v>1773.6999999999998</v>
      </c>
      <c r="I301" s="4">
        <f>Table1[[#This Row],[Profit]]/Table1[[#This Row],[Sale]]</f>
        <v>0.63000152731948322</v>
      </c>
      <c r="J301" s="5">
        <f t="shared" si="8"/>
        <v>2005</v>
      </c>
      <c r="K301" s="5">
        <f>MONTH(Table1[[#This Row],[Date]])</f>
        <v>8</v>
      </c>
      <c r="L301" s="5">
        <f>DAY(Table1[[#This Row],[Date]])</f>
        <v>26</v>
      </c>
      <c r="M301" s="5" t="str">
        <f t="shared" si="9"/>
        <v>Aug</v>
      </c>
    </row>
    <row r="302" spans="1:13" x14ac:dyDescent="0.25">
      <c r="A302" s="2">
        <v>38489</v>
      </c>
      <c r="B302" t="s">
        <v>21</v>
      </c>
      <c r="C302" t="s">
        <v>27</v>
      </c>
      <c r="D302" t="s">
        <v>19</v>
      </c>
      <c r="E302" t="s">
        <v>20</v>
      </c>
      <c r="F302" s="3">
        <v>1123.73</v>
      </c>
      <c r="G302" s="3">
        <v>1201.8499999999999</v>
      </c>
      <c r="H302" s="3">
        <f>Table1[[#This Row],[Sale]]-Table1[[#This Row],[Cost]]</f>
        <v>78.119999999999891</v>
      </c>
      <c r="I302" s="4">
        <f>Table1[[#This Row],[Profit]]/Table1[[#This Row],[Sale]]</f>
        <v>6.4999791987352742E-2</v>
      </c>
      <c r="J302" s="5">
        <f t="shared" si="8"/>
        <v>2005</v>
      </c>
      <c r="K302" s="5">
        <f>MONTH(Table1[[#This Row],[Date]])</f>
        <v>5</v>
      </c>
      <c r="L302" s="5">
        <f>DAY(Table1[[#This Row],[Date]])</f>
        <v>17</v>
      </c>
      <c r="M302" s="5" t="str">
        <f t="shared" si="9"/>
        <v>May</v>
      </c>
    </row>
    <row r="303" spans="1:13" x14ac:dyDescent="0.25">
      <c r="A303" s="2">
        <v>38377</v>
      </c>
      <c r="B303" t="s">
        <v>15</v>
      </c>
      <c r="C303" t="s">
        <v>23</v>
      </c>
      <c r="D303" t="s">
        <v>16</v>
      </c>
      <c r="E303" t="s">
        <v>20</v>
      </c>
      <c r="F303" s="3">
        <v>3998.84</v>
      </c>
      <c r="G303" s="3">
        <v>8886.2999999999993</v>
      </c>
      <c r="H303" s="3">
        <f>Table1[[#This Row],[Sale]]-Table1[[#This Row],[Cost]]</f>
        <v>4887.4599999999991</v>
      </c>
      <c r="I303" s="4">
        <f>Table1[[#This Row],[Profit]]/Table1[[#This Row],[Sale]]</f>
        <v>0.54999943733612411</v>
      </c>
      <c r="J303" s="5">
        <f t="shared" si="8"/>
        <v>2005</v>
      </c>
      <c r="K303" s="5">
        <f>MONTH(Table1[[#This Row],[Date]])</f>
        <v>1</v>
      </c>
      <c r="L303" s="5">
        <f>DAY(Table1[[#This Row],[Date]])</f>
        <v>25</v>
      </c>
      <c r="M303" s="5" t="str">
        <f t="shared" si="9"/>
        <v>Jan</v>
      </c>
    </row>
    <row r="304" spans="1:13" x14ac:dyDescent="0.25">
      <c r="A304" s="2">
        <v>38304</v>
      </c>
      <c r="B304" t="s">
        <v>26</v>
      </c>
      <c r="C304" t="s">
        <v>29</v>
      </c>
      <c r="D304" t="s">
        <v>16</v>
      </c>
      <c r="E304" t="s">
        <v>14</v>
      </c>
      <c r="F304" s="3">
        <v>3755.38</v>
      </c>
      <c r="G304" s="3">
        <v>4267.4799999999996</v>
      </c>
      <c r="H304" s="3">
        <f>Table1[[#This Row],[Sale]]-Table1[[#This Row],[Cost]]</f>
        <v>512.09999999999945</v>
      </c>
      <c r="I304" s="4">
        <f>Table1[[#This Row],[Profit]]/Table1[[#This Row],[Sale]]</f>
        <v>0.12000056239279376</v>
      </c>
      <c r="J304" s="5">
        <f t="shared" si="8"/>
        <v>2004</v>
      </c>
      <c r="K304" s="5">
        <f>MONTH(Table1[[#This Row],[Date]])</f>
        <v>11</v>
      </c>
      <c r="L304" s="5">
        <f>DAY(Table1[[#This Row],[Date]])</f>
        <v>13</v>
      </c>
      <c r="M304" s="5" t="str">
        <f t="shared" si="9"/>
        <v>Nov</v>
      </c>
    </row>
    <row r="305" spans="1:13" x14ac:dyDescent="0.25">
      <c r="A305" s="2">
        <v>38768</v>
      </c>
      <c r="B305" t="s">
        <v>22</v>
      </c>
      <c r="C305" t="s">
        <v>29</v>
      </c>
      <c r="D305" t="s">
        <v>28</v>
      </c>
      <c r="E305" t="s">
        <v>25</v>
      </c>
      <c r="F305" s="3">
        <v>1201.33</v>
      </c>
      <c r="G305" s="3">
        <v>1601.77</v>
      </c>
      <c r="H305" s="3">
        <f>Table1[[#This Row],[Sale]]-Table1[[#This Row],[Cost]]</f>
        <v>400.44000000000005</v>
      </c>
      <c r="I305" s="4">
        <f>Table1[[#This Row],[Profit]]/Table1[[#This Row],[Sale]]</f>
        <v>0.24999843922660561</v>
      </c>
      <c r="J305" s="5">
        <f t="shared" si="8"/>
        <v>2006</v>
      </c>
      <c r="K305" s="5">
        <f>MONTH(Table1[[#This Row],[Date]])</f>
        <v>2</v>
      </c>
      <c r="L305" s="5">
        <f>DAY(Table1[[#This Row],[Date]])</f>
        <v>20</v>
      </c>
      <c r="M305" s="5" t="str">
        <f t="shared" si="9"/>
        <v>Feb</v>
      </c>
    </row>
    <row r="306" spans="1:13" x14ac:dyDescent="0.25">
      <c r="A306" s="2">
        <v>38155</v>
      </c>
      <c r="B306" t="s">
        <v>15</v>
      </c>
      <c r="C306" t="s">
        <v>23</v>
      </c>
      <c r="D306" t="s">
        <v>19</v>
      </c>
      <c r="E306" t="s">
        <v>20</v>
      </c>
      <c r="F306" s="3">
        <v>6305</v>
      </c>
      <c r="G306" s="3">
        <v>9272.06</v>
      </c>
      <c r="H306" s="3">
        <f>Table1[[#This Row],[Sale]]-Table1[[#This Row],[Cost]]</f>
        <v>2967.0599999999995</v>
      </c>
      <c r="I306" s="4">
        <f>Table1[[#This Row],[Profit]]/Table1[[#This Row],[Sale]]</f>
        <v>0.32000008628071858</v>
      </c>
      <c r="J306" s="5">
        <f t="shared" si="8"/>
        <v>2004</v>
      </c>
      <c r="K306" s="5">
        <f>MONTH(Table1[[#This Row],[Date]])</f>
        <v>6</v>
      </c>
      <c r="L306" s="5">
        <f>DAY(Table1[[#This Row],[Date]])</f>
        <v>17</v>
      </c>
      <c r="M306" s="5" t="str">
        <f t="shared" si="9"/>
        <v>Jun</v>
      </c>
    </row>
    <row r="307" spans="1:13" x14ac:dyDescent="0.25">
      <c r="A307" s="2">
        <v>38753</v>
      </c>
      <c r="B307" t="s">
        <v>26</v>
      </c>
      <c r="C307" t="s">
        <v>12</v>
      </c>
      <c r="D307" t="s">
        <v>19</v>
      </c>
      <c r="E307" t="s">
        <v>25</v>
      </c>
      <c r="F307" s="3">
        <v>486.17</v>
      </c>
      <c r="G307" s="3">
        <v>1130.6300000000001</v>
      </c>
      <c r="H307" s="3">
        <f>Table1[[#This Row],[Sale]]-Table1[[#This Row],[Cost]]</f>
        <v>644.46</v>
      </c>
      <c r="I307" s="4">
        <f>Table1[[#This Row],[Profit]]/Table1[[#This Row],[Sale]]</f>
        <v>0.57000079601638021</v>
      </c>
      <c r="J307" s="5">
        <f t="shared" si="8"/>
        <v>2006</v>
      </c>
      <c r="K307" s="5">
        <f>MONTH(Table1[[#This Row],[Date]])</f>
        <v>2</v>
      </c>
      <c r="L307" s="5">
        <f>DAY(Table1[[#This Row],[Date]])</f>
        <v>5</v>
      </c>
      <c r="M307" s="5" t="str">
        <f t="shared" si="9"/>
        <v>Feb</v>
      </c>
    </row>
    <row r="308" spans="1:13" x14ac:dyDescent="0.25">
      <c r="A308" s="2">
        <v>38522</v>
      </c>
      <c r="B308" t="s">
        <v>22</v>
      </c>
      <c r="C308" t="s">
        <v>23</v>
      </c>
      <c r="D308" t="s">
        <v>16</v>
      </c>
      <c r="E308" t="s">
        <v>20</v>
      </c>
      <c r="F308" s="3">
        <v>1521.45</v>
      </c>
      <c r="G308" s="3">
        <v>3538.26</v>
      </c>
      <c r="H308" s="3">
        <f>Table1[[#This Row],[Sale]]-Table1[[#This Row],[Cost]]</f>
        <v>2016.8100000000002</v>
      </c>
      <c r="I308" s="4">
        <f>Table1[[#This Row],[Profit]]/Table1[[#This Row],[Sale]]</f>
        <v>0.57000050872462737</v>
      </c>
      <c r="J308" s="5">
        <f t="shared" si="8"/>
        <v>2005</v>
      </c>
      <c r="K308" s="5">
        <f>MONTH(Table1[[#This Row],[Date]])</f>
        <v>6</v>
      </c>
      <c r="L308" s="5">
        <f>DAY(Table1[[#This Row],[Date]])</f>
        <v>19</v>
      </c>
      <c r="M308" s="5" t="str">
        <f t="shared" si="9"/>
        <v>Jun</v>
      </c>
    </row>
    <row r="309" spans="1:13" x14ac:dyDescent="0.25">
      <c r="A309" s="2">
        <v>38329</v>
      </c>
      <c r="B309" t="s">
        <v>22</v>
      </c>
      <c r="C309" t="s">
        <v>23</v>
      </c>
      <c r="D309" t="s">
        <v>19</v>
      </c>
      <c r="E309" t="s">
        <v>20</v>
      </c>
      <c r="F309" s="3">
        <v>5488.98</v>
      </c>
      <c r="G309" s="3">
        <v>9303.35</v>
      </c>
      <c r="H309" s="3">
        <f>Table1[[#This Row],[Sale]]-Table1[[#This Row],[Cost]]</f>
        <v>3814.3700000000008</v>
      </c>
      <c r="I309" s="4">
        <f>Table1[[#This Row],[Profit]]/Table1[[#This Row],[Sale]]</f>
        <v>0.40999962379143001</v>
      </c>
      <c r="J309" s="5">
        <f t="shared" si="8"/>
        <v>2004</v>
      </c>
      <c r="K309" s="5">
        <f>MONTH(Table1[[#This Row],[Date]])</f>
        <v>12</v>
      </c>
      <c r="L309" s="5">
        <f>DAY(Table1[[#This Row],[Date]])</f>
        <v>8</v>
      </c>
      <c r="M309" s="5" t="str">
        <f t="shared" si="9"/>
        <v>Dec</v>
      </c>
    </row>
    <row r="310" spans="1:13" x14ac:dyDescent="0.25">
      <c r="A310" s="2">
        <v>38456</v>
      </c>
      <c r="B310" t="s">
        <v>11</v>
      </c>
      <c r="C310" t="s">
        <v>18</v>
      </c>
      <c r="D310" t="s">
        <v>28</v>
      </c>
      <c r="E310" t="s">
        <v>25</v>
      </c>
      <c r="F310" s="3">
        <v>2823.15</v>
      </c>
      <c r="G310" s="3">
        <v>6273.66</v>
      </c>
      <c r="H310" s="3">
        <f>Table1[[#This Row],[Sale]]-Table1[[#This Row],[Cost]]</f>
        <v>3450.5099999999998</v>
      </c>
      <c r="I310" s="4">
        <f>Table1[[#This Row],[Profit]]/Table1[[#This Row],[Sale]]</f>
        <v>0.54999952181023515</v>
      </c>
      <c r="J310" s="5">
        <f t="shared" si="8"/>
        <v>2005</v>
      </c>
      <c r="K310" s="5">
        <f>MONTH(Table1[[#This Row],[Date]])</f>
        <v>4</v>
      </c>
      <c r="L310" s="5">
        <f>DAY(Table1[[#This Row],[Date]])</f>
        <v>14</v>
      </c>
      <c r="M310" s="5" t="str">
        <f t="shared" si="9"/>
        <v>Apr</v>
      </c>
    </row>
    <row r="311" spans="1:13" x14ac:dyDescent="0.25">
      <c r="A311" s="2">
        <v>38783</v>
      </c>
      <c r="B311" t="s">
        <v>26</v>
      </c>
      <c r="C311" t="s">
        <v>27</v>
      </c>
      <c r="D311" t="s">
        <v>19</v>
      </c>
      <c r="E311" t="s">
        <v>14</v>
      </c>
      <c r="F311" s="3">
        <v>2672.18</v>
      </c>
      <c r="G311" s="3">
        <v>4858.51</v>
      </c>
      <c r="H311" s="3">
        <f>Table1[[#This Row],[Sale]]-Table1[[#This Row],[Cost]]</f>
        <v>2186.3300000000004</v>
      </c>
      <c r="I311" s="4">
        <f>Table1[[#This Row],[Profit]]/Table1[[#This Row],[Sale]]</f>
        <v>0.45000010291220977</v>
      </c>
      <c r="J311" s="5">
        <f t="shared" si="8"/>
        <v>2006</v>
      </c>
      <c r="K311" s="5">
        <f>MONTH(Table1[[#This Row],[Date]])</f>
        <v>3</v>
      </c>
      <c r="L311" s="5">
        <f>DAY(Table1[[#This Row],[Date]])</f>
        <v>7</v>
      </c>
      <c r="M311" s="5" t="str">
        <f t="shared" si="9"/>
        <v>Mar</v>
      </c>
    </row>
    <row r="312" spans="1:13" x14ac:dyDescent="0.25">
      <c r="A312" s="2">
        <v>38238</v>
      </c>
      <c r="B312" t="s">
        <v>17</v>
      </c>
      <c r="C312" t="s">
        <v>12</v>
      </c>
      <c r="D312" t="s">
        <v>19</v>
      </c>
      <c r="E312" t="s">
        <v>20</v>
      </c>
      <c r="F312" s="3">
        <v>1160.24</v>
      </c>
      <c r="G312" s="3">
        <v>2698.24</v>
      </c>
      <c r="H312" s="3">
        <f>Table1[[#This Row],[Sale]]-Table1[[#This Row],[Cost]]</f>
        <v>1537.9999999999998</v>
      </c>
      <c r="I312" s="4">
        <f>Table1[[#This Row],[Profit]]/Table1[[#This Row],[Sale]]</f>
        <v>0.57000118595825422</v>
      </c>
      <c r="J312" s="5">
        <f t="shared" si="8"/>
        <v>2004</v>
      </c>
      <c r="K312" s="5">
        <f>MONTH(Table1[[#This Row],[Date]])</f>
        <v>9</v>
      </c>
      <c r="L312" s="5">
        <f>DAY(Table1[[#This Row],[Date]])</f>
        <v>8</v>
      </c>
      <c r="M312" s="5" t="str">
        <f t="shared" si="9"/>
        <v>Sep</v>
      </c>
    </row>
    <row r="313" spans="1:13" x14ac:dyDescent="0.25">
      <c r="A313" s="2">
        <v>38155</v>
      </c>
      <c r="B313" t="s">
        <v>11</v>
      </c>
      <c r="C313" t="s">
        <v>18</v>
      </c>
      <c r="D313" t="s">
        <v>16</v>
      </c>
      <c r="E313" t="s">
        <v>24</v>
      </c>
      <c r="F313" s="3">
        <v>8271.49</v>
      </c>
      <c r="G313" s="3">
        <v>9399.42</v>
      </c>
      <c r="H313" s="3">
        <f>Table1[[#This Row],[Sale]]-Table1[[#This Row],[Cost]]</f>
        <v>1127.9300000000003</v>
      </c>
      <c r="I313" s="4">
        <f>Table1[[#This Row],[Profit]]/Table1[[#This Row],[Sale]]</f>
        <v>0.11999995744418275</v>
      </c>
      <c r="J313" s="5">
        <f t="shared" si="8"/>
        <v>2004</v>
      </c>
      <c r="K313" s="5">
        <f>MONTH(Table1[[#This Row],[Date]])</f>
        <v>6</v>
      </c>
      <c r="L313" s="5">
        <f>DAY(Table1[[#This Row],[Date]])</f>
        <v>17</v>
      </c>
      <c r="M313" s="5" t="str">
        <f t="shared" si="9"/>
        <v>Jun</v>
      </c>
    </row>
    <row r="314" spans="1:13" x14ac:dyDescent="0.25">
      <c r="A314" s="2">
        <v>38317</v>
      </c>
      <c r="B314" t="s">
        <v>26</v>
      </c>
      <c r="C314" t="s">
        <v>23</v>
      </c>
      <c r="D314" t="s">
        <v>16</v>
      </c>
      <c r="E314" t="s">
        <v>20</v>
      </c>
      <c r="F314" s="3">
        <v>3238.57</v>
      </c>
      <c r="G314" s="3">
        <v>3463.71</v>
      </c>
      <c r="H314" s="3">
        <f>Table1[[#This Row],[Sale]]-Table1[[#This Row],[Cost]]</f>
        <v>225.13999999999987</v>
      </c>
      <c r="I314" s="4">
        <f>Table1[[#This Row],[Profit]]/Table1[[#This Row],[Sale]]</f>
        <v>6.4999667986061146E-2</v>
      </c>
      <c r="J314" s="5">
        <f t="shared" si="8"/>
        <v>2004</v>
      </c>
      <c r="K314" s="5">
        <f>MONTH(Table1[[#This Row],[Date]])</f>
        <v>11</v>
      </c>
      <c r="L314" s="5">
        <f>DAY(Table1[[#This Row],[Date]])</f>
        <v>26</v>
      </c>
      <c r="M314" s="5" t="str">
        <f t="shared" si="9"/>
        <v>Nov</v>
      </c>
    </row>
    <row r="315" spans="1:13" x14ac:dyDescent="0.25">
      <c r="A315" s="2">
        <v>38687</v>
      </c>
      <c r="B315" t="s">
        <v>15</v>
      </c>
      <c r="C315" t="s">
        <v>27</v>
      </c>
      <c r="D315" t="s">
        <v>28</v>
      </c>
      <c r="E315" t="s">
        <v>24</v>
      </c>
      <c r="F315" s="3">
        <v>1459.53</v>
      </c>
      <c r="G315" s="3">
        <v>1560.99</v>
      </c>
      <c r="H315" s="3">
        <f>Table1[[#This Row],[Sale]]-Table1[[#This Row],[Cost]]</f>
        <v>101.46000000000004</v>
      </c>
      <c r="I315" s="4">
        <f>Table1[[#This Row],[Profit]]/Table1[[#This Row],[Sale]]</f>
        <v>6.4997213306939847E-2</v>
      </c>
      <c r="J315" s="5">
        <f t="shared" si="8"/>
        <v>2005</v>
      </c>
      <c r="K315" s="5">
        <f>MONTH(Table1[[#This Row],[Date]])</f>
        <v>12</v>
      </c>
      <c r="L315" s="5">
        <f>DAY(Table1[[#This Row],[Date]])</f>
        <v>1</v>
      </c>
      <c r="M315" s="5" t="str">
        <f t="shared" si="9"/>
        <v>Dec</v>
      </c>
    </row>
    <row r="316" spans="1:13" x14ac:dyDescent="0.25">
      <c r="A316" s="2">
        <v>38398</v>
      </c>
      <c r="B316" t="s">
        <v>22</v>
      </c>
      <c r="C316" t="s">
        <v>12</v>
      </c>
      <c r="D316" t="s">
        <v>28</v>
      </c>
      <c r="E316" t="s">
        <v>14</v>
      </c>
      <c r="F316" s="3">
        <v>5537.94</v>
      </c>
      <c r="G316" s="3">
        <v>9386.34</v>
      </c>
      <c r="H316" s="3">
        <f>Table1[[#This Row],[Sale]]-Table1[[#This Row],[Cost]]</f>
        <v>3848.4000000000005</v>
      </c>
      <c r="I316" s="4">
        <f>Table1[[#This Row],[Profit]]/Table1[[#This Row],[Sale]]</f>
        <v>0.41000006392267918</v>
      </c>
      <c r="J316" s="5">
        <f t="shared" si="8"/>
        <v>2005</v>
      </c>
      <c r="K316" s="5">
        <f>MONTH(Table1[[#This Row],[Date]])</f>
        <v>2</v>
      </c>
      <c r="L316" s="5">
        <f>DAY(Table1[[#This Row],[Date]])</f>
        <v>15</v>
      </c>
      <c r="M316" s="5" t="str">
        <f t="shared" si="9"/>
        <v>Feb</v>
      </c>
    </row>
    <row r="317" spans="1:13" x14ac:dyDescent="0.25">
      <c r="A317" s="2">
        <v>38838</v>
      </c>
      <c r="B317" t="s">
        <v>15</v>
      </c>
      <c r="C317" t="s">
        <v>12</v>
      </c>
      <c r="D317" t="s">
        <v>16</v>
      </c>
      <c r="E317" t="s">
        <v>24</v>
      </c>
      <c r="F317" s="3">
        <v>3084.07</v>
      </c>
      <c r="G317" s="3">
        <v>5317.37</v>
      </c>
      <c r="H317" s="3">
        <f>Table1[[#This Row],[Sale]]-Table1[[#This Row],[Cost]]</f>
        <v>2233.2999999999997</v>
      </c>
      <c r="I317" s="4">
        <f>Table1[[#This Row],[Profit]]/Table1[[#This Row],[Sale]]</f>
        <v>0.42000086508932044</v>
      </c>
      <c r="J317" s="5">
        <f t="shared" si="8"/>
        <v>2006</v>
      </c>
      <c r="K317" s="5">
        <f>MONTH(Table1[[#This Row],[Date]])</f>
        <v>5</v>
      </c>
      <c r="L317" s="5">
        <f>DAY(Table1[[#This Row],[Date]])</f>
        <v>1</v>
      </c>
      <c r="M317" s="5" t="str">
        <f t="shared" si="9"/>
        <v>May</v>
      </c>
    </row>
    <row r="318" spans="1:13" x14ac:dyDescent="0.25">
      <c r="A318" s="2">
        <v>38820</v>
      </c>
      <c r="B318" t="s">
        <v>22</v>
      </c>
      <c r="C318" t="s">
        <v>12</v>
      </c>
      <c r="D318" t="s">
        <v>16</v>
      </c>
      <c r="E318" t="s">
        <v>20</v>
      </c>
      <c r="F318" s="3">
        <v>457.76</v>
      </c>
      <c r="G318" s="3">
        <v>1237.18</v>
      </c>
      <c r="H318" s="3">
        <f>Table1[[#This Row],[Sale]]-Table1[[#This Row],[Cost]]</f>
        <v>779.42000000000007</v>
      </c>
      <c r="I318" s="4">
        <f>Table1[[#This Row],[Profit]]/Table1[[#This Row],[Sale]]</f>
        <v>0.62999725181461064</v>
      </c>
      <c r="J318" s="5">
        <f t="shared" si="8"/>
        <v>2006</v>
      </c>
      <c r="K318" s="5">
        <f>MONTH(Table1[[#This Row],[Date]])</f>
        <v>4</v>
      </c>
      <c r="L318" s="5">
        <f>DAY(Table1[[#This Row],[Date]])</f>
        <v>13</v>
      </c>
      <c r="M318" s="5" t="str">
        <f t="shared" si="9"/>
        <v>Apr</v>
      </c>
    </row>
    <row r="319" spans="1:13" x14ac:dyDescent="0.25">
      <c r="A319" s="2">
        <v>38171</v>
      </c>
      <c r="B319" t="s">
        <v>21</v>
      </c>
      <c r="C319" t="s">
        <v>27</v>
      </c>
      <c r="D319" t="s">
        <v>28</v>
      </c>
      <c r="E319" t="s">
        <v>14</v>
      </c>
      <c r="F319" s="3">
        <v>3140.92</v>
      </c>
      <c r="G319" s="3">
        <v>5710.77</v>
      </c>
      <c r="H319" s="3">
        <f>Table1[[#This Row],[Sale]]-Table1[[#This Row],[Cost]]</f>
        <v>2569.8500000000004</v>
      </c>
      <c r="I319" s="4">
        <f>Table1[[#This Row],[Profit]]/Table1[[#This Row],[Sale]]</f>
        <v>0.45000061287707266</v>
      </c>
      <c r="J319" s="5">
        <f t="shared" si="8"/>
        <v>2004</v>
      </c>
      <c r="K319" s="5">
        <f>MONTH(Table1[[#This Row],[Date]])</f>
        <v>7</v>
      </c>
      <c r="L319" s="5">
        <f>DAY(Table1[[#This Row],[Date]])</f>
        <v>3</v>
      </c>
      <c r="M319" s="5" t="str">
        <f t="shared" si="9"/>
        <v>Jul</v>
      </c>
    </row>
    <row r="320" spans="1:13" x14ac:dyDescent="0.25">
      <c r="A320" s="2">
        <v>38629</v>
      </c>
      <c r="B320" t="s">
        <v>15</v>
      </c>
      <c r="C320" t="s">
        <v>12</v>
      </c>
      <c r="D320" t="s">
        <v>28</v>
      </c>
      <c r="E320" t="s">
        <v>20</v>
      </c>
      <c r="F320" s="3">
        <v>5254.02</v>
      </c>
      <c r="G320" s="3">
        <v>8905.1200000000008</v>
      </c>
      <c r="H320" s="3">
        <f>Table1[[#This Row],[Sale]]-Table1[[#This Row],[Cost]]</f>
        <v>3651.1000000000004</v>
      </c>
      <c r="I320" s="4">
        <f>Table1[[#This Row],[Profit]]/Table1[[#This Row],[Sale]]</f>
        <v>0.41000008983595954</v>
      </c>
      <c r="J320" s="5">
        <f t="shared" si="8"/>
        <v>2005</v>
      </c>
      <c r="K320" s="5">
        <f>MONTH(Table1[[#This Row],[Date]])</f>
        <v>10</v>
      </c>
      <c r="L320" s="5">
        <f>DAY(Table1[[#This Row],[Date]])</f>
        <v>4</v>
      </c>
      <c r="M320" s="5" t="str">
        <f t="shared" si="9"/>
        <v>Oct</v>
      </c>
    </row>
    <row r="321" spans="1:13" x14ac:dyDescent="0.25">
      <c r="A321" s="2">
        <v>38874</v>
      </c>
      <c r="B321" t="s">
        <v>22</v>
      </c>
      <c r="C321" t="s">
        <v>27</v>
      </c>
      <c r="D321" t="s">
        <v>16</v>
      </c>
      <c r="E321" t="s">
        <v>24</v>
      </c>
      <c r="F321" s="3">
        <v>5231.12</v>
      </c>
      <c r="G321" s="3">
        <v>6974.83</v>
      </c>
      <c r="H321" s="3">
        <f>Table1[[#This Row],[Sale]]-Table1[[#This Row],[Cost]]</f>
        <v>1743.71</v>
      </c>
      <c r="I321" s="4">
        <f>Table1[[#This Row],[Profit]]/Table1[[#This Row],[Sale]]</f>
        <v>0.25000035843167506</v>
      </c>
      <c r="J321" s="5">
        <f t="shared" si="8"/>
        <v>2006</v>
      </c>
      <c r="K321" s="5">
        <f>MONTH(Table1[[#This Row],[Date]])</f>
        <v>6</v>
      </c>
      <c r="L321" s="5">
        <f>DAY(Table1[[#This Row],[Date]])</f>
        <v>6</v>
      </c>
      <c r="M321" s="5" t="str">
        <f t="shared" si="9"/>
        <v>Jun</v>
      </c>
    </row>
    <row r="322" spans="1:13" x14ac:dyDescent="0.25">
      <c r="A322" s="2">
        <v>38749</v>
      </c>
      <c r="B322" t="s">
        <v>17</v>
      </c>
      <c r="C322" t="s">
        <v>23</v>
      </c>
      <c r="D322" t="s">
        <v>16</v>
      </c>
      <c r="E322" t="s">
        <v>25</v>
      </c>
      <c r="F322" s="3">
        <v>3031.54</v>
      </c>
      <c r="G322" s="3">
        <v>6736.75</v>
      </c>
      <c r="H322" s="3">
        <f>Table1[[#This Row],[Sale]]-Table1[[#This Row],[Cost]]</f>
        <v>3705.21</v>
      </c>
      <c r="I322" s="4">
        <f>Table1[[#This Row],[Profit]]/Table1[[#This Row],[Sale]]</f>
        <v>0.54999962890117637</v>
      </c>
      <c r="J322" s="5">
        <f t="shared" ref="J322:J385" si="10">YEAR(A:A)</f>
        <v>2006</v>
      </c>
      <c r="K322" s="5">
        <f>MONTH(Table1[[#This Row],[Date]])</f>
        <v>2</v>
      </c>
      <c r="L322" s="5">
        <f>DAY(Table1[[#This Row],[Date]])</f>
        <v>1</v>
      </c>
      <c r="M322" s="5" t="str">
        <f t="shared" ref="M322:M385" si="11">CHOOSE(K322,"Jan", "Feb", "Mar", "Apr", "May", "Jun", "Jul", "Aug", "Sep", "Oct", "Nov", "Dec")</f>
        <v>Feb</v>
      </c>
    </row>
    <row r="323" spans="1:13" x14ac:dyDescent="0.25">
      <c r="A323" s="2">
        <v>38670</v>
      </c>
      <c r="B323" t="s">
        <v>11</v>
      </c>
      <c r="C323" t="s">
        <v>29</v>
      </c>
      <c r="D323" t="s">
        <v>28</v>
      </c>
      <c r="E323" t="s">
        <v>20</v>
      </c>
      <c r="F323" s="3">
        <v>4295.3100000000004</v>
      </c>
      <c r="G323" s="3">
        <v>5727.08</v>
      </c>
      <c r="H323" s="3">
        <f>Table1[[#This Row],[Sale]]-Table1[[#This Row],[Cost]]</f>
        <v>1431.7699999999995</v>
      </c>
      <c r="I323" s="4">
        <f>Table1[[#This Row],[Profit]]/Table1[[#This Row],[Sale]]</f>
        <v>0.24999999999999992</v>
      </c>
      <c r="J323" s="5">
        <f t="shared" si="10"/>
        <v>2005</v>
      </c>
      <c r="K323" s="5">
        <f>MONTH(Table1[[#This Row],[Date]])</f>
        <v>11</v>
      </c>
      <c r="L323" s="5">
        <f>DAY(Table1[[#This Row],[Date]])</f>
        <v>14</v>
      </c>
      <c r="M323" s="5" t="str">
        <f t="shared" si="11"/>
        <v>Nov</v>
      </c>
    </row>
    <row r="324" spans="1:13" x14ac:dyDescent="0.25">
      <c r="A324" s="2">
        <v>38199</v>
      </c>
      <c r="B324" t="s">
        <v>11</v>
      </c>
      <c r="C324" t="s">
        <v>29</v>
      </c>
      <c r="D324" t="s">
        <v>13</v>
      </c>
      <c r="E324" t="s">
        <v>14</v>
      </c>
      <c r="F324" s="3">
        <v>5937.06</v>
      </c>
      <c r="G324" s="3">
        <v>8730.9699999999993</v>
      </c>
      <c r="H324" s="3">
        <f>Table1[[#This Row],[Sale]]-Table1[[#This Row],[Cost]]</f>
        <v>2793.9099999999989</v>
      </c>
      <c r="I324" s="4">
        <f>Table1[[#This Row],[Profit]]/Table1[[#This Row],[Sale]]</f>
        <v>0.31999995418607546</v>
      </c>
      <c r="J324" s="5">
        <f t="shared" si="10"/>
        <v>2004</v>
      </c>
      <c r="K324" s="5">
        <f>MONTH(Table1[[#This Row],[Date]])</f>
        <v>7</v>
      </c>
      <c r="L324" s="5">
        <f>DAY(Table1[[#This Row],[Date]])</f>
        <v>31</v>
      </c>
      <c r="M324" s="5" t="str">
        <f t="shared" si="11"/>
        <v>Jul</v>
      </c>
    </row>
    <row r="325" spans="1:13" x14ac:dyDescent="0.25">
      <c r="A325" s="2">
        <v>38584</v>
      </c>
      <c r="B325" t="s">
        <v>21</v>
      </c>
      <c r="C325" t="s">
        <v>18</v>
      </c>
      <c r="D325" t="s">
        <v>19</v>
      </c>
      <c r="E325" t="s">
        <v>24</v>
      </c>
      <c r="F325" s="3">
        <v>872</v>
      </c>
      <c r="G325" s="3">
        <v>1162.6600000000001</v>
      </c>
      <c r="H325" s="3">
        <f>Table1[[#This Row],[Sale]]-Table1[[#This Row],[Cost]]</f>
        <v>290.66000000000008</v>
      </c>
      <c r="I325" s="4">
        <f>Table1[[#This Row],[Profit]]/Table1[[#This Row],[Sale]]</f>
        <v>0.24999569951662573</v>
      </c>
      <c r="J325" s="5">
        <f t="shared" si="10"/>
        <v>2005</v>
      </c>
      <c r="K325" s="5">
        <f>MONTH(Table1[[#This Row],[Date]])</f>
        <v>8</v>
      </c>
      <c r="L325" s="5">
        <f>DAY(Table1[[#This Row],[Date]])</f>
        <v>20</v>
      </c>
      <c r="M325" s="5" t="str">
        <f t="shared" si="11"/>
        <v>Aug</v>
      </c>
    </row>
    <row r="326" spans="1:13" x14ac:dyDescent="0.25">
      <c r="A326" s="2">
        <v>38418</v>
      </c>
      <c r="B326" t="s">
        <v>17</v>
      </c>
      <c r="C326" t="s">
        <v>18</v>
      </c>
      <c r="D326" t="s">
        <v>13</v>
      </c>
      <c r="E326" t="s">
        <v>24</v>
      </c>
      <c r="F326" s="3">
        <v>2921.11</v>
      </c>
      <c r="G326" s="3">
        <v>3894.81</v>
      </c>
      <c r="H326" s="3">
        <f>Table1[[#This Row],[Sale]]-Table1[[#This Row],[Cost]]</f>
        <v>973.69999999999982</v>
      </c>
      <c r="I326" s="4">
        <f>Table1[[#This Row],[Profit]]/Table1[[#This Row],[Sale]]</f>
        <v>0.24999935812016499</v>
      </c>
      <c r="J326" s="5">
        <f t="shared" si="10"/>
        <v>2005</v>
      </c>
      <c r="K326" s="5">
        <f>MONTH(Table1[[#This Row],[Date]])</f>
        <v>3</v>
      </c>
      <c r="L326" s="5">
        <f>DAY(Table1[[#This Row],[Date]])</f>
        <v>7</v>
      </c>
      <c r="M326" s="5" t="str">
        <f t="shared" si="11"/>
        <v>Mar</v>
      </c>
    </row>
    <row r="327" spans="1:13" x14ac:dyDescent="0.25">
      <c r="A327" s="2">
        <v>38603</v>
      </c>
      <c r="B327" t="s">
        <v>11</v>
      </c>
      <c r="C327" t="s">
        <v>18</v>
      </c>
      <c r="D327" t="s">
        <v>19</v>
      </c>
      <c r="E327" t="s">
        <v>24</v>
      </c>
      <c r="F327" s="3">
        <v>890.87</v>
      </c>
      <c r="G327" s="3">
        <v>2071.8000000000002</v>
      </c>
      <c r="H327" s="3">
        <f>Table1[[#This Row],[Sale]]-Table1[[#This Row],[Cost]]</f>
        <v>1180.9300000000003</v>
      </c>
      <c r="I327" s="4">
        <f>Table1[[#This Row],[Profit]]/Table1[[#This Row],[Sale]]</f>
        <v>0.57000193068829041</v>
      </c>
      <c r="J327" s="5">
        <f t="shared" si="10"/>
        <v>2005</v>
      </c>
      <c r="K327" s="5">
        <f>MONTH(Table1[[#This Row],[Date]])</f>
        <v>9</v>
      </c>
      <c r="L327" s="5">
        <f>DAY(Table1[[#This Row],[Date]])</f>
        <v>8</v>
      </c>
      <c r="M327" s="5" t="str">
        <f t="shared" si="11"/>
        <v>Sep</v>
      </c>
    </row>
    <row r="328" spans="1:13" x14ac:dyDescent="0.25">
      <c r="A328" s="2">
        <v>38552</v>
      </c>
      <c r="B328" t="s">
        <v>22</v>
      </c>
      <c r="C328" t="s">
        <v>29</v>
      </c>
      <c r="D328" t="s">
        <v>28</v>
      </c>
      <c r="E328" t="s">
        <v>24</v>
      </c>
      <c r="F328" s="3">
        <v>5046</v>
      </c>
      <c r="G328" s="3">
        <v>8700</v>
      </c>
      <c r="H328" s="3">
        <f>Table1[[#This Row],[Sale]]-Table1[[#This Row],[Cost]]</f>
        <v>3654</v>
      </c>
      <c r="I328" s="4">
        <f>Table1[[#This Row],[Profit]]/Table1[[#This Row],[Sale]]</f>
        <v>0.42</v>
      </c>
      <c r="J328" s="5">
        <f t="shared" si="10"/>
        <v>2005</v>
      </c>
      <c r="K328" s="5">
        <f>MONTH(Table1[[#This Row],[Date]])</f>
        <v>7</v>
      </c>
      <c r="L328" s="5">
        <f>DAY(Table1[[#This Row],[Date]])</f>
        <v>19</v>
      </c>
      <c r="M328" s="5" t="str">
        <f t="shared" si="11"/>
        <v>Jul</v>
      </c>
    </row>
    <row r="329" spans="1:13" x14ac:dyDescent="0.25">
      <c r="A329" s="2">
        <v>38621</v>
      </c>
      <c r="B329" t="s">
        <v>22</v>
      </c>
      <c r="C329" t="s">
        <v>18</v>
      </c>
      <c r="D329" t="s">
        <v>13</v>
      </c>
      <c r="E329" t="s">
        <v>14</v>
      </c>
      <c r="F329" s="3">
        <v>403.84</v>
      </c>
      <c r="G329" s="3">
        <v>939.16</v>
      </c>
      <c r="H329" s="3">
        <f>Table1[[#This Row],[Sale]]-Table1[[#This Row],[Cost]]</f>
        <v>535.31999999999994</v>
      </c>
      <c r="I329" s="4">
        <f>Table1[[#This Row],[Profit]]/Table1[[#This Row],[Sale]]</f>
        <v>0.5699987222624473</v>
      </c>
      <c r="J329" s="5">
        <f t="shared" si="10"/>
        <v>2005</v>
      </c>
      <c r="K329" s="5">
        <f>MONTH(Table1[[#This Row],[Date]])</f>
        <v>9</v>
      </c>
      <c r="L329" s="5">
        <f>DAY(Table1[[#This Row],[Date]])</f>
        <v>26</v>
      </c>
      <c r="M329" s="5" t="str">
        <f t="shared" si="11"/>
        <v>Sep</v>
      </c>
    </row>
    <row r="330" spans="1:13" x14ac:dyDescent="0.25">
      <c r="A330" s="2">
        <v>38733</v>
      </c>
      <c r="B330" t="s">
        <v>22</v>
      </c>
      <c r="C330" t="s">
        <v>12</v>
      </c>
      <c r="D330" t="s">
        <v>19</v>
      </c>
      <c r="E330" t="s">
        <v>14</v>
      </c>
      <c r="F330" s="3">
        <v>3206.48</v>
      </c>
      <c r="G330" s="3">
        <v>5528.41</v>
      </c>
      <c r="H330" s="3">
        <f>Table1[[#This Row],[Sale]]-Table1[[#This Row],[Cost]]</f>
        <v>2321.9299999999998</v>
      </c>
      <c r="I330" s="4">
        <f>Table1[[#This Row],[Profit]]/Table1[[#This Row],[Sale]]</f>
        <v>0.41999960205556386</v>
      </c>
      <c r="J330" s="5">
        <f t="shared" si="10"/>
        <v>2006</v>
      </c>
      <c r="K330" s="5">
        <f>MONTH(Table1[[#This Row],[Date]])</f>
        <v>1</v>
      </c>
      <c r="L330" s="5">
        <f>DAY(Table1[[#This Row],[Date]])</f>
        <v>16</v>
      </c>
      <c r="M330" s="5" t="str">
        <f t="shared" si="11"/>
        <v>Jan</v>
      </c>
    </row>
    <row r="331" spans="1:13" x14ac:dyDescent="0.25">
      <c r="A331" s="2">
        <v>38774</v>
      </c>
      <c r="B331" t="s">
        <v>21</v>
      </c>
      <c r="C331" t="s">
        <v>23</v>
      </c>
      <c r="D331" t="s">
        <v>16</v>
      </c>
      <c r="E331" t="s">
        <v>14</v>
      </c>
      <c r="F331" s="3">
        <v>2746.34</v>
      </c>
      <c r="G331" s="3">
        <v>4038.74</v>
      </c>
      <c r="H331" s="3">
        <f>Table1[[#This Row],[Sale]]-Table1[[#This Row],[Cost]]</f>
        <v>1292.3999999999996</v>
      </c>
      <c r="I331" s="4">
        <f>Table1[[#This Row],[Profit]]/Table1[[#This Row],[Sale]]</f>
        <v>0.32000079232631951</v>
      </c>
      <c r="J331" s="5">
        <f t="shared" si="10"/>
        <v>2006</v>
      </c>
      <c r="K331" s="5">
        <f>MONTH(Table1[[#This Row],[Date]])</f>
        <v>2</v>
      </c>
      <c r="L331" s="5">
        <f>DAY(Table1[[#This Row],[Date]])</f>
        <v>26</v>
      </c>
      <c r="M331" s="5" t="str">
        <f t="shared" si="11"/>
        <v>Feb</v>
      </c>
    </row>
    <row r="332" spans="1:13" x14ac:dyDescent="0.25">
      <c r="A332" s="2">
        <v>38272</v>
      </c>
      <c r="B332" t="s">
        <v>26</v>
      </c>
      <c r="C332" t="s">
        <v>29</v>
      </c>
      <c r="D332" t="s">
        <v>19</v>
      </c>
      <c r="E332" t="s">
        <v>14</v>
      </c>
      <c r="F332" s="3">
        <v>3837.65</v>
      </c>
      <c r="G332" s="3">
        <v>4104.4399999999996</v>
      </c>
      <c r="H332" s="3">
        <f>Table1[[#This Row],[Sale]]-Table1[[#This Row],[Cost]]</f>
        <v>266.78999999999951</v>
      </c>
      <c r="I332" s="4">
        <f>Table1[[#This Row],[Profit]]/Table1[[#This Row],[Sale]]</f>
        <v>6.5000341094034644E-2</v>
      </c>
      <c r="J332" s="5">
        <f t="shared" si="10"/>
        <v>2004</v>
      </c>
      <c r="K332" s="5">
        <f>MONTH(Table1[[#This Row],[Date]])</f>
        <v>10</v>
      </c>
      <c r="L332" s="5">
        <f>DAY(Table1[[#This Row],[Date]])</f>
        <v>12</v>
      </c>
      <c r="M332" s="5" t="str">
        <f t="shared" si="11"/>
        <v>Oct</v>
      </c>
    </row>
    <row r="333" spans="1:13" x14ac:dyDescent="0.25">
      <c r="A333" s="2">
        <v>38840</v>
      </c>
      <c r="B333" t="s">
        <v>11</v>
      </c>
      <c r="C333" t="s">
        <v>12</v>
      </c>
      <c r="D333" t="s">
        <v>13</v>
      </c>
      <c r="E333" t="s">
        <v>25</v>
      </c>
      <c r="F333" s="3">
        <v>4468.62</v>
      </c>
      <c r="G333" s="3">
        <v>7573.93</v>
      </c>
      <c r="H333" s="3">
        <f>Table1[[#This Row],[Sale]]-Table1[[#This Row],[Cost]]</f>
        <v>3105.3100000000004</v>
      </c>
      <c r="I333" s="4">
        <f>Table1[[#This Row],[Profit]]/Table1[[#This Row],[Sale]]</f>
        <v>0.40999982835859328</v>
      </c>
      <c r="J333" s="5">
        <f t="shared" si="10"/>
        <v>2006</v>
      </c>
      <c r="K333" s="5">
        <f>MONTH(Table1[[#This Row],[Date]])</f>
        <v>5</v>
      </c>
      <c r="L333" s="5">
        <f>DAY(Table1[[#This Row],[Date]])</f>
        <v>3</v>
      </c>
      <c r="M333" s="5" t="str">
        <f t="shared" si="11"/>
        <v>May</v>
      </c>
    </row>
    <row r="334" spans="1:13" x14ac:dyDescent="0.25">
      <c r="A334" s="2">
        <v>38212</v>
      </c>
      <c r="B334" t="s">
        <v>21</v>
      </c>
      <c r="C334" t="s">
        <v>18</v>
      </c>
      <c r="D334" t="s">
        <v>13</v>
      </c>
      <c r="E334" t="s">
        <v>14</v>
      </c>
      <c r="F334" s="3">
        <v>8446.4599999999991</v>
      </c>
      <c r="G334" s="3">
        <v>9598.25</v>
      </c>
      <c r="H334" s="3">
        <f>Table1[[#This Row],[Sale]]-Table1[[#This Row],[Cost]]</f>
        <v>1151.7900000000009</v>
      </c>
      <c r="I334" s="4">
        <f>Table1[[#This Row],[Profit]]/Table1[[#This Row],[Sale]]</f>
        <v>0.12000000000000009</v>
      </c>
      <c r="J334" s="5">
        <f t="shared" si="10"/>
        <v>2004</v>
      </c>
      <c r="K334" s="5">
        <f>MONTH(Table1[[#This Row],[Date]])</f>
        <v>8</v>
      </c>
      <c r="L334" s="5">
        <f>DAY(Table1[[#This Row],[Date]])</f>
        <v>13</v>
      </c>
      <c r="M334" s="5" t="str">
        <f t="shared" si="11"/>
        <v>Aug</v>
      </c>
    </row>
    <row r="335" spans="1:13" x14ac:dyDescent="0.25">
      <c r="A335" s="2">
        <v>38525</v>
      </c>
      <c r="B335" t="s">
        <v>17</v>
      </c>
      <c r="C335" t="s">
        <v>29</v>
      </c>
      <c r="D335" t="s">
        <v>16</v>
      </c>
      <c r="E335" t="s">
        <v>25</v>
      </c>
      <c r="F335" s="3">
        <v>1658.9</v>
      </c>
      <c r="G335" s="3">
        <v>3857.91</v>
      </c>
      <c r="H335" s="3">
        <f>Table1[[#This Row],[Sale]]-Table1[[#This Row],[Cost]]</f>
        <v>2199.0099999999998</v>
      </c>
      <c r="I335" s="4">
        <f>Table1[[#This Row],[Profit]]/Table1[[#This Row],[Sale]]</f>
        <v>0.5700003369700174</v>
      </c>
      <c r="J335" s="5">
        <f t="shared" si="10"/>
        <v>2005</v>
      </c>
      <c r="K335" s="5">
        <f>MONTH(Table1[[#This Row],[Date]])</f>
        <v>6</v>
      </c>
      <c r="L335" s="5">
        <f>DAY(Table1[[#This Row],[Date]])</f>
        <v>22</v>
      </c>
      <c r="M335" s="5" t="str">
        <f t="shared" si="11"/>
        <v>Jun</v>
      </c>
    </row>
    <row r="336" spans="1:13" x14ac:dyDescent="0.25">
      <c r="A336" s="2">
        <v>38597</v>
      </c>
      <c r="B336" t="s">
        <v>17</v>
      </c>
      <c r="C336" t="s">
        <v>29</v>
      </c>
      <c r="D336" t="s">
        <v>16</v>
      </c>
      <c r="E336" t="s">
        <v>14</v>
      </c>
      <c r="F336" s="3">
        <v>4413.16</v>
      </c>
      <c r="G336" s="3">
        <v>8023.92</v>
      </c>
      <c r="H336" s="3">
        <f>Table1[[#This Row],[Sale]]-Table1[[#This Row],[Cost]]</f>
        <v>3610.76</v>
      </c>
      <c r="I336" s="4">
        <f>Table1[[#This Row],[Profit]]/Table1[[#This Row],[Sale]]</f>
        <v>0.4499995014905433</v>
      </c>
      <c r="J336" s="5">
        <f t="shared" si="10"/>
        <v>2005</v>
      </c>
      <c r="K336" s="5">
        <f>MONTH(Table1[[#This Row],[Date]])</f>
        <v>9</v>
      </c>
      <c r="L336" s="5">
        <f>DAY(Table1[[#This Row],[Date]])</f>
        <v>2</v>
      </c>
      <c r="M336" s="5" t="str">
        <f t="shared" si="11"/>
        <v>Sep</v>
      </c>
    </row>
    <row r="337" spans="1:13" x14ac:dyDescent="0.25">
      <c r="A337" s="2">
        <v>38351</v>
      </c>
      <c r="B337" t="s">
        <v>21</v>
      </c>
      <c r="C337" t="s">
        <v>12</v>
      </c>
      <c r="D337" t="s">
        <v>13</v>
      </c>
      <c r="E337" t="s">
        <v>24</v>
      </c>
      <c r="F337" s="3">
        <v>4139.76</v>
      </c>
      <c r="G337" s="3">
        <v>7526.83</v>
      </c>
      <c r="H337" s="3">
        <f>Table1[[#This Row],[Sale]]-Table1[[#This Row],[Cost]]</f>
        <v>3387.0699999999997</v>
      </c>
      <c r="I337" s="4">
        <f>Table1[[#This Row],[Profit]]/Table1[[#This Row],[Sale]]</f>
        <v>0.44999953499680473</v>
      </c>
      <c r="J337" s="5">
        <f t="shared" si="10"/>
        <v>2004</v>
      </c>
      <c r="K337" s="5">
        <f>MONTH(Table1[[#This Row],[Date]])</f>
        <v>12</v>
      </c>
      <c r="L337" s="5">
        <f>DAY(Table1[[#This Row],[Date]])</f>
        <v>30</v>
      </c>
      <c r="M337" s="5" t="str">
        <f t="shared" si="11"/>
        <v>Dec</v>
      </c>
    </row>
    <row r="338" spans="1:13" x14ac:dyDescent="0.25">
      <c r="A338" s="2">
        <v>38851</v>
      </c>
      <c r="B338" t="s">
        <v>11</v>
      </c>
      <c r="C338" t="s">
        <v>18</v>
      </c>
      <c r="D338" t="s">
        <v>19</v>
      </c>
      <c r="E338" t="s">
        <v>24</v>
      </c>
      <c r="F338" s="3">
        <v>3559.26</v>
      </c>
      <c r="G338" s="3">
        <v>4745.68</v>
      </c>
      <c r="H338" s="3">
        <f>Table1[[#This Row],[Sale]]-Table1[[#This Row],[Cost]]</f>
        <v>1186.42</v>
      </c>
      <c r="I338" s="4">
        <f>Table1[[#This Row],[Profit]]/Table1[[#This Row],[Sale]]</f>
        <v>0.25</v>
      </c>
      <c r="J338" s="5">
        <f t="shared" si="10"/>
        <v>2006</v>
      </c>
      <c r="K338" s="5">
        <f>MONTH(Table1[[#This Row],[Date]])</f>
        <v>5</v>
      </c>
      <c r="L338" s="5">
        <f>DAY(Table1[[#This Row],[Date]])</f>
        <v>14</v>
      </c>
      <c r="M338" s="5" t="str">
        <f t="shared" si="11"/>
        <v>May</v>
      </c>
    </row>
    <row r="339" spans="1:13" x14ac:dyDescent="0.25">
      <c r="A339" s="2">
        <v>38529</v>
      </c>
      <c r="B339" t="s">
        <v>21</v>
      </c>
      <c r="C339" t="s">
        <v>29</v>
      </c>
      <c r="D339" t="s">
        <v>28</v>
      </c>
      <c r="E339" t="s">
        <v>24</v>
      </c>
      <c r="F339" s="3">
        <v>1522.32</v>
      </c>
      <c r="G339" s="3">
        <v>3382.93</v>
      </c>
      <c r="H339" s="3">
        <f>Table1[[#This Row],[Sale]]-Table1[[#This Row],[Cost]]</f>
        <v>1860.61</v>
      </c>
      <c r="I339" s="4">
        <f>Table1[[#This Row],[Profit]]/Table1[[#This Row],[Sale]]</f>
        <v>0.54999955659738742</v>
      </c>
      <c r="J339" s="5">
        <f t="shared" si="10"/>
        <v>2005</v>
      </c>
      <c r="K339" s="5">
        <f>MONTH(Table1[[#This Row],[Date]])</f>
        <v>6</v>
      </c>
      <c r="L339" s="5">
        <f>DAY(Table1[[#This Row],[Date]])</f>
        <v>26</v>
      </c>
      <c r="M339" s="5" t="str">
        <f t="shared" si="11"/>
        <v>Jun</v>
      </c>
    </row>
    <row r="340" spans="1:13" x14ac:dyDescent="0.25">
      <c r="A340" s="2">
        <v>38780</v>
      </c>
      <c r="B340" t="s">
        <v>21</v>
      </c>
      <c r="C340" t="s">
        <v>23</v>
      </c>
      <c r="D340" t="s">
        <v>16</v>
      </c>
      <c r="E340" t="s">
        <v>25</v>
      </c>
      <c r="F340" s="3">
        <v>5659.94</v>
      </c>
      <c r="G340" s="3">
        <v>7546.58</v>
      </c>
      <c r="H340" s="3">
        <f>Table1[[#This Row],[Sale]]-Table1[[#This Row],[Cost]]</f>
        <v>1886.6400000000003</v>
      </c>
      <c r="I340" s="4">
        <f>Table1[[#This Row],[Profit]]/Table1[[#This Row],[Sale]]</f>
        <v>0.24999933744822161</v>
      </c>
      <c r="J340" s="5">
        <f t="shared" si="10"/>
        <v>2006</v>
      </c>
      <c r="K340" s="5">
        <f>MONTH(Table1[[#This Row],[Date]])</f>
        <v>3</v>
      </c>
      <c r="L340" s="5">
        <f>DAY(Table1[[#This Row],[Date]])</f>
        <v>4</v>
      </c>
      <c r="M340" s="5" t="str">
        <f t="shared" si="11"/>
        <v>Mar</v>
      </c>
    </row>
    <row r="341" spans="1:13" x14ac:dyDescent="0.25">
      <c r="A341" s="2">
        <v>38644</v>
      </c>
      <c r="B341" t="s">
        <v>11</v>
      </c>
      <c r="C341" t="s">
        <v>12</v>
      </c>
      <c r="D341" t="s">
        <v>13</v>
      </c>
      <c r="E341" t="s">
        <v>25</v>
      </c>
      <c r="F341" s="3">
        <v>1097.83</v>
      </c>
      <c r="G341" s="3">
        <v>2553.1</v>
      </c>
      <c r="H341" s="3">
        <f>Table1[[#This Row],[Sale]]-Table1[[#This Row],[Cost]]</f>
        <v>1455.27</v>
      </c>
      <c r="I341" s="4">
        <f>Table1[[#This Row],[Profit]]/Table1[[#This Row],[Sale]]</f>
        <v>0.57000117504210568</v>
      </c>
      <c r="J341" s="5">
        <f t="shared" si="10"/>
        <v>2005</v>
      </c>
      <c r="K341" s="5">
        <f>MONTH(Table1[[#This Row],[Date]])</f>
        <v>10</v>
      </c>
      <c r="L341" s="5">
        <f>DAY(Table1[[#This Row],[Date]])</f>
        <v>19</v>
      </c>
      <c r="M341" s="5" t="str">
        <f t="shared" si="11"/>
        <v>Oct</v>
      </c>
    </row>
    <row r="342" spans="1:13" x14ac:dyDescent="0.25">
      <c r="A342" s="2">
        <v>38157</v>
      </c>
      <c r="B342" t="s">
        <v>21</v>
      </c>
      <c r="C342" t="s">
        <v>12</v>
      </c>
      <c r="D342" t="s">
        <v>16</v>
      </c>
      <c r="E342" t="s">
        <v>24</v>
      </c>
      <c r="F342" s="3">
        <v>581.01</v>
      </c>
      <c r="G342" s="3">
        <v>854.43</v>
      </c>
      <c r="H342" s="3">
        <f>Table1[[#This Row],[Sale]]-Table1[[#This Row],[Cost]]</f>
        <v>273.41999999999996</v>
      </c>
      <c r="I342" s="4">
        <f>Table1[[#This Row],[Profit]]/Table1[[#This Row],[Sale]]</f>
        <v>0.32000280889013727</v>
      </c>
      <c r="J342" s="5">
        <f t="shared" si="10"/>
        <v>2004</v>
      </c>
      <c r="K342" s="5">
        <f>MONTH(Table1[[#This Row],[Date]])</f>
        <v>6</v>
      </c>
      <c r="L342" s="5">
        <f>DAY(Table1[[#This Row],[Date]])</f>
        <v>19</v>
      </c>
      <c r="M342" s="5" t="str">
        <f t="shared" si="11"/>
        <v>Jun</v>
      </c>
    </row>
    <row r="343" spans="1:13" x14ac:dyDescent="0.25">
      <c r="A343" s="2">
        <v>38745</v>
      </c>
      <c r="B343" t="s">
        <v>26</v>
      </c>
      <c r="C343" t="s">
        <v>18</v>
      </c>
      <c r="D343" t="s">
        <v>28</v>
      </c>
      <c r="E343" t="s">
        <v>14</v>
      </c>
      <c r="F343" s="3">
        <v>3277.45</v>
      </c>
      <c r="G343" s="3">
        <v>3505.29</v>
      </c>
      <c r="H343" s="3">
        <f>Table1[[#This Row],[Sale]]-Table1[[#This Row],[Cost]]</f>
        <v>227.84000000000015</v>
      </c>
      <c r="I343" s="4">
        <f>Table1[[#This Row],[Profit]]/Table1[[#This Row],[Sale]]</f>
        <v>6.4998901660062405E-2</v>
      </c>
      <c r="J343" s="5">
        <f t="shared" si="10"/>
        <v>2006</v>
      </c>
      <c r="K343" s="5">
        <f>MONTH(Table1[[#This Row],[Date]])</f>
        <v>1</v>
      </c>
      <c r="L343" s="5">
        <f>DAY(Table1[[#This Row],[Date]])</f>
        <v>28</v>
      </c>
      <c r="M343" s="5" t="str">
        <f t="shared" si="11"/>
        <v>Jan</v>
      </c>
    </row>
    <row r="344" spans="1:13" x14ac:dyDescent="0.25">
      <c r="A344" s="2">
        <v>38307</v>
      </c>
      <c r="B344" t="s">
        <v>22</v>
      </c>
      <c r="C344" t="s">
        <v>27</v>
      </c>
      <c r="D344" t="s">
        <v>16</v>
      </c>
      <c r="E344" t="s">
        <v>20</v>
      </c>
      <c r="F344" s="3">
        <v>3608.38</v>
      </c>
      <c r="G344" s="3">
        <v>8018.63</v>
      </c>
      <c r="H344" s="3">
        <f>Table1[[#This Row],[Sale]]-Table1[[#This Row],[Cost]]</f>
        <v>4410.25</v>
      </c>
      <c r="I344" s="4">
        <f>Table1[[#This Row],[Profit]]/Table1[[#This Row],[Sale]]</f>
        <v>0.55000043648353891</v>
      </c>
      <c r="J344" s="5">
        <f t="shared" si="10"/>
        <v>2004</v>
      </c>
      <c r="K344" s="5">
        <f>MONTH(Table1[[#This Row],[Date]])</f>
        <v>11</v>
      </c>
      <c r="L344" s="5">
        <f>DAY(Table1[[#This Row],[Date]])</f>
        <v>16</v>
      </c>
      <c r="M344" s="5" t="str">
        <f t="shared" si="11"/>
        <v>Nov</v>
      </c>
    </row>
    <row r="345" spans="1:13" x14ac:dyDescent="0.25">
      <c r="A345" s="2">
        <v>38865</v>
      </c>
      <c r="B345" t="s">
        <v>22</v>
      </c>
      <c r="C345" t="s">
        <v>18</v>
      </c>
      <c r="D345" t="s">
        <v>19</v>
      </c>
      <c r="E345" t="s">
        <v>20</v>
      </c>
      <c r="F345" s="3">
        <v>1075.8900000000001</v>
      </c>
      <c r="G345" s="3">
        <v>2502.0700000000002</v>
      </c>
      <c r="H345" s="3">
        <f>Table1[[#This Row],[Sale]]-Table1[[#This Row],[Cost]]</f>
        <v>1426.18</v>
      </c>
      <c r="I345" s="4">
        <f>Table1[[#This Row],[Profit]]/Table1[[#This Row],[Sale]]</f>
        <v>0.5700000399669074</v>
      </c>
      <c r="J345" s="5">
        <f t="shared" si="10"/>
        <v>2006</v>
      </c>
      <c r="K345" s="5">
        <f>MONTH(Table1[[#This Row],[Date]])</f>
        <v>5</v>
      </c>
      <c r="L345" s="5">
        <f>DAY(Table1[[#This Row],[Date]])</f>
        <v>28</v>
      </c>
      <c r="M345" s="5" t="str">
        <f t="shared" si="11"/>
        <v>May</v>
      </c>
    </row>
    <row r="346" spans="1:13" x14ac:dyDescent="0.25">
      <c r="A346" s="2">
        <v>38251</v>
      </c>
      <c r="B346" t="s">
        <v>21</v>
      </c>
      <c r="C346" t="s">
        <v>18</v>
      </c>
      <c r="D346" t="s">
        <v>28</v>
      </c>
      <c r="E346" t="s">
        <v>25</v>
      </c>
      <c r="F346" s="3">
        <v>1101.1400000000001</v>
      </c>
      <c r="G346" s="3">
        <v>2976.06</v>
      </c>
      <c r="H346" s="3">
        <f>Table1[[#This Row],[Sale]]-Table1[[#This Row],[Cost]]</f>
        <v>1874.9199999999998</v>
      </c>
      <c r="I346" s="4">
        <f>Table1[[#This Row],[Profit]]/Table1[[#This Row],[Sale]]</f>
        <v>0.63000073923240796</v>
      </c>
      <c r="J346" s="5">
        <f t="shared" si="10"/>
        <v>2004</v>
      </c>
      <c r="K346" s="5">
        <f>MONTH(Table1[[#This Row],[Date]])</f>
        <v>9</v>
      </c>
      <c r="L346" s="5">
        <f>DAY(Table1[[#This Row],[Date]])</f>
        <v>21</v>
      </c>
      <c r="M346" s="5" t="str">
        <f t="shared" si="11"/>
        <v>Sep</v>
      </c>
    </row>
    <row r="347" spans="1:13" x14ac:dyDescent="0.25">
      <c r="A347" s="2">
        <v>38328</v>
      </c>
      <c r="B347" t="s">
        <v>21</v>
      </c>
      <c r="C347" t="s">
        <v>23</v>
      </c>
      <c r="D347" t="s">
        <v>28</v>
      </c>
      <c r="E347" t="s">
        <v>24</v>
      </c>
      <c r="F347" s="3">
        <v>3845.55</v>
      </c>
      <c r="G347" s="3">
        <v>6991.91</v>
      </c>
      <c r="H347" s="3">
        <f>Table1[[#This Row],[Sale]]-Table1[[#This Row],[Cost]]</f>
        <v>3146.3599999999997</v>
      </c>
      <c r="I347" s="4">
        <f>Table1[[#This Row],[Profit]]/Table1[[#This Row],[Sale]]</f>
        <v>0.4500000715112179</v>
      </c>
      <c r="J347" s="5">
        <f t="shared" si="10"/>
        <v>2004</v>
      </c>
      <c r="K347" s="5">
        <f>MONTH(Table1[[#This Row],[Date]])</f>
        <v>12</v>
      </c>
      <c r="L347" s="5">
        <f>DAY(Table1[[#This Row],[Date]])</f>
        <v>7</v>
      </c>
      <c r="M347" s="5" t="str">
        <f t="shared" si="11"/>
        <v>Dec</v>
      </c>
    </row>
    <row r="348" spans="1:13" x14ac:dyDescent="0.25">
      <c r="A348" s="2">
        <v>38321</v>
      </c>
      <c r="B348" t="s">
        <v>22</v>
      </c>
      <c r="C348" t="s">
        <v>27</v>
      </c>
      <c r="D348" t="s">
        <v>16</v>
      </c>
      <c r="E348" t="s">
        <v>25</v>
      </c>
      <c r="F348" s="3">
        <v>6286.98</v>
      </c>
      <c r="G348" s="3">
        <v>7144.29</v>
      </c>
      <c r="H348" s="3">
        <f>Table1[[#This Row],[Sale]]-Table1[[#This Row],[Cost]]</f>
        <v>857.3100000000004</v>
      </c>
      <c r="I348" s="4">
        <f>Table1[[#This Row],[Profit]]/Table1[[#This Row],[Sale]]</f>
        <v>0.11999932813477622</v>
      </c>
      <c r="J348" s="5">
        <f t="shared" si="10"/>
        <v>2004</v>
      </c>
      <c r="K348" s="5">
        <f>MONTH(Table1[[#This Row],[Date]])</f>
        <v>11</v>
      </c>
      <c r="L348" s="5">
        <f>DAY(Table1[[#This Row],[Date]])</f>
        <v>30</v>
      </c>
      <c r="M348" s="5" t="str">
        <f t="shared" si="11"/>
        <v>Nov</v>
      </c>
    </row>
    <row r="349" spans="1:13" x14ac:dyDescent="0.25">
      <c r="A349" s="2">
        <v>38569</v>
      </c>
      <c r="B349" t="s">
        <v>26</v>
      </c>
      <c r="C349" t="s">
        <v>29</v>
      </c>
      <c r="D349" t="s">
        <v>13</v>
      </c>
      <c r="E349" t="s">
        <v>14</v>
      </c>
      <c r="F349" s="3">
        <v>3234.79</v>
      </c>
      <c r="G349" s="3">
        <v>4757.04</v>
      </c>
      <c r="H349" s="3">
        <f>Table1[[#This Row],[Sale]]-Table1[[#This Row],[Cost]]</f>
        <v>1522.25</v>
      </c>
      <c r="I349" s="4">
        <f>Table1[[#This Row],[Profit]]/Table1[[#This Row],[Sale]]</f>
        <v>0.31999941139868487</v>
      </c>
      <c r="J349" s="5">
        <f t="shared" si="10"/>
        <v>2005</v>
      </c>
      <c r="K349" s="5">
        <f>MONTH(Table1[[#This Row],[Date]])</f>
        <v>8</v>
      </c>
      <c r="L349" s="5">
        <f>DAY(Table1[[#This Row],[Date]])</f>
        <v>5</v>
      </c>
      <c r="M349" s="5" t="str">
        <f t="shared" si="11"/>
        <v>Aug</v>
      </c>
    </row>
    <row r="350" spans="1:13" x14ac:dyDescent="0.25">
      <c r="A350" s="2">
        <v>38841</v>
      </c>
      <c r="B350" t="s">
        <v>11</v>
      </c>
      <c r="C350" t="s">
        <v>23</v>
      </c>
      <c r="D350" t="s">
        <v>13</v>
      </c>
      <c r="E350" t="s">
        <v>14</v>
      </c>
      <c r="F350" s="3">
        <v>5376.26</v>
      </c>
      <c r="G350" s="3">
        <v>9112.31</v>
      </c>
      <c r="H350" s="3">
        <f>Table1[[#This Row],[Sale]]-Table1[[#This Row],[Cost]]</f>
        <v>3736.0499999999993</v>
      </c>
      <c r="I350" s="4">
        <f>Table1[[#This Row],[Profit]]/Table1[[#This Row],[Sale]]</f>
        <v>0.41000031825080574</v>
      </c>
      <c r="J350" s="5">
        <f t="shared" si="10"/>
        <v>2006</v>
      </c>
      <c r="K350" s="5">
        <f>MONTH(Table1[[#This Row],[Date]])</f>
        <v>5</v>
      </c>
      <c r="L350" s="5">
        <f>DAY(Table1[[#This Row],[Date]])</f>
        <v>4</v>
      </c>
      <c r="M350" s="5" t="str">
        <f t="shared" si="11"/>
        <v>May</v>
      </c>
    </row>
    <row r="351" spans="1:13" x14ac:dyDescent="0.25">
      <c r="A351" s="2">
        <v>38802</v>
      </c>
      <c r="B351" t="s">
        <v>15</v>
      </c>
      <c r="C351" t="s">
        <v>18</v>
      </c>
      <c r="D351" t="s">
        <v>13</v>
      </c>
      <c r="E351" t="s">
        <v>14</v>
      </c>
      <c r="F351" s="3">
        <v>1404.55</v>
      </c>
      <c r="G351" s="3">
        <v>2421.63</v>
      </c>
      <c r="H351" s="3">
        <f>Table1[[#This Row],[Sale]]-Table1[[#This Row],[Cost]]</f>
        <v>1017.0800000000002</v>
      </c>
      <c r="I351" s="4">
        <f>Table1[[#This Row],[Profit]]/Table1[[#This Row],[Sale]]</f>
        <v>0.41999810045300073</v>
      </c>
      <c r="J351" s="5">
        <f t="shared" si="10"/>
        <v>2006</v>
      </c>
      <c r="K351" s="5">
        <f>MONTH(Table1[[#This Row],[Date]])</f>
        <v>3</v>
      </c>
      <c r="L351" s="5">
        <f>DAY(Table1[[#This Row],[Date]])</f>
        <v>26</v>
      </c>
      <c r="M351" s="5" t="str">
        <f t="shared" si="11"/>
        <v>Mar</v>
      </c>
    </row>
    <row r="352" spans="1:13" x14ac:dyDescent="0.25">
      <c r="A352" s="2">
        <v>38627</v>
      </c>
      <c r="B352" t="s">
        <v>22</v>
      </c>
      <c r="C352" t="s">
        <v>29</v>
      </c>
      <c r="D352" t="s">
        <v>19</v>
      </c>
      <c r="E352" t="s">
        <v>14</v>
      </c>
      <c r="F352" s="3">
        <v>167.96</v>
      </c>
      <c r="G352" s="3">
        <v>390.61</v>
      </c>
      <c r="H352" s="3">
        <f>Table1[[#This Row],[Sale]]-Table1[[#This Row],[Cost]]</f>
        <v>222.65</v>
      </c>
      <c r="I352" s="4">
        <f>Table1[[#This Row],[Profit]]/Table1[[#This Row],[Sale]]</f>
        <v>0.57000588822610787</v>
      </c>
      <c r="J352" s="5">
        <f t="shared" si="10"/>
        <v>2005</v>
      </c>
      <c r="K352" s="5">
        <f>MONTH(Table1[[#This Row],[Date]])</f>
        <v>10</v>
      </c>
      <c r="L352" s="5">
        <f>DAY(Table1[[#This Row],[Date]])</f>
        <v>2</v>
      </c>
      <c r="M352" s="5" t="str">
        <f t="shared" si="11"/>
        <v>Oct</v>
      </c>
    </row>
    <row r="353" spans="1:13" x14ac:dyDescent="0.25">
      <c r="A353" s="2">
        <v>38634</v>
      </c>
      <c r="B353" t="s">
        <v>21</v>
      </c>
      <c r="C353" t="s">
        <v>12</v>
      </c>
      <c r="D353" t="s">
        <v>13</v>
      </c>
      <c r="E353" t="s">
        <v>24</v>
      </c>
      <c r="F353" s="3">
        <v>2718.95</v>
      </c>
      <c r="G353" s="3">
        <v>6323.13</v>
      </c>
      <c r="H353" s="3">
        <f>Table1[[#This Row],[Sale]]-Table1[[#This Row],[Cost]]</f>
        <v>3604.1800000000003</v>
      </c>
      <c r="I353" s="4">
        <f>Table1[[#This Row],[Profit]]/Table1[[#This Row],[Sale]]</f>
        <v>0.56999935158695147</v>
      </c>
      <c r="J353" s="5">
        <f t="shared" si="10"/>
        <v>2005</v>
      </c>
      <c r="K353" s="5">
        <f>MONTH(Table1[[#This Row],[Date]])</f>
        <v>10</v>
      </c>
      <c r="L353" s="5">
        <f>DAY(Table1[[#This Row],[Date]])</f>
        <v>9</v>
      </c>
      <c r="M353" s="5" t="str">
        <f t="shared" si="11"/>
        <v>Oct</v>
      </c>
    </row>
    <row r="354" spans="1:13" x14ac:dyDescent="0.25">
      <c r="A354" s="2">
        <v>38451</v>
      </c>
      <c r="B354" t="s">
        <v>11</v>
      </c>
      <c r="C354" t="s">
        <v>27</v>
      </c>
      <c r="D354" t="s">
        <v>19</v>
      </c>
      <c r="E354" t="s">
        <v>20</v>
      </c>
      <c r="F354" s="3">
        <v>4048.58</v>
      </c>
      <c r="G354" s="3">
        <v>5953.8</v>
      </c>
      <c r="H354" s="3">
        <f>Table1[[#This Row],[Sale]]-Table1[[#This Row],[Cost]]</f>
        <v>1905.2200000000003</v>
      </c>
      <c r="I354" s="4">
        <f>Table1[[#This Row],[Profit]]/Table1[[#This Row],[Sale]]</f>
        <v>0.32000067183983344</v>
      </c>
      <c r="J354" s="5">
        <f t="shared" si="10"/>
        <v>2005</v>
      </c>
      <c r="K354" s="5">
        <f>MONTH(Table1[[#This Row],[Date]])</f>
        <v>4</v>
      </c>
      <c r="L354" s="5">
        <f>DAY(Table1[[#This Row],[Date]])</f>
        <v>9</v>
      </c>
      <c r="M354" s="5" t="str">
        <f t="shared" si="11"/>
        <v>Apr</v>
      </c>
    </row>
    <row r="355" spans="1:13" x14ac:dyDescent="0.25">
      <c r="A355" s="2">
        <v>38737</v>
      </c>
      <c r="B355" t="s">
        <v>15</v>
      </c>
      <c r="C355" t="s">
        <v>18</v>
      </c>
      <c r="D355" t="s">
        <v>13</v>
      </c>
      <c r="E355" t="s">
        <v>25</v>
      </c>
      <c r="F355" s="3">
        <v>669.45</v>
      </c>
      <c r="G355" s="3">
        <v>892.6</v>
      </c>
      <c r="H355" s="3">
        <f>Table1[[#This Row],[Sale]]-Table1[[#This Row],[Cost]]</f>
        <v>223.14999999999998</v>
      </c>
      <c r="I355" s="4">
        <f>Table1[[#This Row],[Profit]]/Table1[[#This Row],[Sale]]</f>
        <v>0.24999999999999997</v>
      </c>
      <c r="J355" s="5">
        <f t="shared" si="10"/>
        <v>2006</v>
      </c>
      <c r="K355" s="5">
        <f>MONTH(Table1[[#This Row],[Date]])</f>
        <v>1</v>
      </c>
      <c r="L355" s="5">
        <f>DAY(Table1[[#This Row],[Date]])</f>
        <v>20</v>
      </c>
      <c r="M355" s="5" t="str">
        <f t="shared" si="11"/>
        <v>Jan</v>
      </c>
    </row>
    <row r="356" spans="1:13" x14ac:dyDescent="0.25">
      <c r="A356" s="2">
        <v>38481</v>
      </c>
      <c r="B356" t="s">
        <v>17</v>
      </c>
      <c r="C356" t="s">
        <v>27</v>
      </c>
      <c r="D356" t="s">
        <v>16</v>
      </c>
      <c r="E356" t="s">
        <v>25</v>
      </c>
      <c r="F356" s="3">
        <v>810.83</v>
      </c>
      <c r="G356" s="3">
        <v>1192.3900000000001</v>
      </c>
      <c r="H356" s="3">
        <f>Table1[[#This Row],[Sale]]-Table1[[#This Row],[Cost]]</f>
        <v>381.56000000000006</v>
      </c>
      <c r="I356" s="4">
        <f>Table1[[#This Row],[Profit]]/Table1[[#This Row],[Sale]]</f>
        <v>0.31999597447143974</v>
      </c>
      <c r="J356" s="5">
        <f t="shared" si="10"/>
        <v>2005</v>
      </c>
      <c r="K356" s="5">
        <f>MONTH(Table1[[#This Row],[Date]])</f>
        <v>5</v>
      </c>
      <c r="L356" s="5">
        <f>DAY(Table1[[#This Row],[Date]])</f>
        <v>9</v>
      </c>
      <c r="M356" s="5" t="str">
        <f t="shared" si="11"/>
        <v>May</v>
      </c>
    </row>
    <row r="357" spans="1:13" x14ac:dyDescent="0.25">
      <c r="A357" s="2">
        <v>38245</v>
      </c>
      <c r="B357" t="s">
        <v>26</v>
      </c>
      <c r="C357" t="s">
        <v>23</v>
      </c>
      <c r="D357" t="s">
        <v>13</v>
      </c>
      <c r="E357" t="s">
        <v>25</v>
      </c>
      <c r="F357" s="3">
        <v>2600.4899999999998</v>
      </c>
      <c r="G357" s="3">
        <v>7028.34</v>
      </c>
      <c r="H357" s="3">
        <f>Table1[[#This Row],[Sale]]-Table1[[#This Row],[Cost]]</f>
        <v>4427.8500000000004</v>
      </c>
      <c r="I357" s="4">
        <f>Table1[[#This Row],[Profit]]/Table1[[#This Row],[Sale]]</f>
        <v>0.62999940241934804</v>
      </c>
      <c r="J357" s="5">
        <f t="shared" si="10"/>
        <v>2004</v>
      </c>
      <c r="K357" s="5">
        <f>MONTH(Table1[[#This Row],[Date]])</f>
        <v>9</v>
      </c>
      <c r="L357" s="5">
        <f>DAY(Table1[[#This Row],[Date]])</f>
        <v>15</v>
      </c>
      <c r="M357" s="5" t="str">
        <f t="shared" si="11"/>
        <v>Sep</v>
      </c>
    </row>
    <row r="358" spans="1:13" x14ac:dyDescent="0.25">
      <c r="A358" s="2">
        <v>38868</v>
      </c>
      <c r="B358" t="s">
        <v>15</v>
      </c>
      <c r="C358" t="s">
        <v>29</v>
      </c>
      <c r="D358" t="s">
        <v>19</v>
      </c>
      <c r="E358" t="s">
        <v>14</v>
      </c>
      <c r="F358" s="3">
        <v>4494.45</v>
      </c>
      <c r="G358" s="3">
        <v>9987.66</v>
      </c>
      <c r="H358" s="3">
        <f>Table1[[#This Row],[Sale]]-Table1[[#This Row],[Cost]]</f>
        <v>5493.21</v>
      </c>
      <c r="I358" s="4">
        <f>Table1[[#This Row],[Profit]]/Table1[[#This Row],[Sale]]</f>
        <v>0.54999969962934259</v>
      </c>
      <c r="J358" s="5">
        <f t="shared" si="10"/>
        <v>2006</v>
      </c>
      <c r="K358" s="5">
        <f>MONTH(Table1[[#This Row],[Date]])</f>
        <v>5</v>
      </c>
      <c r="L358" s="5">
        <f>DAY(Table1[[#This Row],[Date]])</f>
        <v>31</v>
      </c>
      <c r="M358" s="5" t="str">
        <f t="shared" si="11"/>
        <v>May</v>
      </c>
    </row>
    <row r="359" spans="1:13" x14ac:dyDescent="0.25">
      <c r="A359" s="2">
        <v>38364</v>
      </c>
      <c r="B359" t="s">
        <v>26</v>
      </c>
      <c r="C359" t="s">
        <v>23</v>
      </c>
      <c r="D359" t="s">
        <v>13</v>
      </c>
      <c r="E359" t="s">
        <v>24</v>
      </c>
      <c r="F359" s="3">
        <v>975.35</v>
      </c>
      <c r="G359" s="3">
        <v>2636.08</v>
      </c>
      <c r="H359" s="3">
        <f>Table1[[#This Row],[Sale]]-Table1[[#This Row],[Cost]]</f>
        <v>1660.73</v>
      </c>
      <c r="I359" s="4">
        <f>Table1[[#This Row],[Profit]]/Table1[[#This Row],[Sale]]</f>
        <v>0.62999984825953692</v>
      </c>
      <c r="J359" s="5">
        <f t="shared" si="10"/>
        <v>2005</v>
      </c>
      <c r="K359" s="5">
        <f>MONTH(Table1[[#This Row],[Date]])</f>
        <v>1</v>
      </c>
      <c r="L359" s="5">
        <f>DAY(Table1[[#This Row],[Date]])</f>
        <v>12</v>
      </c>
      <c r="M359" s="5" t="str">
        <f t="shared" si="11"/>
        <v>Jan</v>
      </c>
    </row>
    <row r="360" spans="1:13" x14ac:dyDescent="0.25">
      <c r="A360" s="2">
        <v>38637</v>
      </c>
      <c r="B360" t="s">
        <v>22</v>
      </c>
      <c r="C360" t="s">
        <v>23</v>
      </c>
      <c r="D360" t="s">
        <v>13</v>
      </c>
      <c r="E360" t="s">
        <v>20</v>
      </c>
      <c r="F360" s="3">
        <v>303.97000000000003</v>
      </c>
      <c r="G360" s="3">
        <v>515.21</v>
      </c>
      <c r="H360" s="3">
        <f>Table1[[#This Row],[Sale]]-Table1[[#This Row],[Cost]]</f>
        <v>211.24</v>
      </c>
      <c r="I360" s="4">
        <f>Table1[[#This Row],[Profit]]/Table1[[#This Row],[Sale]]</f>
        <v>0.41000756972884844</v>
      </c>
      <c r="J360" s="5">
        <f t="shared" si="10"/>
        <v>2005</v>
      </c>
      <c r="K360" s="5">
        <f>MONTH(Table1[[#This Row],[Date]])</f>
        <v>10</v>
      </c>
      <c r="L360" s="5">
        <f>DAY(Table1[[#This Row],[Date]])</f>
        <v>12</v>
      </c>
      <c r="M360" s="5" t="str">
        <f t="shared" si="11"/>
        <v>Oct</v>
      </c>
    </row>
    <row r="361" spans="1:13" x14ac:dyDescent="0.25">
      <c r="A361" s="2">
        <v>38741</v>
      </c>
      <c r="B361" t="s">
        <v>11</v>
      </c>
      <c r="C361" t="s">
        <v>27</v>
      </c>
      <c r="D361" t="s">
        <v>16</v>
      </c>
      <c r="E361" t="s">
        <v>20</v>
      </c>
      <c r="F361" s="3">
        <v>4083.18</v>
      </c>
      <c r="G361" s="3">
        <v>9495.77</v>
      </c>
      <c r="H361" s="3">
        <f>Table1[[#This Row],[Sale]]-Table1[[#This Row],[Cost]]</f>
        <v>5412.59</v>
      </c>
      <c r="I361" s="4">
        <f>Table1[[#This Row],[Profit]]/Table1[[#This Row],[Sale]]</f>
        <v>0.57000011584105348</v>
      </c>
      <c r="J361" s="5">
        <f t="shared" si="10"/>
        <v>2006</v>
      </c>
      <c r="K361" s="5">
        <f>MONTH(Table1[[#This Row],[Date]])</f>
        <v>1</v>
      </c>
      <c r="L361" s="5">
        <f>DAY(Table1[[#This Row],[Date]])</f>
        <v>24</v>
      </c>
      <c r="M361" s="5" t="str">
        <f t="shared" si="11"/>
        <v>Jan</v>
      </c>
    </row>
    <row r="362" spans="1:13" x14ac:dyDescent="0.25">
      <c r="A362" s="2">
        <v>38572</v>
      </c>
      <c r="B362" t="s">
        <v>15</v>
      </c>
      <c r="C362" t="s">
        <v>18</v>
      </c>
      <c r="D362" t="s">
        <v>19</v>
      </c>
      <c r="E362" t="s">
        <v>25</v>
      </c>
      <c r="F362" s="3">
        <v>5623.76</v>
      </c>
      <c r="G362" s="3">
        <v>9531.7999999999993</v>
      </c>
      <c r="H362" s="3">
        <f>Table1[[#This Row],[Sale]]-Table1[[#This Row],[Cost]]</f>
        <v>3908.0399999999991</v>
      </c>
      <c r="I362" s="4">
        <f>Table1[[#This Row],[Profit]]/Table1[[#This Row],[Sale]]</f>
        <v>0.41000020982395763</v>
      </c>
      <c r="J362" s="5">
        <f t="shared" si="10"/>
        <v>2005</v>
      </c>
      <c r="K362" s="5">
        <f>MONTH(Table1[[#This Row],[Date]])</f>
        <v>8</v>
      </c>
      <c r="L362" s="5">
        <f>DAY(Table1[[#This Row],[Date]])</f>
        <v>8</v>
      </c>
      <c r="M362" s="5" t="str">
        <f t="shared" si="11"/>
        <v>Aug</v>
      </c>
    </row>
    <row r="363" spans="1:13" x14ac:dyDescent="0.25">
      <c r="A363" s="2">
        <v>38625</v>
      </c>
      <c r="B363" t="s">
        <v>26</v>
      </c>
      <c r="C363" t="s">
        <v>29</v>
      </c>
      <c r="D363" t="s">
        <v>16</v>
      </c>
      <c r="E363" t="s">
        <v>20</v>
      </c>
      <c r="F363" s="3">
        <v>472.38</v>
      </c>
      <c r="G363" s="3">
        <v>1049.73</v>
      </c>
      <c r="H363" s="3">
        <f>Table1[[#This Row],[Sale]]-Table1[[#This Row],[Cost]]</f>
        <v>577.35</v>
      </c>
      <c r="I363" s="4">
        <f>Table1[[#This Row],[Profit]]/Table1[[#This Row],[Sale]]</f>
        <v>0.54999857106113004</v>
      </c>
      <c r="J363" s="5">
        <f t="shared" si="10"/>
        <v>2005</v>
      </c>
      <c r="K363" s="5">
        <f>MONTH(Table1[[#This Row],[Date]])</f>
        <v>9</v>
      </c>
      <c r="L363" s="5">
        <f>DAY(Table1[[#This Row],[Date]])</f>
        <v>30</v>
      </c>
      <c r="M363" s="5" t="str">
        <f t="shared" si="11"/>
        <v>Sep</v>
      </c>
    </row>
    <row r="364" spans="1:13" x14ac:dyDescent="0.25">
      <c r="A364" s="2">
        <v>38415</v>
      </c>
      <c r="B364" t="s">
        <v>11</v>
      </c>
      <c r="C364" t="s">
        <v>12</v>
      </c>
      <c r="D364" t="s">
        <v>28</v>
      </c>
      <c r="E364" t="s">
        <v>24</v>
      </c>
      <c r="F364" s="3">
        <v>5245.71</v>
      </c>
      <c r="G364" s="3">
        <v>5610.38</v>
      </c>
      <c r="H364" s="3">
        <f>Table1[[#This Row],[Sale]]-Table1[[#This Row],[Cost]]</f>
        <v>364.67000000000007</v>
      </c>
      <c r="I364" s="4">
        <f>Table1[[#This Row],[Profit]]/Table1[[#This Row],[Sale]]</f>
        <v>6.4999162267083521E-2</v>
      </c>
      <c r="J364" s="5">
        <f t="shared" si="10"/>
        <v>2005</v>
      </c>
      <c r="K364" s="5">
        <f>MONTH(Table1[[#This Row],[Date]])</f>
        <v>3</v>
      </c>
      <c r="L364" s="5">
        <f>DAY(Table1[[#This Row],[Date]])</f>
        <v>4</v>
      </c>
      <c r="M364" s="5" t="str">
        <f t="shared" si="11"/>
        <v>Mar</v>
      </c>
    </row>
    <row r="365" spans="1:13" x14ac:dyDescent="0.25">
      <c r="A365" s="2">
        <v>38202</v>
      </c>
      <c r="B365" t="s">
        <v>15</v>
      </c>
      <c r="C365" t="s">
        <v>27</v>
      </c>
      <c r="D365" t="s">
        <v>13</v>
      </c>
      <c r="E365" t="s">
        <v>25</v>
      </c>
      <c r="F365" s="3">
        <v>1281.18</v>
      </c>
      <c r="G365" s="3">
        <v>3462.65</v>
      </c>
      <c r="H365" s="3">
        <f>Table1[[#This Row],[Sale]]-Table1[[#This Row],[Cost]]</f>
        <v>2181.4700000000003</v>
      </c>
      <c r="I365" s="4">
        <f>Table1[[#This Row],[Profit]]/Table1[[#This Row],[Sale]]</f>
        <v>0.63000014439807672</v>
      </c>
      <c r="J365" s="5">
        <f t="shared" si="10"/>
        <v>2004</v>
      </c>
      <c r="K365" s="5">
        <f>MONTH(Table1[[#This Row],[Date]])</f>
        <v>8</v>
      </c>
      <c r="L365" s="5">
        <f>DAY(Table1[[#This Row],[Date]])</f>
        <v>3</v>
      </c>
      <c r="M365" s="5" t="str">
        <f t="shared" si="11"/>
        <v>Aug</v>
      </c>
    </row>
    <row r="366" spans="1:13" x14ac:dyDescent="0.25">
      <c r="A366" s="2">
        <v>38423</v>
      </c>
      <c r="B366" t="s">
        <v>15</v>
      </c>
      <c r="C366" t="s">
        <v>18</v>
      </c>
      <c r="D366" t="s">
        <v>16</v>
      </c>
      <c r="E366" t="s">
        <v>25</v>
      </c>
      <c r="F366" s="3">
        <v>1499.63</v>
      </c>
      <c r="G366" s="3">
        <v>2205.34</v>
      </c>
      <c r="H366" s="3">
        <f>Table1[[#This Row],[Sale]]-Table1[[#This Row],[Cost]]</f>
        <v>705.71</v>
      </c>
      <c r="I366" s="4">
        <f>Table1[[#This Row],[Profit]]/Table1[[#This Row],[Sale]]</f>
        <v>0.32000054413378437</v>
      </c>
      <c r="J366" s="5">
        <f t="shared" si="10"/>
        <v>2005</v>
      </c>
      <c r="K366" s="5">
        <f>MONTH(Table1[[#This Row],[Date]])</f>
        <v>3</v>
      </c>
      <c r="L366" s="5">
        <f>DAY(Table1[[#This Row],[Date]])</f>
        <v>12</v>
      </c>
      <c r="M366" s="5" t="str">
        <f t="shared" si="11"/>
        <v>Mar</v>
      </c>
    </row>
    <row r="367" spans="1:13" x14ac:dyDescent="0.25">
      <c r="A367" s="2">
        <v>38817</v>
      </c>
      <c r="B367" t="s">
        <v>17</v>
      </c>
      <c r="C367" t="s">
        <v>27</v>
      </c>
      <c r="D367" t="s">
        <v>19</v>
      </c>
      <c r="E367" t="s">
        <v>24</v>
      </c>
      <c r="F367" s="3">
        <v>8220.26</v>
      </c>
      <c r="G367" s="3">
        <v>9341.2099999999991</v>
      </c>
      <c r="H367" s="3">
        <f>Table1[[#This Row],[Sale]]-Table1[[#This Row],[Cost]]</f>
        <v>1120.9499999999989</v>
      </c>
      <c r="I367" s="4">
        <f>Table1[[#This Row],[Profit]]/Table1[[#This Row],[Sale]]</f>
        <v>0.12000051385205975</v>
      </c>
      <c r="J367" s="5">
        <f t="shared" si="10"/>
        <v>2006</v>
      </c>
      <c r="K367" s="5">
        <f>MONTH(Table1[[#This Row],[Date]])</f>
        <v>4</v>
      </c>
      <c r="L367" s="5">
        <f>DAY(Table1[[#This Row],[Date]])</f>
        <v>10</v>
      </c>
      <c r="M367" s="5" t="str">
        <f t="shared" si="11"/>
        <v>Apr</v>
      </c>
    </row>
    <row r="368" spans="1:13" x14ac:dyDescent="0.25">
      <c r="A368" s="2">
        <v>38200</v>
      </c>
      <c r="B368" t="s">
        <v>21</v>
      </c>
      <c r="C368" t="s">
        <v>12</v>
      </c>
      <c r="D368" t="s">
        <v>13</v>
      </c>
      <c r="E368" t="s">
        <v>14</v>
      </c>
      <c r="F368" s="3">
        <v>5948.06</v>
      </c>
      <c r="G368" s="3">
        <v>7930.74</v>
      </c>
      <c r="H368" s="3">
        <f>Table1[[#This Row],[Sale]]-Table1[[#This Row],[Cost]]</f>
        <v>1982.6799999999994</v>
      </c>
      <c r="I368" s="4">
        <f>Table1[[#This Row],[Profit]]/Table1[[#This Row],[Sale]]</f>
        <v>0.24999936954180813</v>
      </c>
      <c r="J368" s="5">
        <f t="shared" si="10"/>
        <v>2004</v>
      </c>
      <c r="K368" s="5">
        <f>MONTH(Table1[[#This Row],[Date]])</f>
        <v>8</v>
      </c>
      <c r="L368" s="5">
        <f>DAY(Table1[[#This Row],[Date]])</f>
        <v>1</v>
      </c>
      <c r="M368" s="5" t="str">
        <f t="shared" si="11"/>
        <v>Aug</v>
      </c>
    </row>
    <row r="369" spans="1:13" x14ac:dyDescent="0.25">
      <c r="A369" s="2">
        <v>38462</v>
      </c>
      <c r="B369" t="s">
        <v>26</v>
      </c>
      <c r="C369" t="s">
        <v>23</v>
      </c>
      <c r="D369" t="s">
        <v>28</v>
      </c>
      <c r="E369" t="s">
        <v>25</v>
      </c>
      <c r="F369" s="3">
        <v>640.66</v>
      </c>
      <c r="G369" s="3">
        <v>1085.8699999999999</v>
      </c>
      <c r="H369" s="3">
        <f>Table1[[#This Row],[Sale]]-Table1[[#This Row],[Cost]]</f>
        <v>445.20999999999992</v>
      </c>
      <c r="I369" s="4">
        <f>Table1[[#This Row],[Profit]]/Table1[[#This Row],[Sale]]</f>
        <v>0.4100030390378222</v>
      </c>
      <c r="J369" s="5">
        <f t="shared" si="10"/>
        <v>2005</v>
      </c>
      <c r="K369" s="5">
        <f>MONTH(Table1[[#This Row],[Date]])</f>
        <v>4</v>
      </c>
      <c r="L369" s="5">
        <f>DAY(Table1[[#This Row],[Date]])</f>
        <v>20</v>
      </c>
      <c r="M369" s="5" t="str">
        <f t="shared" si="11"/>
        <v>Apr</v>
      </c>
    </row>
    <row r="370" spans="1:13" x14ac:dyDescent="0.25">
      <c r="A370" s="2">
        <v>38426</v>
      </c>
      <c r="B370" t="s">
        <v>22</v>
      </c>
      <c r="C370" t="s">
        <v>18</v>
      </c>
      <c r="D370" t="s">
        <v>13</v>
      </c>
      <c r="E370" t="s">
        <v>25</v>
      </c>
      <c r="F370" s="3">
        <v>5708.71</v>
      </c>
      <c r="G370" s="3">
        <v>8395.16</v>
      </c>
      <c r="H370" s="3">
        <f>Table1[[#This Row],[Sale]]-Table1[[#This Row],[Cost]]</f>
        <v>2686.45</v>
      </c>
      <c r="I370" s="4">
        <f>Table1[[#This Row],[Profit]]/Table1[[#This Row],[Sale]]</f>
        <v>0.31999985706049677</v>
      </c>
      <c r="J370" s="5">
        <f t="shared" si="10"/>
        <v>2005</v>
      </c>
      <c r="K370" s="5">
        <f>MONTH(Table1[[#This Row],[Date]])</f>
        <v>3</v>
      </c>
      <c r="L370" s="5">
        <f>DAY(Table1[[#This Row],[Date]])</f>
        <v>15</v>
      </c>
      <c r="M370" s="5" t="str">
        <f t="shared" si="11"/>
        <v>Mar</v>
      </c>
    </row>
    <row r="371" spans="1:13" x14ac:dyDescent="0.25">
      <c r="A371" s="2">
        <v>38438</v>
      </c>
      <c r="B371" t="s">
        <v>11</v>
      </c>
      <c r="C371" t="s">
        <v>27</v>
      </c>
      <c r="D371" t="s">
        <v>19</v>
      </c>
      <c r="E371" t="s">
        <v>20</v>
      </c>
      <c r="F371" s="3">
        <v>4901.71</v>
      </c>
      <c r="G371" s="3">
        <v>8307.98</v>
      </c>
      <c r="H371" s="3">
        <f>Table1[[#This Row],[Sale]]-Table1[[#This Row],[Cost]]</f>
        <v>3406.2699999999995</v>
      </c>
      <c r="I371" s="4">
        <f>Table1[[#This Row],[Profit]]/Table1[[#This Row],[Sale]]</f>
        <v>0.40999978334083614</v>
      </c>
      <c r="J371" s="5">
        <f t="shared" si="10"/>
        <v>2005</v>
      </c>
      <c r="K371" s="5">
        <f>MONTH(Table1[[#This Row],[Date]])</f>
        <v>3</v>
      </c>
      <c r="L371" s="5">
        <f>DAY(Table1[[#This Row],[Date]])</f>
        <v>27</v>
      </c>
      <c r="M371" s="5" t="str">
        <f t="shared" si="11"/>
        <v>Mar</v>
      </c>
    </row>
    <row r="372" spans="1:13" x14ac:dyDescent="0.25">
      <c r="A372" s="2">
        <v>38561</v>
      </c>
      <c r="B372" t="s">
        <v>22</v>
      </c>
      <c r="C372" t="s">
        <v>23</v>
      </c>
      <c r="D372" t="s">
        <v>28</v>
      </c>
      <c r="E372" t="s">
        <v>24</v>
      </c>
      <c r="F372" s="3">
        <v>7014.88</v>
      </c>
      <c r="G372" s="3">
        <v>9353.18</v>
      </c>
      <c r="H372" s="3">
        <f>Table1[[#This Row],[Sale]]-Table1[[#This Row],[Cost]]</f>
        <v>2338.3000000000002</v>
      </c>
      <c r="I372" s="4">
        <f>Table1[[#This Row],[Profit]]/Table1[[#This Row],[Sale]]</f>
        <v>0.25000053457754479</v>
      </c>
      <c r="J372" s="5">
        <f t="shared" si="10"/>
        <v>2005</v>
      </c>
      <c r="K372" s="5">
        <f>MONTH(Table1[[#This Row],[Date]])</f>
        <v>7</v>
      </c>
      <c r="L372" s="5">
        <f>DAY(Table1[[#This Row],[Date]])</f>
        <v>28</v>
      </c>
      <c r="M372" s="5" t="str">
        <f t="shared" si="11"/>
        <v>Jul</v>
      </c>
    </row>
    <row r="373" spans="1:13" x14ac:dyDescent="0.25">
      <c r="A373" s="2">
        <v>38169</v>
      </c>
      <c r="B373" t="s">
        <v>26</v>
      </c>
      <c r="C373" t="s">
        <v>23</v>
      </c>
      <c r="D373" t="s">
        <v>13</v>
      </c>
      <c r="E373" t="s">
        <v>20</v>
      </c>
      <c r="F373" s="3">
        <v>2656.34</v>
      </c>
      <c r="G373" s="3">
        <v>4502.2700000000004</v>
      </c>
      <c r="H373" s="3">
        <f>Table1[[#This Row],[Sale]]-Table1[[#This Row],[Cost]]</f>
        <v>1845.9300000000003</v>
      </c>
      <c r="I373" s="4">
        <f>Table1[[#This Row],[Profit]]/Table1[[#This Row],[Sale]]</f>
        <v>0.40999984452287402</v>
      </c>
      <c r="J373" s="5">
        <f t="shared" si="10"/>
        <v>2004</v>
      </c>
      <c r="K373" s="5">
        <f>MONTH(Table1[[#This Row],[Date]])</f>
        <v>7</v>
      </c>
      <c r="L373" s="5">
        <f>DAY(Table1[[#This Row],[Date]])</f>
        <v>1</v>
      </c>
      <c r="M373" s="5" t="str">
        <f t="shared" si="11"/>
        <v>Jul</v>
      </c>
    </row>
    <row r="374" spans="1:13" x14ac:dyDescent="0.25">
      <c r="A374" s="2">
        <v>38548</v>
      </c>
      <c r="B374" t="s">
        <v>26</v>
      </c>
      <c r="C374" t="s">
        <v>23</v>
      </c>
      <c r="D374" t="s">
        <v>19</v>
      </c>
      <c r="E374" t="s">
        <v>20</v>
      </c>
      <c r="F374" s="3">
        <v>989.75</v>
      </c>
      <c r="G374" s="3">
        <v>1677.55</v>
      </c>
      <c r="H374" s="3">
        <f>Table1[[#This Row],[Sale]]-Table1[[#This Row],[Cost]]</f>
        <v>687.8</v>
      </c>
      <c r="I374" s="4">
        <f>Table1[[#This Row],[Profit]]/Table1[[#This Row],[Sale]]</f>
        <v>0.41000268248338351</v>
      </c>
      <c r="J374" s="5">
        <f t="shared" si="10"/>
        <v>2005</v>
      </c>
      <c r="K374" s="5">
        <f>MONTH(Table1[[#This Row],[Date]])</f>
        <v>7</v>
      </c>
      <c r="L374" s="5">
        <f>DAY(Table1[[#This Row],[Date]])</f>
        <v>15</v>
      </c>
      <c r="M374" s="5" t="str">
        <f t="shared" si="11"/>
        <v>Jul</v>
      </c>
    </row>
    <row r="375" spans="1:13" x14ac:dyDescent="0.25">
      <c r="A375" s="2">
        <v>38645</v>
      </c>
      <c r="B375" t="s">
        <v>11</v>
      </c>
      <c r="C375" t="s">
        <v>27</v>
      </c>
      <c r="D375" t="s">
        <v>16</v>
      </c>
      <c r="E375" t="s">
        <v>14</v>
      </c>
      <c r="F375" s="3">
        <v>1644.7</v>
      </c>
      <c r="G375" s="3">
        <v>4445.1400000000003</v>
      </c>
      <c r="H375" s="3">
        <f>Table1[[#This Row],[Sale]]-Table1[[#This Row],[Cost]]</f>
        <v>2800.4400000000005</v>
      </c>
      <c r="I375" s="4">
        <f>Table1[[#This Row],[Profit]]/Table1[[#This Row],[Sale]]</f>
        <v>0.63000040493662746</v>
      </c>
      <c r="J375" s="5">
        <f t="shared" si="10"/>
        <v>2005</v>
      </c>
      <c r="K375" s="5">
        <f>MONTH(Table1[[#This Row],[Date]])</f>
        <v>10</v>
      </c>
      <c r="L375" s="5">
        <f>DAY(Table1[[#This Row],[Date]])</f>
        <v>20</v>
      </c>
      <c r="M375" s="5" t="str">
        <f t="shared" si="11"/>
        <v>Oct</v>
      </c>
    </row>
    <row r="376" spans="1:13" x14ac:dyDescent="0.25">
      <c r="A376" s="2">
        <v>38229</v>
      </c>
      <c r="B376" t="s">
        <v>11</v>
      </c>
      <c r="C376" t="s">
        <v>12</v>
      </c>
      <c r="D376" t="s">
        <v>16</v>
      </c>
      <c r="E376" t="s">
        <v>25</v>
      </c>
      <c r="F376" s="3">
        <v>141.86000000000001</v>
      </c>
      <c r="G376" s="3">
        <v>257.92</v>
      </c>
      <c r="H376" s="3">
        <f>Table1[[#This Row],[Sale]]-Table1[[#This Row],[Cost]]</f>
        <v>116.06</v>
      </c>
      <c r="I376" s="4">
        <f>Table1[[#This Row],[Profit]]/Table1[[#This Row],[Sale]]</f>
        <v>0.44998449131513646</v>
      </c>
      <c r="J376" s="5">
        <f t="shared" si="10"/>
        <v>2004</v>
      </c>
      <c r="K376" s="5">
        <f>MONTH(Table1[[#This Row],[Date]])</f>
        <v>8</v>
      </c>
      <c r="L376" s="5">
        <f>DAY(Table1[[#This Row],[Date]])</f>
        <v>30</v>
      </c>
      <c r="M376" s="5" t="str">
        <f t="shared" si="11"/>
        <v>Aug</v>
      </c>
    </row>
    <row r="377" spans="1:13" x14ac:dyDescent="0.25">
      <c r="A377" s="2">
        <v>38302</v>
      </c>
      <c r="B377" t="s">
        <v>26</v>
      </c>
      <c r="C377" t="s">
        <v>18</v>
      </c>
      <c r="D377" t="s">
        <v>28</v>
      </c>
      <c r="E377" t="s">
        <v>14</v>
      </c>
      <c r="F377" s="3">
        <v>3891.09</v>
      </c>
      <c r="G377" s="3">
        <v>6708.78</v>
      </c>
      <c r="H377" s="3">
        <f>Table1[[#This Row],[Sale]]-Table1[[#This Row],[Cost]]</f>
        <v>2817.6899999999996</v>
      </c>
      <c r="I377" s="4">
        <f>Table1[[#This Row],[Profit]]/Table1[[#This Row],[Sale]]</f>
        <v>0.42000035774015537</v>
      </c>
      <c r="J377" s="5">
        <f t="shared" si="10"/>
        <v>2004</v>
      </c>
      <c r="K377" s="5">
        <f>MONTH(Table1[[#This Row],[Date]])</f>
        <v>11</v>
      </c>
      <c r="L377" s="5">
        <f>DAY(Table1[[#This Row],[Date]])</f>
        <v>11</v>
      </c>
      <c r="M377" s="5" t="str">
        <f t="shared" si="11"/>
        <v>Nov</v>
      </c>
    </row>
    <row r="378" spans="1:13" x14ac:dyDescent="0.25">
      <c r="A378" s="2">
        <v>38476</v>
      </c>
      <c r="B378" t="s">
        <v>17</v>
      </c>
      <c r="C378" t="s">
        <v>12</v>
      </c>
      <c r="D378" t="s">
        <v>16</v>
      </c>
      <c r="E378" t="s">
        <v>25</v>
      </c>
      <c r="F378" s="3">
        <v>3987.05</v>
      </c>
      <c r="G378" s="3">
        <v>8860.1200000000008</v>
      </c>
      <c r="H378" s="3">
        <f>Table1[[#This Row],[Sale]]-Table1[[#This Row],[Cost]]</f>
        <v>4873.0700000000006</v>
      </c>
      <c r="I378" s="4">
        <f>Table1[[#This Row],[Profit]]/Table1[[#This Row],[Sale]]</f>
        <v>0.55000045146115406</v>
      </c>
      <c r="J378" s="5">
        <f t="shared" si="10"/>
        <v>2005</v>
      </c>
      <c r="K378" s="5">
        <f>MONTH(Table1[[#This Row],[Date]])</f>
        <v>5</v>
      </c>
      <c r="L378" s="5">
        <f>DAY(Table1[[#This Row],[Date]])</f>
        <v>4</v>
      </c>
      <c r="M378" s="5" t="str">
        <f t="shared" si="11"/>
        <v>May</v>
      </c>
    </row>
    <row r="379" spans="1:13" x14ac:dyDescent="0.25">
      <c r="A379" s="2">
        <v>38376</v>
      </c>
      <c r="B379" t="s">
        <v>26</v>
      </c>
      <c r="C379" t="s">
        <v>18</v>
      </c>
      <c r="D379" t="s">
        <v>19</v>
      </c>
      <c r="E379" t="s">
        <v>24</v>
      </c>
      <c r="F379" s="3">
        <v>2303.4299999999998</v>
      </c>
      <c r="G379" s="3">
        <v>3387.39</v>
      </c>
      <c r="H379" s="3">
        <f>Table1[[#This Row],[Sale]]-Table1[[#This Row],[Cost]]</f>
        <v>1083.96</v>
      </c>
      <c r="I379" s="4">
        <f>Table1[[#This Row],[Profit]]/Table1[[#This Row],[Sale]]</f>
        <v>0.31999858297981632</v>
      </c>
      <c r="J379" s="5">
        <f t="shared" si="10"/>
        <v>2005</v>
      </c>
      <c r="K379" s="5">
        <f>MONTH(Table1[[#This Row],[Date]])</f>
        <v>1</v>
      </c>
      <c r="L379" s="5">
        <f>DAY(Table1[[#This Row],[Date]])</f>
        <v>24</v>
      </c>
      <c r="M379" s="5" t="str">
        <f t="shared" si="11"/>
        <v>Jan</v>
      </c>
    </row>
    <row r="380" spans="1:13" x14ac:dyDescent="0.25">
      <c r="A380" s="2">
        <v>38832</v>
      </c>
      <c r="B380" t="s">
        <v>11</v>
      </c>
      <c r="C380" t="s">
        <v>29</v>
      </c>
      <c r="D380" t="s">
        <v>19</v>
      </c>
      <c r="E380" t="s">
        <v>25</v>
      </c>
      <c r="F380" s="3">
        <v>8333.41</v>
      </c>
      <c r="G380" s="3">
        <v>8912.74</v>
      </c>
      <c r="H380" s="3">
        <f>Table1[[#This Row],[Sale]]-Table1[[#This Row],[Cost]]</f>
        <v>579.32999999999993</v>
      </c>
      <c r="I380" s="4">
        <f>Table1[[#This Row],[Profit]]/Table1[[#This Row],[Sale]]</f>
        <v>6.5000213177990152E-2</v>
      </c>
      <c r="J380" s="5">
        <f t="shared" si="10"/>
        <v>2006</v>
      </c>
      <c r="K380" s="5">
        <f>MONTH(Table1[[#This Row],[Date]])</f>
        <v>4</v>
      </c>
      <c r="L380" s="5">
        <f>DAY(Table1[[#This Row],[Date]])</f>
        <v>25</v>
      </c>
      <c r="M380" s="5" t="str">
        <f t="shared" si="11"/>
        <v>Apr</v>
      </c>
    </row>
    <row r="381" spans="1:13" x14ac:dyDescent="0.25">
      <c r="A381" s="2">
        <v>38679</v>
      </c>
      <c r="B381" t="s">
        <v>22</v>
      </c>
      <c r="C381" t="s">
        <v>12</v>
      </c>
      <c r="D381" t="s">
        <v>13</v>
      </c>
      <c r="E381" t="s">
        <v>24</v>
      </c>
      <c r="F381" s="3">
        <v>1103.67</v>
      </c>
      <c r="G381" s="3">
        <v>2982.89</v>
      </c>
      <c r="H381" s="3">
        <f>Table1[[#This Row],[Sale]]-Table1[[#This Row],[Cost]]</f>
        <v>1879.2199999999998</v>
      </c>
      <c r="I381" s="4">
        <f>Table1[[#This Row],[Profit]]/Table1[[#This Row],[Sale]]</f>
        <v>0.62999976532825541</v>
      </c>
      <c r="J381" s="5">
        <f t="shared" si="10"/>
        <v>2005</v>
      </c>
      <c r="K381" s="5">
        <f>MONTH(Table1[[#This Row],[Date]])</f>
        <v>11</v>
      </c>
      <c r="L381" s="5">
        <f>DAY(Table1[[#This Row],[Date]])</f>
        <v>23</v>
      </c>
      <c r="M381" s="5" t="str">
        <f t="shared" si="11"/>
        <v>Nov</v>
      </c>
    </row>
    <row r="382" spans="1:13" x14ac:dyDescent="0.25">
      <c r="A382" s="2">
        <v>38391</v>
      </c>
      <c r="B382" t="s">
        <v>22</v>
      </c>
      <c r="C382" t="s">
        <v>18</v>
      </c>
      <c r="D382" t="s">
        <v>16</v>
      </c>
      <c r="E382" t="s">
        <v>14</v>
      </c>
      <c r="F382" s="3">
        <v>6764.53</v>
      </c>
      <c r="G382" s="3">
        <v>7234.79</v>
      </c>
      <c r="H382" s="3">
        <f>Table1[[#This Row],[Sale]]-Table1[[#This Row],[Cost]]</f>
        <v>470.26000000000022</v>
      </c>
      <c r="I382" s="4">
        <f>Table1[[#This Row],[Profit]]/Table1[[#This Row],[Sale]]</f>
        <v>6.499981340163298E-2</v>
      </c>
      <c r="J382" s="5">
        <f t="shared" si="10"/>
        <v>2005</v>
      </c>
      <c r="K382" s="5">
        <f>MONTH(Table1[[#This Row],[Date]])</f>
        <v>2</v>
      </c>
      <c r="L382" s="5">
        <f>DAY(Table1[[#This Row],[Date]])</f>
        <v>8</v>
      </c>
      <c r="M382" s="5" t="str">
        <f t="shared" si="11"/>
        <v>Feb</v>
      </c>
    </row>
    <row r="383" spans="1:13" x14ac:dyDescent="0.25">
      <c r="A383" s="2">
        <v>38422</v>
      </c>
      <c r="B383" t="s">
        <v>21</v>
      </c>
      <c r="C383" t="s">
        <v>12</v>
      </c>
      <c r="D383" t="s">
        <v>16</v>
      </c>
      <c r="E383" t="s">
        <v>14</v>
      </c>
      <c r="F383" s="3">
        <v>6724.15</v>
      </c>
      <c r="G383" s="3">
        <v>7641.08</v>
      </c>
      <c r="H383" s="3">
        <f>Table1[[#This Row],[Sale]]-Table1[[#This Row],[Cost]]</f>
        <v>916.93000000000029</v>
      </c>
      <c r="I383" s="4">
        <f>Table1[[#This Row],[Profit]]/Table1[[#This Row],[Sale]]</f>
        <v>0.12000005234862092</v>
      </c>
      <c r="J383" s="5">
        <f t="shared" si="10"/>
        <v>2005</v>
      </c>
      <c r="K383" s="5">
        <f>MONTH(Table1[[#This Row],[Date]])</f>
        <v>3</v>
      </c>
      <c r="L383" s="5">
        <f>DAY(Table1[[#This Row],[Date]])</f>
        <v>11</v>
      </c>
      <c r="M383" s="5" t="str">
        <f t="shared" si="11"/>
        <v>Mar</v>
      </c>
    </row>
    <row r="384" spans="1:13" x14ac:dyDescent="0.25">
      <c r="A384" s="2">
        <v>38326</v>
      </c>
      <c r="B384" t="s">
        <v>15</v>
      </c>
      <c r="C384" t="s">
        <v>23</v>
      </c>
      <c r="D384" t="s">
        <v>16</v>
      </c>
      <c r="E384" t="s">
        <v>20</v>
      </c>
      <c r="F384" s="3">
        <v>2498.98</v>
      </c>
      <c r="G384" s="3">
        <v>3331.98</v>
      </c>
      <c r="H384" s="3">
        <f>Table1[[#This Row],[Sale]]-Table1[[#This Row],[Cost]]</f>
        <v>833</v>
      </c>
      <c r="I384" s="4">
        <f>Table1[[#This Row],[Profit]]/Table1[[#This Row],[Sale]]</f>
        <v>0.25000150060924736</v>
      </c>
      <c r="J384" s="5">
        <f t="shared" si="10"/>
        <v>2004</v>
      </c>
      <c r="K384" s="5">
        <f>MONTH(Table1[[#This Row],[Date]])</f>
        <v>12</v>
      </c>
      <c r="L384" s="5">
        <f>DAY(Table1[[#This Row],[Date]])</f>
        <v>5</v>
      </c>
      <c r="M384" s="5" t="str">
        <f t="shared" si="11"/>
        <v>Dec</v>
      </c>
    </row>
    <row r="385" spans="1:13" x14ac:dyDescent="0.25">
      <c r="A385" s="2">
        <v>38664</v>
      </c>
      <c r="B385" t="s">
        <v>21</v>
      </c>
      <c r="C385" t="s">
        <v>27</v>
      </c>
      <c r="D385" t="s">
        <v>13</v>
      </c>
      <c r="E385" t="s">
        <v>14</v>
      </c>
      <c r="F385" s="3">
        <v>7205.11</v>
      </c>
      <c r="G385" s="3">
        <v>7706</v>
      </c>
      <c r="H385" s="3">
        <f>Table1[[#This Row],[Sale]]-Table1[[#This Row],[Cost]]</f>
        <v>500.89000000000033</v>
      </c>
      <c r="I385" s="4">
        <f>Table1[[#This Row],[Profit]]/Table1[[#This Row],[Sale]]</f>
        <v>6.5000000000000044E-2</v>
      </c>
      <c r="J385" s="5">
        <f t="shared" si="10"/>
        <v>2005</v>
      </c>
      <c r="K385" s="5">
        <f>MONTH(Table1[[#This Row],[Date]])</f>
        <v>11</v>
      </c>
      <c r="L385" s="5">
        <f>DAY(Table1[[#This Row],[Date]])</f>
        <v>8</v>
      </c>
      <c r="M385" s="5" t="str">
        <f t="shared" si="11"/>
        <v>Nov</v>
      </c>
    </row>
    <row r="386" spans="1:13" x14ac:dyDescent="0.25">
      <c r="A386" s="2">
        <v>38286</v>
      </c>
      <c r="B386" t="s">
        <v>17</v>
      </c>
      <c r="C386" t="s">
        <v>27</v>
      </c>
      <c r="D386" t="s">
        <v>13</v>
      </c>
      <c r="E386" t="s">
        <v>20</v>
      </c>
      <c r="F386" s="3">
        <v>5841.59</v>
      </c>
      <c r="G386" s="3">
        <v>6638.17</v>
      </c>
      <c r="H386" s="3">
        <f>Table1[[#This Row],[Sale]]-Table1[[#This Row],[Cost]]</f>
        <v>796.57999999999993</v>
      </c>
      <c r="I386" s="4">
        <f>Table1[[#This Row],[Profit]]/Table1[[#This Row],[Sale]]</f>
        <v>0.11999993974242901</v>
      </c>
      <c r="J386" s="5">
        <f t="shared" ref="J386:J449" si="12">YEAR(A:A)</f>
        <v>2004</v>
      </c>
      <c r="K386" s="5">
        <f>MONTH(Table1[[#This Row],[Date]])</f>
        <v>10</v>
      </c>
      <c r="L386" s="5">
        <f>DAY(Table1[[#This Row],[Date]])</f>
        <v>26</v>
      </c>
      <c r="M386" s="5" t="str">
        <f t="shared" ref="M386:M449" si="13">CHOOSE(K386,"Jan", "Feb", "Mar", "Apr", "May", "Jun", "Jul", "Aug", "Sep", "Oct", "Nov", "Dec")</f>
        <v>Oct</v>
      </c>
    </row>
    <row r="387" spans="1:13" x14ac:dyDescent="0.25">
      <c r="A387" s="2">
        <v>38454</v>
      </c>
      <c r="B387" t="s">
        <v>22</v>
      </c>
      <c r="C387" t="s">
        <v>27</v>
      </c>
      <c r="D387" t="s">
        <v>13</v>
      </c>
      <c r="E387" t="s">
        <v>20</v>
      </c>
      <c r="F387" s="3">
        <v>4392.87</v>
      </c>
      <c r="G387" s="3">
        <v>7987.04</v>
      </c>
      <c r="H387" s="3">
        <f>Table1[[#This Row],[Sale]]-Table1[[#This Row],[Cost]]</f>
        <v>3594.17</v>
      </c>
      <c r="I387" s="4">
        <f>Table1[[#This Row],[Profit]]/Table1[[#This Row],[Sale]]</f>
        <v>0.45000025040565717</v>
      </c>
      <c r="J387" s="5">
        <f t="shared" si="12"/>
        <v>2005</v>
      </c>
      <c r="K387" s="5">
        <f>MONTH(Table1[[#This Row],[Date]])</f>
        <v>4</v>
      </c>
      <c r="L387" s="5">
        <f>DAY(Table1[[#This Row],[Date]])</f>
        <v>12</v>
      </c>
      <c r="M387" s="5" t="str">
        <f t="shared" si="13"/>
        <v>Apr</v>
      </c>
    </row>
    <row r="388" spans="1:13" x14ac:dyDescent="0.25">
      <c r="A388" s="2">
        <v>38165</v>
      </c>
      <c r="B388" t="s">
        <v>26</v>
      </c>
      <c r="C388" t="s">
        <v>18</v>
      </c>
      <c r="D388" t="s">
        <v>19</v>
      </c>
      <c r="E388" t="s">
        <v>24</v>
      </c>
      <c r="F388" s="3">
        <v>1990.16</v>
      </c>
      <c r="G388" s="3">
        <v>5378.82</v>
      </c>
      <c r="H388" s="3">
        <f>Table1[[#This Row],[Sale]]-Table1[[#This Row],[Cost]]</f>
        <v>3388.66</v>
      </c>
      <c r="I388" s="4">
        <f>Table1[[#This Row],[Profit]]/Table1[[#This Row],[Sale]]</f>
        <v>0.63000063210890123</v>
      </c>
      <c r="J388" s="5">
        <f t="shared" si="12"/>
        <v>2004</v>
      </c>
      <c r="K388" s="5">
        <f>MONTH(Table1[[#This Row],[Date]])</f>
        <v>6</v>
      </c>
      <c r="L388" s="5">
        <f>DAY(Table1[[#This Row],[Date]])</f>
        <v>27</v>
      </c>
      <c r="M388" s="5" t="str">
        <f t="shared" si="13"/>
        <v>Jun</v>
      </c>
    </row>
    <row r="389" spans="1:13" x14ac:dyDescent="0.25">
      <c r="A389" s="2">
        <v>38530</v>
      </c>
      <c r="B389" t="s">
        <v>26</v>
      </c>
      <c r="C389" t="s">
        <v>27</v>
      </c>
      <c r="D389" t="s">
        <v>28</v>
      </c>
      <c r="E389" t="s">
        <v>24</v>
      </c>
      <c r="F389" s="3">
        <v>3976.6</v>
      </c>
      <c r="G389" s="3">
        <v>4518.8599999999997</v>
      </c>
      <c r="H389" s="3">
        <f>Table1[[#This Row],[Sale]]-Table1[[#This Row],[Cost]]</f>
        <v>542.25999999999976</v>
      </c>
      <c r="I389" s="4">
        <f>Table1[[#This Row],[Profit]]/Table1[[#This Row],[Sale]]</f>
        <v>0.1199992918567957</v>
      </c>
      <c r="J389" s="5">
        <f t="shared" si="12"/>
        <v>2005</v>
      </c>
      <c r="K389" s="5">
        <f>MONTH(Table1[[#This Row],[Date]])</f>
        <v>6</v>
      </c>
      <c r="L389" s="5">
        <f>DAY(Table1[[#This Row],[Date]])</f>
        <v>27</v>
      </c>
      <c r="M389" s="5" t="str">
        <f t="shared" si="13"/>
        <v>Jun</v>
      </c>
    </row>
    <row r="390" spans="1:13" x14ac:dyDescent="0.25">
      <c r="A390" s="2">
        <v>38854</v>
      </c>
      <c r="B390" t="s">
        <v>21</v>
      </c>
      <c r="C390" t="s">
        <v>18</v>
      </c>
      <c r="D390" t="s">
        <v>19</v>
      </c>
      <c r="E390" t="s">
        <v>20</v>
      </c>
      <c r="F390" s="3">
        <v>436.86</v>
      </c>
      <c r="G390" s="3">
        <v>1180.71</v>
      </c>
      <c r="H390" s="3">
        <f>Table1[[#This Row],[Sale]]-Table1[[#This Row],[Cost]]</f>
        <v>743.85</v>
      </c>
      <c r="I390" s="4">
        <f>Table1[[#This Row],[Profit]]/Table1[[#This Row],[Sale]]</f>
        <v>0.63000228675966152</v>
      </c>
      <c r="J390" s="5">
        <f t="shared" si="12"/>
        <v>2006</v>
      </c>
      <c r="K390" s="5">
        <f>MONTH(Table1[[#This Row],[Date]])</f>
        <v>5</v>
      </c>
      <c r="L390" s="5">
        <f>DAY(Table1[[#This Row],[Date]])</f>
        <v>17</v>
      </c>
      <c r="M390" s="5" t="str">
        <f t="shared" si="13"/>
        <v>May</v>
      </c>
    </row>
    <row r="391" spans="1:13" x14ac:dyDescent="0.25">
      <c r="A391" s="2">
        <v>38665</v>
      </c>
      <c r="B391" t="s">
        <v>17</v>
      </c>
      <c r="C391" t="s">
        <v>29</v>
      </c>
      <c r="D391" t="s">
        <v>16</v>
      </c>
      <c r="E391" t="s">
        <v>20</v>
      </c>
      <c r="F391" s="3">
        <v>126.85</v>
      </c>
      <c r="G391" s="3">
        <v>144.15</v>
      </c>
      <c r="H391" s="3">
        <f>Table1[[#This Row],[Sale]]-Table1[[#This Row],[Cost]]</f>
        <v>17.300000000000011</v>
      </c>
      <c r="I391" s="4">
        <f>Table1[[#This Row],[Profit]]/Table1[[#This Row],[Sale]]</f>
        <v>0.1200138744363511</v>
      </c>
      <c r="J391" s="5">
        <f t="shared" si="12"/>
        <v>2005</v>
      </c>
      <c r="K391" s="5">
        <f>MONTH(Table1[[#This Row],[Date]])</f>
        <v>11</v>
      </c>
      <c r="L391" s="5">
        <f>DAY(Table1[[#This Row],[Date]])</f>
        <v>9</v>
      </c>
      <c r="M391" s="5" t="str">
        <f t="shared" si="13"/>
        <v>Nov</v>
      </c>
    </row>
    <row r="392" spans="1:13" x14ac:dyDescent="0.25">
      <c r="A392" s="2">
        <v>38527</v>
      </c>
      <c r="B392" t="s">
        <v>21</v>
      </c>
      <c r="C392" t="s">
        <v>18</v>
      </c>
      <c r="D392" t="s">
        <v>28</v>
      </c>
      <c r="E392" t="s">
        <v>20</v>
      </c>
      <c r="F392" s="3">
        <v>3189.35</v>
      </c>
      <c r="G392" s="3">
        <v>3411.07</v>
      </c>
      <c r="H392" s="3">
        <f>Table1[[#This Row],[Sale]]-Table1[[#This Row],[Cost]]</f>
        <v>221.72000000000025</v>
      </c>
      <c r="I392" s="4">
        <f>Table1[[#This Row],[Profit]]/Table1[[#This Row],[Sale]]</f>
        <v>6.5000131923414126E-2</v>
      </c>
      <c r="J392" s="5">
        <f t="shared" si="12"/>
        <v>2005</v>
      </c>
      <c r="K392" s="5">
        <f>MONTH(Table1[[#This Row],[Date]])</f>
        <v>6</v>
      </c>
      <c r="L392" s="5">
        <f>DAY(Table1[[#This Row],[Date]])</f>
        <v>24</v>
      </c>
      <c r="M392" s="5" t="str">
        <f t="shared" si="13"/>
        <v>Jun</v>
      </c>
    </row>
    <row r="393" spans="1:13" x14ac:dyDescent="0.25">
      <c r="A393" s="2">
        <v>38880</v>
      </c>
      <c r="B393" t="s">
        <v>22</v>
      </c>
      <c r="C393" t="s">
        <v>18</v>
      </c>
      <c r="D393" t="s">
        <v>19</v>
      </c>
      <c r="E393" t="s">
        <v>24</v>
      </c>
      <c r="F393" s="3">
        <v>3786.49</v>
      </c>
      <c r="G393" s="3">
        <v>8805.7999999999993</v>
      </c>
      <c r="H393" s="3">
        <f>Table1[[#This Row],[Sale]]-Table1[[#This Row],[Cost]]</f>
        <v>5019.3099999999995</v>
      </c>
      <c r="I393" s="4">
        <f>Table1[[#This Row],[Profit]]/Table1[[#This Row],[Sale]]</f>
        <v>0.57000045424606505</v>
      </c>
      <c r="J393" s="5">
        <f t="shared" si="12"/>
        <v>2006</v>
      </c>
      <c r="K393" s="5">
        <f>MONTH(Table1[[#This Row],[Date]])</f>
        <v>6</v>
      </c>
      <c r="L393" s="5">
        <f>DAY(Table1[[#This Row],[Date]])</f>
        <v>12</v>
      </c>
      <c r="M393" s="5" t="str">
        <f t="shared" si="13"/>
        <v>Jun</v>
      </c>
    </row>
    <row r="394" spans="1:13" x14ac:dyDescent="0.25">
      <c r="A394" s="2">
        <v>38251</v>
      </c>
      <c r="B394" t="s">
        <v>15</v>
      </c>
      <c r="C394" t="s">
        <v>12</v>
      </c>
      <c r="D394" t="s">
        <v>19</v>
      </c>
      <c r="E394" t="s">
        <v>25</v>
      </c>
      <c r="F394" s="3">
        <v>2008.8</v>
      </c>
      <c r="G394" s="3">
        <v>3463.45</v>
      </c>
      <c r="H394" s="3">
        <f>Table1[[#This Row],[Sale]]-Table1[[#This Row],[Cost]]</f>
        <v>1454.6499999999999</v>
      </c>
      <c r="I394" s="4">
        <f>Table1[[#This Row],[Profit]]/Table1[[#This Row],[Sale]]</f>
        <v>0.42000028872944606</v>
      </c>
      <c r="J394" s="5">
        <f t="shared" si="12"/>
        <v>2004</v>
      </c>
      <c r="K394" s="5">
        <f>MONTH(Table1[[#This Row],[Date]])</f>
        <v>9</v>
      </c>
      <c r="L394" s="5">
        <f>DAY(Table1[[#This Row],[Date]])</f>
        <v>21</v>
      </c>
      <c r="M394" s="5" t="str">
        <f t="shared" si="13"/>
        <v>Sep</v>
      </c>
    </row>
    <row r="395" spans="1:13" x14ac:dyDescent="0.25">
      <c r="A395" s="2">
        <v>38519</v>
      </c>
      <c r="B395" t="s">
        <v>22</v>
      </c>
      <c r="C395" t="s">
        <v>23</v>
      </c>
      <c r="D395" t="s">
        <v>19</v>
      </c>
      <c r="E395" t="s">
        <v>20</v>
      </c>
      <c r="F395" s="3">
        <v>4235.8</v>
      </c>
      <c r="G395" s="3">
        <v>4813.41</v>
      </c>
      <c r="H395" s="3">
        <f>Table1[[#This Row],[Sale]]-Table1[[#This Row],[Cost]]</f>
        <v>577.60999999999967</v>
      </c>
      <c r="I395" s="4">
        <f>Table1[[#This Row],[Profit]]/Table1[[#This Row],[Sale]]</f>
        <v>0.12000016620233882</v>
      </c>
      <c r="J395" s="5">
        <f t="shared" si="12"/>
        <v>2005</v>
      </c>
      <c r="K395" s="5">
        <f>MONTH(Table1[[#This Row],[Date]])</f>
        <v>6</v>
      </c>
      <c r="L395" s="5">
        <f>DAY(Table1[[#This Row],[Date]])</f>
        <v>16</v>
      </c>
      <c r="M395" s="5" t="str">
        <f t="shared" si="13"/>
        <v>Jun</v>
      </c>
    </row>
    <row r="396" spans="1:13" x14ac:dyDescent="0.25">
      <c r="A396" s="2">
        <v>38693</v>
      </c>
      <c r="B396" t="s">
        <v>15</v>
      </c>
      <c r="C396" t="s">
        <v>18</v>
      </c>
      <c r="D396" t="s">
        <v>19</v>
      </c>
      <c r="E396" t="s">
        <v>24</v>
      </c>
      <c r="F396" s="3">
        <v>4257.4399999999996</v>
      </c>
      <c r="G396" s="3">
        <v>6260.94</v>
      </c>
      <c r="H396" s="3">
        <f>Table1[[#This Row],[Sale]]-Table1[[#This Row],[Cost]]</f>
        <v>2003.5</v>
      </c>
      <c r="I396" s="4">
        <f>Table1[[#This Row],[Profit]]/Table1[[#This Row],[Sale]]</f>
        <v>0.31999987222365972</v>
      </c>
      <c r="J396" s="5">
        <f t="shared" si="12"/>
        <v>2005</v>
      </c>
      <c r="K396" s="5">
        <f>MONTH(Table1[[#This Row],[Date]])</f>
        <v>12</v>
      </c>
      <c r="L396" s="5">
        <f>DAY(Table1[[#This Row],[Date]])</f>
        <v>7</v>
      </c>
      <c r="M396" s="5" t="str">
        <f t="shared" si="13"/>
        <v>Dec</v>
      </c>
    </row>
    <row r="397" spans="1:13" x14ac:dyDescent="0.25">
      <c r="A397" s="2">
        <v>38615</v>
      </c>
      <c r="B397" t="s">
        <v>17</v>
      </c>
      <c r="C397" t="s">
        <v>23</v>
      </c>
      <c r="D397" t="s">
        <v>13</v>
      </c>
      <c r="E397" t="s">
        <v>14</v>
      </c>
      <c r="F397" s="3">
        <v>2832.67</v>
      </c>
      <c r="G397" s="3">
        <v>4801.1400000000003</v>
      </c>
      <c r="H397" s="3">
        <f>Table1[[#This Row],[Sale]]-Table1[[#This Row],[Cost]]</f>
        <v>1968.4700000000003</v>
      </c>
      <c r="I397" s="4">
        <f>Table1[[#This Row],[Profit]]/Table1[[#This Row],[Sale]]</f>
        <v>0.41000054153805138</v>
      </c>
      <c r="J397" s="5">
        <f t="shared" si="12"/>
        <v>2005</v>
      </c>
      <c r="K397" s="5">
        <f>MONTH(Table1[[#This Row],[Date]])</f>
        <v>9</v>
      </c>
      <c r="L397" s="5">
        <f>DAY(Table1[[#This Row],[Date]])</f>
        <v>20</v>
      </c>
      <c r="M397" s="5" t="str">
        <f t="shared" si="13"/>
        <v>Sep</v>
      </c>
    </row>
    <row r="398" spans="1:13" x14ac:dyDescent="0.25">
      <c r="A398" s="2">
        <v>38177</v>
      </c>
      <c r="B398" t="s">
        <v>26</v>
      </c>
      <c r="C398" t="s">
        <v>18</v>
      </c>
      <c r="D398" t="s">
        <v>19</v>
      </c>
      <c r="E398" t="s">
        <v>25</v>
      </c>
      <c r="F398" s="3">
        <v>3273.27</v>
      </c>
      <c r="G398" s="3">
        <v>3719.62</v>
      </c>
      <c r="H398" s="3">
        <f>Table1[[#This Row],[Sale]]-Table1[[#This Row],[Cost]]</f>
        <v>446.34999999999991</v>
      </c>
      <c r="I398" s="4">
        <f>Table1[[#This Row],[Profit]]/Table1[[#This Row],[Sale]]</f>
        <v>0.11999881708346549</v>
      </c>
      <c r="J398" s="5">
        <f t="shared" si="12"/>
        <v>2004</v>
      </c>
      <c r="K398" s="5">
        <f>MONTH(Table1[[#This Row],[Date]])</f>
        <v>7</v>
      </c>
      <c r="L398" s="5">
        <f>DAY(Table1[[#This Row],[Date]])</f>
        <v>9</v>
      </c>
      <c r="M398" s="5" t="str">
        <f t="shared" si="13"/>
        <v>Jul</v>
      </c>
    </row>
    <row r="399" spans="1:13" x14ac:dyDescent="0.25">
      <c r="A399" s="2">
        <v>38200</v>
      </c>
      <c r="B399" t="s">
        <v>22</v>
      </c>
      <c r="C399" t="s">
        <v>27</v>
      </c>
      <c r="D399" t="s">
        <v>16</v>
      </c>
      <c r="E399" t="s">
        <v>20</v>
      </c>
      <c r="F399" s="3">
        <v>3565.93</v>
      </c>
      <c r="G399" s="3">
        <v>8292.86</v>
      </c>
      <c r="H399" s="3">
        <f>Table1[[#This Row],[Sale]]-Table1[[#This Row],[Cost]]</f>
        <v>4726.93</v>
      </c>
      <c r="I399" s="4">
        <f>Table1[[#This Row],[Profit]]/Table1[[#This Row],[Sale]]</f>
        <v>0.56999997588286788</v>
      </c>
      <c r="J399" s="5">
        <f t="shared" si="12"/>
        <v>2004</v>
      </c>
      <c r="K399" s="5">
        <f>MONTH(Table1[[#This Row],[Date]])</f>
        <v>8</v>
      </c>
      <c r="L399" s="5">
        <f>DAY(Table1[[#This Row],[Date]])</f>
        <v>1</v>
      </c>
      <c r="M399" s="5" t="str">
        <f t="shared" si="13"/>
        <v>Aug</v>
      </c>
    </row>
    <row r="400" spans="1:13" x14ac:dyDescent="0.25">
      <c r="A400" s="2">
        <v>38210</v>
      </c>
      <c r="B400" t="s">
        <v>26</v>
      </c>
      <c r="C400" t="s">
        <v>29</v>
      </c>
      <c r="D400" t="s">
        <v>19</v>
      </c>
      <c r="E400" t="s">
        <v>20</v>
      </c>
      <c r="F400" s="3">
        <v>326.77999999999997</v>
      </c>
      <c r="G400" s="3">
        <v>883.18</v>
      </c>
      <c r="H400" s="3">
        <f>Table1[[#This Row],[Sale]]-Table1[[#This Row],[Cost]]</f>
        <v>556.4</v>
      </c>
      <c r="I400" s="4">
        <f>Table1[[#This Row],[Profit]]/Table1[[#This Row],[Sale]]</f>
        <v>0.62999615027514211</v>
      </c>
      <c r="J400" s="5">
        <f t="shared" si="12"/>
        <v>2004</v>
      </c>
      <c r="K400" s="5">
        <f>MONTH(Table1[[#This Row],[Date]])</f>
        <v>8</v>
      </c>
      <c r="L400" s="5">
        <f>DAY(Table1[[#This Row],[Date]])</f>
        <v>11</v>
      </c>
      <c r="M400" s="5" t="str">
        <f t="shared" si="13"/>
        <v>Aug</v>
      </c>
    </row>
    <row r="401" spans="1:13" x14ac:dyDescent="0.25">
      <c r="A401" s="2">
        <v>38679</v>
      </c>
      <c r="B401" t="s">
        <v>21</v>
      </c>
      <c r="C401" t="s">
        <v>29</v>
      </c>
      <c r="D401" t="s">
        <v>19</v>
      </c>
      <c r="E401" t="s">
        <v>20</v>
      </c>
      <c r="F401" s="3">
        <v>3256.97</v>
      </c>
      <c r="G401" s="3">
        <v>5615.46</v>
      </c>
      <c r="H401" s="3">
        <f>Table1[[#This Row],[Sale]]-Table1[[#This Row],[Cost]]</f>
        <v>2358.4900000000002</v>
      </c>
      <c r="I401" s="4">
        <f>Table1[[#This Row],[Profit]]/Table1[[#This Row],[Sale]]</f>
        <v>0.41999943014463648</v>
      </c>
      <c r="J401" s="5">
        <f t="shared" si="12"/>
        <v>2005</v>
      </c>
      <c r="K401" s="5">
        <f>MONTH(Table1[[#This Row],[Date]])</f>
        <v>11</v>
      </c>
      <c r="L401" s="5">
        <f>DAY(Table1[[#This Row],[Date]])</f>
        <v>23</v>
      </c>
      <c r="M401" s="5" t="str">
        <f t="shared" si="13"/>
        <v>Nov</v>
      </c>
    </row>
    <row r="402" spans="1:13" x14ac:dyDescent="0.25">
      <c r="A402" s="2">
        <v>38283</v>
      </c>
      <c r="B402" t="s">
        <v>15</v>
      </c>
      <c r="C402" t="s">
        <v>12</v>
      </c>
      <c r="D402" t="s">
        <v>28</v>
      </c>
      <c r="E402" t="s">
        <v>24</v>
      </c>
      <c r="F402" s="3">
        <v>1719.22</v>
      </c>
      <c r="G402" s="3">
        <v>2528.2600000000002</v>
      </c>
      <c r="H402" s="3">
        <f>Table1[[#This Row],[Sale]]-Table1[[#This Row],[Cost]]</f>
        <v>809.04000000000019</v>
      </c>
      <c r="I402" s="4">
        <f>Table1[[#This Row],[Profit]]/Table1[[#This Row],[Sale]]</f>
        <v>0.31999873430738934</v>
      </c>
      <c r="J402" s="5">
        <f t="shared" si="12"/>
        <v>2004</v>
      </c>
      <c r="K402" s="5">
        <f>MONTH(Table1[[#This Row],[Date]])</f>
        <v>10</v>
      </c>
      <c r="L402" s="5">
        <f>DAY(Table1[[#This Row],[Date]])</f>
        <v>23</v>
      </c>
      <c r="M402" s="5" t="str">
        <f t="shared" si="13"/>
        <v>Oct</v>
      </c>
    </row>
    <row r="403" spans="1:13" x14ac:dyDescent="0.25">
      <c r="A403" s="2">
        <v>38732</v>
      </c>
      <c r="B403" t="s">
        <v>15</v>
      </c>
      <c r="C403" t="s">
        <v>23</v>
      </c>
      <c r="D403" t="s">
        <v>28</v>
      </c>
      <c r="E403" t="s">
        <v>25</v>
      </c>
      <c r="F403" s="3">
        <v>5056.92</v>
      </c>
      <c r="G403" s="3">
        <v>7436.64</v>
      </c>
      <c r="H403" s="3">
        <f>Table1[[#This Row],[Sale]]-Table1[[#This Row],[Cost]]</f>
        <v>2379.7200000000003</v>
      </c>
      <c r="I403" s="4">
        <f>Table1[[#This Row],[Profit]]/Table1[[#This Row],[Sale]]</f>
        <v>0.3199993545472149</v>
      </c>
      <c r="J403" s="5">
        <f t="shared" si="12"/>
        <v>2006</v>
      </c>
      <c r="K403" s="5">
        <f>MONTH(Table1[[#This Row],[Date]])</f>
        <v>1</v>
      </c>
      <c r="L403" s="5">
        <f>DAY(Table1[[#This Row],[Date]])</f>
        <v>15</v>
      </c>
      <c r="M403" s="5" t="str">
        <f t="shared" si="13"/>
        <v>Jan</v>
      </c>
    </row>
    <row r="404" spans="1:13" x14ac:dyDescent="0.25">
      <c r="A404" s="2">
        <v>38587</v>
      </c>
      <c r="B404" t="s">
        <v>22</v>
      </c>
      <c r="C404" t="s">
        <v>23</v>
      </c>
      <c r="D404" t="s">
        <v>28</v>
      </c>
      <c r="E404" t="s">
        <v>20</v>
      </c>
      <c r="F404" s="3">
        <v>1107.2</v>
      </c>
      <c r="G404" s="3">
        <v>1476.26</v>
      </c>
      <c r="H404" s="3">
        <f>Table1[[#This Row],[Sale]]-Table1[[#This Row],[Cost]]</f>
        <v>369.05999999999995</v>
      </c>
      <c r="I404" s="4">
        <f>Table1[[#This Row],[Profit]]/Table1[[#This Row],[Sale]]</f>
        <v>0.2499966130627396</v>
      </c>
      <c r="J404" s="5">
        <f t="shared" si="12"/>
        <v>2005</v>
      </c>
      <c r="K404" s="5">
        <f>MONTH(Table1[[#This Row],[Date]])</f>
        <v>8</v>
      </c>
      <c r="L404" s="5">
        <f>DAY(Table1[[#This Row],[Date]])</f>
        <v>23</v>
      </c>
      <c r="M404" s="5" t="str">
        <f t="shared" si="13"/>
        <v>Aug</v>
      </c>
    </row>
    <row r="405" spans="1:13" x14ac:dyDescent="0.25">
      <c r="A405" s="2">
        <v>38543</v>
      </c>
      <c r="B405" t="s">
        <v>17</v>
      </c>
      <c r="C405" t="s">
        <v>18</v>
      </c>
      <c r="D405" t="s">
        <v>19</v>
      </c>
      <c r="E405" t="s">
        <v>25</v>
      </c>
      <c r="F405" s="3">
        <v>8429.33</v>
      </c>
      <c r="G405" s="3">
        <v>9578.7800000000007</v>
      </c>
      <c r="H405" s="3">
        <f>Table1[[#This Row],[Sale]]-Table1[[#This Row],[Cost]]</f>
        <v>1149.4500000000007</v>
      </c>
      <c r="I405" s="4">
        <f>Table1[[#This Row],[Profit]]/Table1[[#This Row],[Sale]]</f>
        <v>0.11999962416925752</v>
      </c>
      <c r="J405" s="5">
        <f t="shared" si="12"/>
        <v>2005</v>
      </c>
      <c r="K405" s="5">
        <f>MONTH(Table1[[#This Row],[Date]])</f>
        <v>7</v>
      </c>
      <c r="L405" s="5">
        <f>DAY(Table1[[#This Row],[Date]])</f>
        <v>10</v>
      </c>
      <c r="M405" s="5" t="str">
        <f t="shared" si="13"/>
        <v>Jul</v>
      </c>
    </row>
    <row r="406" spans="1:13" x14ac:dyDescent="0.25">
      <c r="A406" s="2">
        <v>38274</v>
      </c>
      <c r="B406" t="s">
        <v>26</v>
      </c>
      <c r="C406" t="s">
        <v>27</v>
      </c>
      <c r="D406" t="s">
        <v>19</v>
      </c>
      <c r="E406" t="s">
        <v>14</v>
      </c>
      <c r="F406" s="3">
        <v>185.87</v>
      </c>
      <c r="G406" s="3">
        <v>273.33999999999997</v>
      </c>
      <c r="H406" s="3">
        <f>Table1[[#This Row],[Sale]]-Table1[[#This Row],[Cost]]</f>
        <v>87.46999999999997</v>
      </c>
      <c r="I406" s="4">
        <f>Table1[[#This Row],[Profit]]/Table1[[#This Row],[Sale]]</f>
        <v>0.32000439013682586</v>
      </c>
      <c r="J406" s="5">
        <f t="shared" si="12"/>
        <v>2004</v>
      </c>
      <c r="K406" s="5">
        <f>MONTH(Table1[[#This Row],[Date]])</f>
        <v>10</v>
      </c>
      <c r="L406" s="5">
        <f>DAY(Table1[[#This Row],[Date]])</f>
        <v>14</v>
      </c>
      <c r="M406" s="5" t="str">
        <f t="shared" si="13"/>
        <v>Oct</v>
      </c>
    </row>
    <row r="407" spans="1:13" x14ac:dyDescent="0.25">
      <c r="A407" s="2">
        <v>38656</v>
      </c>
      <c r="B407" t="s">
        <v>15</v>
      </c>
      <c r="C407" t="s">
        <v>18</v>
      </c>
      <c r="D407" t="s">
        <v>13</v>
      </c>
      <c r="E407" t="s">
        <v>24</v>
      </c>
      <c r="F407" s="3">
        <v>3160.46</v>
      </c>
      <c r="G407" s="3">
        <v>7023.24</v>
      </c>
      <c r="H407" s="3">
        <f>Table1[[#This Row],[Sale]]-Table1[[#This Row],[Cost]]</f>
        <v>3862.7799999999997</v>
      </c>
      <c r="I407" s="4">
        <f>Table1[[#This Row],[Profit]]/Table1[[#This Row],[Sale]]</f>
        <v>0.54999971523114688</v>
      </c>
      <c r="J407" s="5">
        <f t="shared" si="12"/>
        <v>2005</v>
      </c>
      <c r="K407" s="5">
        <f>MONTH(Table1[[#This Row],[Date]])</f>
        <v>10</v>
      </c>
      <c r="L407" s="5">
        <f>DAY(Table1[[#This Row],[Date]])</f>
        <v>31</v>
      </c>
      <c r="M407" s="5" t="str">
        <f t="shared" si="13"/>
        <v>Oct</v>
      </c>
    </row>
    <row r="408" spans="1:13" x14ac:dyDescent="0.25">
      <c r="A408" s="2">
        <v>38479</v>
      </c>
      <c r="B408" t="s">
        <v>17</v>
      </c>
      <c r="C408" t="s">
        <v>23</v>
      </c>
      <c r="D408" t="s">
        <v>28</v>
      </c>
      <c r="E408" t="s">
        <v>20</v>
      </c>
      <c r="F408" s="3">
        <v>3897.72</v>
      </c>
      <c r="G408" s="3">
        <v>7086.76</v>
      </c>
      <c r="H408" s="3">
        <f>Table1[[#This Row],[Sale]]-Table1[[#This Row],[Cost]]</f>
        <v>3189.0400000000004</v>
      </c>
      <c r="I408" s="4">
        <f>Table1[[#This Row],[Profit]]/Table1[[#This Row],[Sale]]</f>
        <v>0.44999971778358522</v>
      </c>
      <c r="J408" s="5">
        <f t="shared" si="12"/>
        <v>2005</v>
      </c>
      <c r="K408" s="5">
        <f>MONTH(Table1[[#This Row],[Date]])</f>
        <v>5</v>
      </c>
      <c r="L408" s="5">
        <f>DAY(Table1[[#This Row],[Date]])</f>
        <v>7</v>
      </c>
      <c r="M408" s="5" t="str">
        <f t="shared" si="13"/>
        <v>May</v>
      </c>
    </row>
    <row r="409" spans="1:13" x14ac:dyDescent="0.25">
      <c r="A409" s="2">
        <v>38506</v>
      </c>
      <c r="B409" t="s">
        <v>21</v>
      </c>
      <c r="C409" t="s">
        <v>18</v>
      </c>
      <c r="D409" t="s">
        <v>13</v>
      </c>
      <c r="E409" t="s">
        <v>24</v>
      </c>
      <c r="F409" s="3">
        <v>4050.46</v>
      </c>
      <c r="G409" s="3">
        <v>9419.67</v>
      </c>
      <c r="H409" s="3">
        <f>Table1[[#This Row],[Sale]]-Table1[[#This Row],[Cost]]</f>
        <v>5369.21</v>
      </c>
      <c r="I409" s="4">
        <f>Table1[[#This Row],[Profit]]/Table1[[#This Row],[Sale]]</f>
        <v>0.56999979829442005</v>
      </c>
      <c r="J409" s="5">
        <f t="shared" si="12"/>
        <v>2005</v>
      </c>
      <c r="K409" s="5">
        <f>MONTH(Table1[[#This Row],[Date]])</f>
        <v>6</v>
      </c>
      <c r="L409" s="5">
        <f>DAY(Table1[[#This Row],[Date]])</f>
        <v>3</v>
      </c>
      <c r="M409" s="5" t="str">
        <f t="shared" si="13"/>
        <v>Jun</v>
      </c>
    </row>
    <row r="410" spans="1:13" x14ac:dyDescent="0.25">
      <c r="A410" s="2">
        <v>38536</v>
      </c>
      <c r="B410" t="s">
        <v>17</v>
      </c>
      <c r="C410" t="s">
        <v>27</v>
      </c>
      <c r="D410" t="s">
        <v>16</v>
      </c>
      <c r="E410" t="s">
        <v>24</v>
      </c>
      <c r="F410" s="3">
        <v>1598.17</v>
      </c>
      <c r="G410" s="3">
        <v>4319.3900000000003</v>
      </c>
      <c r="H410" s="3">
        <f>Table1[[#This Row],[Sale]]-Table1[[#This Row],[Cost]]</f>
        <v>2721.2200000000003</v>
      </c>
      <c r="I410" s="4">
        <f>Table1[[#This Row],[Profit]]/Table1[[#This Row],[Sale]]</f>
        <v>0.63000099551094024</v>
      </c>
      <c r="J410" s="5">
        <f t="shared" si="12"/>
        <v>2005</v>
      </c>
      <c r="K410" s="5">
        <f>MONTH(Table1[[#This Row],[Date]])</f>
        <v>7</v>
      </c>
      <c r="L410" s="5">
        <f>DAY(Table1[[#This Row],[Date]])</f>
        <v>3</v>
      </c>
      <c r="M410" s="5" t="str">
        <f t="shared" si="13"/>
        <v>Jul</v>
      </c>
    </row>
    <row r="411" spans="1:13" x14ac:dyDescent="0.25">
      <c r="A411" s="2">
        <v>38778</v>
      </c>
      <c r="B411" t="s">
        <v>26</v>
      </c>
      <c r="C411" t="s">
        <v>18</v>
      </c>
      <c r="D411" t="s">
        <v>28</v>
      </c>
      <c r="E411" t="s">
        <v>25</v>
      </c>
      <c r="F411" s="3">
        <v>1850.77</v>
      </c>
      <c r="G411" s="3">
        <v>4112.83</v>
      </c>
      <c r="H411" s="3">
        <f>Table1[[#This Row],[Sale]]-Table1[[#This Row],[Cost]]</f>
        <v>2262.06</v>
      </c>
      <c r="I411" s="4">
        <f>Table1[[#This Row],[Profit]]/Table1[[#This Row],[Sale]]</f>
        <v>0.55000085099554319</v>
      </c>
      <c r="J411" s="5">
        <f t="shared" si="12"/>
        <v>2006</v>
      </c>
      <c r="K411" s="5">
        <f>MONTH(Table1[[#This Row],[Date]])</f>
        <v>3</v>
      </c>
      <c r="L411" s="5">
        <f>DAY(Table1[[#This Row],[Date]])</f>
        <v>2</v>
      </c>
      <c r="M411" s="5" t="str">
        <f t="shared" si="13"/>
        <v>Mar</v>
      </c>
    </row>
    <row r="412" spans="1:13" x14ac:dyDescent="0.25">
      <c r="A412" s="2">
        <v>38797</v>
      </c>
      <c r="B412" t="s">
        <v>22</v>
      </c>
      <c r="C412" t="s">
        <v>29</v>
      </c>
      <c r="D412" t="s">
        <v>13</v>
      </c>
      <c r="E412" t="s">
        <v>14</v>
      </c>
      <c r="F412" s="3">
        <v>2464.91</v>
      </c>
      <c r="G412" s="3">
        <v>4481.6499999999996</v>
      </c>
      <c r="H412" s="3">
        <f>Table1[[#This Row],[Sale]]-Table1[[#This Row],[Cost]]</f>
        <v>2016.7399999999998</v>
      </c>
      <c r="I412" s="4">
        <f>Table1[[#This Row],[Profit]]/Table1[[#This Row],[Sale]]</f>
        <v>0.44999944216973659</v>
      </c>
      <c r="J412" s="5">
        <f t="shared" si="12"/>
        <v>2006</v>
      </c>
      <c r="K412" s="5">
        <f>MONTH(Table1[[#This Row],[Date]])</f>
        <v>3</v>
      </c>
      <c r="L412" s="5">
        <f>DAY(Table1[[#This Row],[Date]])</f>
        <v>21</v>
      </c>
      <c r="M412" s="5" t="str">
        <f t="shared" si="13"/>
        <v>Mar</v>
      </c>
    </row>
    <row r="413" spans="1:13" x14ac:dyDescent="0.25">
      <c r="A413" s="2">
        <v>38352</v>
      </c>
      <c r="B413" t="s">
        <v>11</v>
      </c>
      <c r="C413" t="s">
        <v>29</v>
      </c>
      <c r="D413" t="s">
        <v>28</v>
      </c>
      <c r="E413" t="s">
        <v>14</v>
      </c>
      <c r="F413" s="3">
        <v>8667.17</v>
      </c>
      <c r="G413" s="3">
        <v>9849.06</v>
      </c>
      <c r="H413" s="3">
        <f>Table1[[#This Row],[Sale]]-Table1[[#This Row],[Cost]]</f>
        <v>1181.8899999999994</v>
      </c>
      <c r="I413" s="4">
        <f>Table1[[#This Row],[Profit]]/Table1[[#This Row],[Sale]]</f>
        <v>0.12000028429108965</v>
      </c>
      <c r="J413" s="5">
        <f t="shared" si="12"/>
        <v>2004</v>
      </c>
      <c r="K413" s="5">
        <f>MONTH(Table1[[#This Row],[Date]])</f>
        <v>12</v>
      </c>
      <c r="L413" s="5">
        <f>DAY(Table1[[#This Row],[Date]])</f>
        <v>31</v>
      </c>
      <c r="M413" s="5" t="str">
        <f t="shared" si="13"/>
        <v>Dec</v>
      </c>
    </row>
    <row r="414" spans="1:13" x14ac:dyDescent="0.25">
      <c r="A414" s="2">
        <v>38434</v>
      </c>
      <c r="B414" t="s">
        <v>26</v>
      </c>
      <c r="C414" t="s">
        <v>27</v>
      </c>
      <c r="D414" t="s">
        <v>19</v>
      </c>
      <c r="E414" t="s">
        <v>20</v>
      </c>
      <c r="F414" s="3">
        <v>522.45000000000005</v>
      </c>
      <c r="G414" s="3">
        <v>558.77</v>
      </c>
      <c r="H414" s="3">
        <f>Table1[[#This Row],[Sale]]-Table1[[#This Row],[Cost]]</f>
        <v>36.319999999999936</v>
      </c>
      <c r="I414" s="4">
        <f>Table1[[#This Row],[Profit]]/Table1[[#This Row],[Sale]]</f>
        <v>6.4999910517744217E-2</v>
      </c>
      <c r="J414" s="5">
        <f t="shared" si="12"/>
        <v>2005</v>
      </c>
      <c r="K414" s="5">
        <f>MONTH(Table1[[#This Row],[Date]])</f>
        <v>3</v>
      </c>
      <c r="L414" s="5">
        <f>DAY(Table1[[#This Row],[Date]])</f>
        <v>23</v>
      </c>
      <c r="M414" s="5" t="str">
        <f t="shared" si="13"/>
        <v>Mar</v>
      </c>
    </row>
    <row r="415" spans="1:13" x14ac:dyDescent="0.25">
      <c r="A415" s="2">
        <v>38242</v>
      </c>
      <c r="B415" t="s">
        <v>22</v>
      </c>
      <c r="C415" t="s">
        <v>12</v>
      </c>
      <c r="D415" t="s">
        <v>28</v>
      </c>
      <c r="E415" t="s">
        <v>25</v>
      </c>
      <c r="F415" s="3">
        <v>1467.44</v>
      </c>
      <c r="G415" s="3">
        <v>1569.45</v>
      </c>
      <c r="H415" s="3">
        <f>Table1[[#This Row],[Sale]]-Table1[[#This Row],[Cost]]</f>
        <v>102.00999999999999</v>
      </c>
      <c r="I415" s="4">
        <f>Table1[[#This Row],[Profit]]/Table1[[#This Row],[Sale]]</f>
        <v>6.4997292044983904E-2</v>
      </c>
      <c r="J415" s="5">
        <f t="shared" si="12"/>
        <v>2004</v>
      </c>
      <c r="K415" s="5">
        <f>MONTH(Table1[[#This Row],[Date]])</f>
        <v>9</v>
      </c>
      <c r="L415" s="5">
        <f>DAY(Table1[[#This Row],[Date]])</f>
        <v>12</v>
      </c>
      <c r="M415" s="5" t="str">
        <f t="shared" si="13"/>
        <v>Sep</v>
      </c>
    </row>
    <row r="416" spans="1:13" x14ac:dyDescent="0.25">
      <c r="A416" s="2">
        <v>38832</v>
      </c>
      <c r="B416" t="s">
        <v>11</v>
      </c>
      <c r="C416" t="s">
        <v>12</v>
      </c>
      <c r="D416" t="s">
        <v>19</v>
      </c>
      <c r="E416" t="s">
        <v>20</v>
      </c>
      <c r="F416" s="3">
        <v>3342.26</v>
      </c>
      <c r="G416" s="3">
        <v>7427.24</v>
      </c>
      <c r="H416" s="3">
        <f>Table1[[#This Row],[Sale]]-Table1[[#This Row],[Cost]]</f>
        <v>4084.9799999999996</v>
      </c>
      <c r="I416" s="4">
        <f>Table1[[#This Row],[Profit]]/Table1[[#This Row],[Sale]]</f>
        <v>0.54999973072096764</v>
      </c>
      <c r="J416" s="5">
        <f t="shared" si="12"/>
        <v>2006</v>
      </c>
      <c r="K416" s="5">
        <f>MONTH(Table1[[#This Row],[Date]])</f>
        <v>4</v>
      </c>
      <c r="L416" s="5">
        <f>DAY(Table1[[#This Row],[Date]])</f>
        <v>25</v>
      </c>
      <c r="M416" s="5" t="str">
        <f t="shared" si="13"/>
        <v>Apr</v>
      </c>
    </row>
    <row r="417" spans="1:13" x14ac:dyDescent="0.25">
      <c r="A417" s="2">
        <v>38715</v>
      </c>
      <c r="B417" t="s">
        <v>26</v>
      </c>
      <c r="C417" t="s">
        <v>23</v>
      </c>
      <c r="D417" t="s">
        <v>19</v>
      </c>
      <c r="E417" t="s">
        <v>20</v>
      </c>
      <c r="F417" s="3">
        <v>13.9</v>
      </c>
      <c r="G417" s="3">
        <v>30.88</v>
      </c>
      <c r="H417" s="3">
        <f>Table1[[#This Row],[Sale]]-Table1[[#This Row],[Cost]]</f>
        <v>16.979999999999997</v>
      </c>
      <c r="I417" s="4">
        <f>Table1[[#This Row],[Profit]]/Table1[[#This Row],[Sale]]</f>
        <v>0.54987046632124348</v>
      </c>
      <c r="J417" s="5">
        <f t="shared" si="12"/>
        <v>2005</v>
      </c>
      <c r="K417" s="5">
        <f>MONTH(Table1[[#This Row],[Date]])</f>
        <v>12</v>
      </c>
      <c r="L417" s="5">
        <f>DAY(Table1[[#This Row],[Date]])</f>
        <v>29</v>
      </c>
      <c r="M417" s="5" t="str">
        <f t="shared" si="13"/>
        <v>Dec</v>
      </c>
    </row>
    <row r="418" spans="1:13" x14ac:dyDescent="0.25">
      <c r="A418" s="2">
        <v>38642</v>
      </c>
      <c r="B418" t="s">
        <v>11</v>
      </c>
      <c r="C418" t="s">
        <v>23</v>
      </c>
      <c r="D418" t="s">
        <v>19</v>
      </c>
      <c r="E418" t="s">
        <v>25</v>
      </c>
      <c r="F418" s="3">
        <v>1850.84</v>
      </c>
      <c r="G418" s="3">
        <v>5002.26</v>
      </c>
      <c r="H418" s="3">
        <f>Table1[[#This Row],[Sale]]-Table1[[#This Row],[Cost]]</f>
        <v>3151.42</v>
      </c>
      <c r="I418" s="4">
        <f>Table1[[#This Row],[Profit]]/Table1[[#This Row],[Sale]]</f>
        <v>0.62999924034336474</v>
      </c>
      <c r="J418" s="5">
        <f t="shared" si="12"/>
        <v>2005</v>
      </c>
      <c r="K418" s="5">
        <f>MONTH(Table1[[#This Row],[Date]])</f>
        <v>10</v>
      </c>
      <c r="L418" s="5">
        <f>DAY(Table1[[#This Row],[Date]])</f>
        <v>17</v>
      </c>
      <c r="M418" s="5" t="str">
        <f t="shared" si="13"/>
        <v>Oct</v>
      </c>
    </row>
    <row r="419" spans="1:13" x14ac:dyDescent="0.25">
      <c r="A419" s="2">
        <v>38270</v>
      </c>
      <c r="B419" t="s">
        <v>17</v>
      </c>
      <c r="C419" t="s">
        <v>29</v>
      </c>
      <c r="D419" t="s">
        <v>19</v>
      </c>
      <c r="E419" t="s">
        <v>24</v>
      </c>
      <c r="F419" s="3">
        <v>6417.66</v>
      </c>
      <c r="G419" s="3">
        <v>9437.74</v>
      </c>
      <c r="H419" s="3">
        <f>Table1[[#This Row],[Sale]]-Table1[[#This Row],[Cost]]</f>
        <v>3020.08</v>
      </c>
      <c r="I419" s="4">
        <f>Table1[[#This Row],[Profit]]/Table1[[#This Row],[Sale]]</f>
        <v>0.32000033906422515</v>
      </c>
      <c r="J419" s="5">
        <f t="shared" si="12"/>
        <v>2004</v>
      </c>
      <c r="K419" s="5">
        <f>MONTH(Table1[[#This Row],[Date]])</f>
        <v>10</v>
      </c>
      <c r="L419" s="5">
        <f>DAY(Table1[[#This Row],[Date]])</f>
        <v>10</v>
      </c>
      <c r="M419" s="5" t="str">
        <f t="shared" si="13"/>
        <v>Oct</v>
      </c>
    </row>
    <row r="420" spans="1:13" x14ac:dyDescent="0.25">
      <c r="A420" s="2">
        <v>38469</v>
      </c>
      <c r="B420" t="s">
        <v>21</v>
      </c>
      <c r="C420" t="s">
        <v>12</v>
      </c>
      <c r="D420" t="s">
        <v>16</v>
      </c>
      <c r="E420" t="s">
        <v>20</v>
      </c>
      <c r="F420" s="3">
        <v>1942.18</v>
      </c>
      <c r="G420" s="3">
        <v>2589.5700000000002</v>
      </c>
      <c r="H420" s="3">
        <f>Table1[[#This Row],[Sale]]-Table1[[#This Row],[Cost]]</f>
        <v>647.3900000000001</v>
      </c>
      <c r="I420" s="4">
        <f>Table1[[#This Row],[Profit]]/Table1[[#This Row],[Sale]]</f>
        <v>0.24999903458875414</v>
      </c>
      <c r="J420" s="5">
        <f t="shared" si="12"/>
        <v>2005</v>
      </c>
      <c r="K420" s="5">
        <f>MONTH(Table1[[#This Row],[Date]])</f>
        <v>4</v>
      </c>
      <c r="L420" s="5">
        <f>DAY(Table1[[#This Row],[Date]])</f>
        <v>27</v>
      </c>
      <c r="M420" s="5" t="str">
        <f t="shared" si="13"/>
        <v>Apr</v>
      </c>
    </row>
    <row r="421" spans="1:13" x14ac:dyDescent="0.25">
      <c r="A421" s="2">
        <v>38256</v>
      </c>
      <c r="B421" t="s">
        <v>26</v>
      </c>
      <c r="C421" t="s">
        <v>18</v>
      </c>
      <c r="D421" t="s">
        <v>16</v>
      </c>
      <c r="E421" t="s">
        <v>14</v>
      </c>
      <c r="F421" s="3">
        <v>1593.88</v>
      </c>
      <c r="G421" s="3">
        <v>3706.7</v>
      </c>
      <c r="H421" s="3">
        <f>Table1[[#This Row],[Sale]]-Table1[[#This Row],[Cost]]</f>
        <v>2112.8199999999997</v>
      </c>
      <c r="I421" s="4">
        <f>Table1[[#This Row],[Profit]]/Table1[[#This Row],[Sale]]</f>
        <v>0.57000026978174656</v>
      </c>
      <c r="J421" s="5">
        <f t="shared" si="12"/>
        <v>2004</v>
      </c>
      <c r="K421" s="5">
        <f>MONTH(Table1[[#This Row],[Date]])</f>
        <v>9</v>
      </c>
      <c r="L421" s="5">
        <f>DAY(Table1[[#This Row],[Date]])</f>
        <v>26</v>
      </c>
      <c r="M421" s="5" t="str">
        <f t="shared" si="13"/>
        <v>Sep</v>
      </c>
    </row>
    <row r="422" spans="1:13" x14ac:dyDescent="0.25">
      <c r="A422" s="2">
        <v>38541</v>
      </c>
      <c r="B422" t="s">
        <v>15</v>
      </c>
      <c r="C422" t="s">
        <v>29</v>
      </c>
      <c r="D422" t="s">
        <v>28</v>
      </c>
      <c r="E422" t="s">
        <v>24</v>
      </c>
      <c r="F422" s="3">
        <v>5691.53</v>
      </c>
      <c r="G422" s="3">
        <v>9812.99</v>
      </c>
      <c r="H422" s="3">
        <f>Table1[[#This Row],[Sale]]-Table1[[#This Row],[Cost]]</f>
        <v>4121.46</v>
      </c>
      <c r="I422" s="4">
        <f>Table1[[#This Row],[Profit]]/Table1[[#This Row],[Sale]]</f>
        <v>0.42000042800410475</v>
      </c>
      <c r="J422" s="5">
        <f t="shared" si="12"/>
        <v>2005</v>
      </c>
      <c r="K422" s="5">
        <f>MONTH(Table1[[#This Row],[Date]])</f>
        <v>7</v>
      </c>
      <c r="L422" s="5">
        <f>DAY(Table1[[#This Row],[Date]])</f>
        <v>8</v>
      </c>
      <c r="M422" s="5" t="str">
        <f t="shared" si="13"/>
        <v>Jul</v>
      </c>
    </row>
    <row r="423" spans="1:13" x14ac:dyDescent="0.25">
      <c r="A423" s="2">
        <v>38293</v>
      </c>
      <c r="B423" t="s">
        <v>17</v>
      </c>
      <c r="C423" t="s">
        <v>18</v>
      </c>
      <c r="D423" t="s">
        <v>13</v>
      </c>
      <c r="E423" t="s">
        <v>14</v>
      </c>
      <c r="F423" s="3">
        <v>3549.62</v>
      </c>
      <c r="G423" s="3">
        <v>4732.82</v>
      </c>
      <c r="H423" s="3">
        <f>Table1[[#This Row],[Sale]]-Table1[[#This Row],[Cost]]</f>
        <v>1183.1999999999998</v>
      </c>
      <c r="I423" s="4">
        <f>Table1[[#This Row],[Profit]]/Table1[[#This Row],[Sale]]</f>
        <v>0.24999894354739877</v>
      </c>
      <c r="J423" s="5">
        <f t="shared" si="12"/>
        <v>2004</v>
      </c>
      <c r="K423" s="5">
        <f>MONTH(Table1[[#This Row],[Date]])</f>
        <v>11</v>
      </c>
      <c r="L423" s="5">
        <f>DAY(Table1[[#This Row],[Date]])</f>
        <v>2</v>
      </c>
      <c r="M423" s="5" t="str">
        <f t="shared" si="13"/>
        <v>Nov</v>
      </c>
    </row>
    <row r="424" spans="1:13" x14ac:dyDescent="0.25">
      <c r="A424" s="2">
        <v>38426</v>
      </c>
      <c r="B424" t="s">
        <v>26</v>
      </c>
      <c r="C424" t="s">
        <v>29</v>
      </c>
      <c r="D424" t="s">
        <v>28</v>
      </c>
      <c r="E424" t="s">
        <v>20</v>
      </c>
      <c r="F424" s="3">
        <v>1377.08</v>
      </c>
      <c r="G424" s="3">
        <v>3721.83</v>
      </c>
      <c r="H424" s="3">
        <f>Table1[[#This Row],[Sale]]-Table1[[#This Row],[Cost]]</f>
        <v>2344.75</v>
      </c>
      <c r="I424" s="4">
        <f>Table1[[#This Row],[Profit]]/Table1[[#This Row],[Sale]]</f>
        <v>0.62999922081341708</v>
      </c>
      <c r="J424" s="5">
        <f t="shared" si="12"/>
        <v>2005</v>
      </c>
      <c r="K424" s="5">
        <f>MONTH(Table1[[#This Row],[Date]])</f>
        <v>3</v>
      </c>
      <c r="L424" s="5">
        <f>DAY(Table1[[#This Row],[Date]])</f>
        <v>15</v>
      </c>
      <c r="M424" s="5" t="str">
        <f t="shared" si="13"/>
        <v>Mar</v>
      </c>
    </row>
    <row r="425" spans="1:13" x14ac:dyDescent="0.25">
      <c r="A425" s="2">
        <v>38354</v>
      </c>
      <c r="B425" t="s">
        <v>15</v>
      </c>
      <c r="C425" t="s">
        <v>23</v>
      </c>
      <c r="D425" t="s">
        <v>13</v>
      </c>
      <c r="E425" t="s">
        <v>25</v>
      </c>
      <c r="F425" s="3">
        <v>1360.41</v>
      </c>
      <c r="G425" s="3">
        <v>1813.88</v>
      </c>
      <c r="H425" s="3">
        <f>Table1[[#This Row],[Sale]]-Table1[[#This Row],[Cost]]</f>
        <v>453.47</v>
      </c>
      <c r="I425" s="4">
        <f>Table1[[#This Row],[Profit]]/Table1[[#This Row],[Sale]]</f>
        <v>0.25</v>
      </c>
      <c r="J425" s="5">
        <f t="shared" si="12"/>
        <v>2005</v>
      </c>
      <c r="K425" s="5">
        <f>MONTH(Table1[[#This Row],[Date]])</f>
        <v>1</v>
      </c>
      <c r="L425" s="5">
        <f>DAY(Table1[[#This Row],[Date]])</f>
        <v>2</v>
      </c>
      <c r="M425" s="5" t="str">
        <f t="shared" si="13"/>
        <v>Jan</v>
      </c>
    </row>
    <row r="426" spans="1:13" x14ac:dyDescent="0.25">
      <c r="A426" s="2">
        <v>38584</v>
      </c>
      <c r="B426" t="s">
        <v>17</v>
      </c>
      <c r="C426" t="s">
        <v>27</v>
      </c>
      <c r="D426" t="s">
        <v>16</v>
      </c>
      <c r="E426" t="s">
        <v>24</v>
      </c>
      <c r="F426" s="3">
        <v>406.5</v>
      </c>
      <c r="G426" s="3">
        <v>1098.6500000000001</v>
      </c>
      <c r="H426" s="3">
        <f>Table1[[#This Row],[Sale]]-Table1[[#This Row],[Cost]]</f>
        <v>692.15000000000009</v>
      </c>
      <c r="I426" s="4">
        <f>Table1[[#This Row],[Profit]]/Table1[[#This Row],[Sale]]</f>
        <v>0.63000045510399127</v>
      </c>
      <c r="J426" s="5">
        <f t="shared" si="12"/>
        <v>2005</v>
      </c>
      <c r="K426" s="5">
        <f>MONTH(Table1[[#This Row],[Date]])</f>
        <v>8</v>
      </c>
      <c r="L426" s="5">
        <f>DAY(Table1[[#This Row],[Date]])</f>
        <v>20</v>
      </c>
      <c r="M426" s="5" t="str">
        <f t="shared" si="13"/>
        <v>Aug</v>
      </c>
    </row>
    <row r="427" spans="1:13" x14ac:dyDescent="0.25">
      <c r="A427" s="2">
        <v>38394</v>
      </c>
      <c r="B427" t="s">
        <v>15</v>
      </c>
      <c r="C427" t="s">
        <v>29</v>
      </c>
      <c r="D427" t="s">
        <v>28</v>
      </c>
      <c r="E427" t="s">
        <v>24</v>
      </c>
      <c r="F427" s="3">
        <v>4673.3100000000004</v>
      </c>
      <c r="G427" s="3">
        <v>7920.86</v>
      </c>
      <c r="H427" s="3">
        <f>Table1[[#This Row],[Sale]]-Table1[[#This Row],[Cost]]</f>
        <v>3247.5499999999993</v>
      </c>
      <c r="I427" s="4">
        <f>Table1[[#This Row],[Profit]]/Table1[[#This Row],[Sale]]</f>
        <v>0.40999967175281465</v>
      </c>
      <c r="J427" s="5">
        <f t="shared" si="12"/>
        <v>2005</v>
      </c>
      <c r="K427" s="5">
        <f>MONTH(Table1[[#This Row],[Date]])</f>
        <v>2</v>
      </c>
      <c r="L427" s="5">
        <f>DAY(Table1[[#This Row],[Date]])</f>
        <v>11</v>
      </c>
      <c r="M427" s="5" t="str">
        <f t="shared" si="13"/>
        <v>Feb</v>
      </c>
    </row>
    <row r="428" spans="1:13" x14ac:dyDescent="0.25">
      <c r="A428" s="2">
        <v>38767</v>
      </c>
      <c r="B428" t="s">
        <v>17</v>
      </c>
      <c r="C428" t="s">
        <v>29</v>
      </c>
      <c r="D428" t="s">
        <v>13</v>
      </c>
      <c r="E428" t="s">
        <v>25</v>
      </c>
      <c r="F428" s="3">
        <v>7657.57</v>
      </c>
      <c r="G428" s="3">
        <v>8701.7800000000007</v>
      </c>
      <c r="H428" s="3">
        <f>Table1[[#This Row],[Sale]]-Table1[[#This Row],[Cost]]</f>
        <v>1044.2100000000009</v>
      </c>
      <c r="I428" s="4">
        <f>Table1[[#This Row],[Profit]]/Table1[[#This Row],[Sale]]</f>
        <v>0.11999958629154045</v>
      </c>
      <c r="J428" s="5">
        <f t="shared" si="12"/>
        <v>2006</v>
      </c>
      <c r="K428" s="5">
        <f>MONTH(Table1[[#This Row],[Date]])</f>
        <v>2</v>
      </c>
      <c r="L428" s="5">
        <f>DAY(Table1[[#This Row],[Date]])</f>
        <v>19</v>
      </c>
      <c r="M428" s="5" t="str">
        <f t="shared" si="13"/>
        <v>Feb</v>
      </c>
    </row>
    <row r="429" spans="1:13" x14ac:dyDescent="0.25">
      <c r="A429" s="2">
        <v>38784</v>
      </c>
      <c r="B429" t="s">
        <v>17</v>
      </c>
      <c r="C429" t="s">
        <v>29</v>
      </c>
      <c r="D429" t="s">
        <v>13</v>
      </c>
      <c r="E429" t="s">
        <v>24</v>
      </c>
      <c r="F429" s="3">
        <v>4014.97</v>
      </c>
      <c r="G429" s="3">
        <v>9337.15</v>
      </c>
      <c r="H429" s="3">
        <f>Table1[[#This Row],[Sale]]-Table1[[#This Row],[Cost]]</f>
        <v>5322.18</v>
      </c>
      <c r="I429" s="4">
        <f>Table1[[#This Row],[Profit]]/Table1[[#This Row],[Sale]]</f>
        <v>0.57000048194577579</v>
      </c>
      <c r="J429" s="5">
        <f t="shared" si="12"/>
        <v>2006</v>
      </c>
      <c r="K429" s="5">
        <f>MONTH(Table1[[#This Row],[Date]])</f>
        <v>3</v>
      </c>
      <c r="L429" s="5">
        <f>DAY(Table1[[#This Row],[Date]])</f>
        <v>8</v>
      </c>
      <c r="M429" s="5" t="str">
        <f t="shared" si="13"/>
        <v>Mar</v>
      </c>
    </row>
    <row r="430" spans="1:13" x14ac:dyDescent="0.25">
      <c r="A430" s="2">
        <v>38379</v>
      </c>
      <c r="B430" t="s">
        <v>21</v>
      </c>
      <c r="C430" t="s">
        <v>18</v>
      </c>
      <c r="D430" t="s">
        <v>16</v>
      </c>
      <c r="E430" t="s">
        <v>20</v>
      </c>
      <c r="F430" s="3">
        <v>1915.55</v>
      </c>
      <c r="G430" s="3">
        <v>5177.16</v>
      </c>
      <c r="H430" s="3">
        <f>Table1[[#This Row],[Sale]]-Table1[[#This Row],[Cost]]</f>
        <v>3261.6099999999997</v>
      </c>
      <c r="I430" s="4">
        <f>Table1[[#This Row],[Profit]]/Table1[[#This Row],[Sale]]</f>
        <v>0.62999984547512533</v>
      </c>
      <c r="J430" s="5">
        <f t="shared" si="12"/>
        <v>2005</v>
      </c>
      <c r="K430" s="5">
        <f>MONTH(Table1[[#This Row],[Date]])</f>
        <v>1</v>
      </c>
      <c r="L430" s="5">
        <f>DAY(Table1[[#This Row],[Date]])</f>
        <v>27</v>
      </c>
      <c r="M430" s="5" t="str">
        <f t="shared" si="13"/>
        <v>Jan</v>
      </c>
    </row>
    <row r="431" spans="1:13" x14ac:dyDescent="0.25">
      <c r="A431" s="2">
        <v>38589</v>
      </c>
      <c r="B431" t="s">
        <v>11</v>
      </c>
      <c r="C431" t="s">
        <v>29</v>
      </c>
      <c r="D431" t="s">
        <v>19</v>
      </c>
      <c r="E431" t="s">
        <v>20</v>
      </c>
      <c r="F431" s="3">
        <v>2596.21</v>
      </c>
      <c r="G431" s="3">
        <v>5769.35</v>
      </c>
      <c r="H431" s="3">
        <f>Table1[[#This Row],[Sale]]-Table1[[#This Row],[Cost]]</f>
        <v>3173.1400000000003</v>
      </c>
      <c r="I431" s="4">
        <f>Table1[[#This Row],[Profit]]/Table1[[#This Row],[Sale]]</f>
        <v>0.54999956667562211</v>
      </c>
      <c r="J431" s="5">
        <f t="shared" si="12"/>
        <v>2005</v>
      </c>
      <c r="K431" s="5">
        <f>MONTH(Table1[[#This Row],[Date]])</f>
        <v>8</v>
      </c>
      <c r="L431" s="5">
        <f>DAY(Table1[[#This Row],[Date]])</f>
        <v>25</v>
      </c>
      <c r="M431" s="5" t="str">
        <f t="shared" si="13"/>
        <v>Aug</v>
      </c>
    </row>
    <row r="432" spans="1:13" x14ac:dyDescent="0.25">
      <c r="A432" s="2">
        <v>38426</v>
      </c>
      <c r="B432" t="s">
        <v>26</v>
      </c>
      <c r="C432" t="s">
        <v>12</v>
      </c>
      <c r="D432" t="s">
        <v>13</v>
      </c>
      <c r="E432" t="s">
        <v>24</v>
      </c>
      <c r="F432" s="3">
        <v>3489.72</v>
      </c>
      <c r="G432" s="3">
        <v>9431.67</v>
      </c>
      <c r="H432" s="3">
        <f>Table1[[#This Row],[Sale]]-Table1[[#This Row],[Cost]]</f>
        <v>5941.9500000000007</v>
      </c>
      <c r="I432" s="4">
        <f>Table1[[#This Row],[Profit]]/Table1[[#This Row],[Sale]]</f>
        <v>0.62999977734589963</v>
      </c>
      <c r="J432" s="5">
        <f t="shared" si="12"/>
        <v>2005</v>
      </c>
      <c r="K432" s="5">
        <f>MONTH(Table1[[#This Row],[Date]])</f>
        <v>3</v>
      </c>
      <c r="L432" s="5">
        <f>DAY(Table1[[#This Row],[Date]])</f>
        <v>15</v>
      </c>
      <c r="M432" s="5" t="str">
        <f t="shared" si="13"/>
        <v>Mar</v>
      </c>
    </row>
    <row r="433" spans="1:13" x14ac:dyDescent="0.25">
      <c r="A433" s="2">
        <v>38279</v>
      </c>
      <c r="B433" t="s">
        <v>26</v>
      </c>
      <c r="C433" t="s">
        <v>29</v>
      </c>
      <c r="D433" t="s">
        <v>13</v>
      </c>
      <c r="E433" t="s">
        <v>14</v>
      </c>
      <c r="F433" s="3">
        <v>3251.1</v>
      </c>
      <c r="G433" s="3">
        <v>5911.1</v>
      </c>
      <c r="H433" s="3">
        <f>Table1[[#This Row],[Sale]]-Table1[[#This Row],[Cost]]</f>
        <v>2660.0000000000005</v>
      </c>
      <c r="I433" s="4">
        <f>Table1[[#This Row],[Profit]]/Table1[[#This Row],[Sale]]</f>
        <v>0.45000084586625166</v>
      </c>
      <c r="J433" s="5">
        <f t="shared" si="12"/>
        <v>2004</v>
      </c>
      <c r="K433" s="5">
        <f>MONTH(Table1[[#This Row],[Date]])</f>
        <v>10</v>
      </c>
      <c r="L433" s="5">
        <f>DAY(Table1[[#This Row],[Date]])</f>
        <v>19</v>
      </c>
      <c r="M433" s="5" t="str">
        <f t="shared" si="13"/>
        <v>Oct</v>
      </c>
    </row>
    <row r="434" spans="1:13" x14ac:dyDescent="0.25">
      <c r="A434" s="2">
        <v>38216</v>
      </c>
      <c r="B434" t="s">
        <v>22</v>
      </c>
      <c r="C434" t="s">
        <v>23</v>
      </c>
      <c r="D434" t="s">
        <v>13</v>
      </c>
      <c r="E434" t="s">
        <v>25</v>
      </c>
      <c r="F434" s="3">
        <v>301.33</v>
      </c>
      <c r="G434" s="3">
        <v>401.78</v>
      </c>
      <c r="H434" s="3">
        <f>Table1[[#This Row],[Sale]]-Table1[[#This Row],[Cost]]</f>
        <v>100.44999999999999</v>
      </c>
      <c r="I434" s="4">
        <f>Table1[[#This Row],[Profit]]/Table1[[#This Row],[Sale]]</f>
        <v>0.25001244462143463</v>
      </c>
      <c r="J434" s="5">
        <f t="shared" si="12"/>
        <v>2004</v>
      </c>
      <c r="K434" s="5">
        <f>MONTH(Table1[[#This Row],[Date]])</f>
        <v>8</v>
      </c>
      <c r="L434" s="5">
        <f>DAY(Table1[[#This Row],[Date]])</f>
        <v>17</v>
      </c>
      <c r="M434" s="5" t="str">
        <f t="shared" si="13"/>
        <v>Aug</v>
      </c>
    </row>
    <row r="435" spans="1:13" x14ac:dyDescent="0.25">
      <c r="A435" s="2">
        <v>38750</v>
      </c>
      <c r="B435" t="s">
        <v>26</v>
      </c>
      <c r="C435" t="s">
        <v>29</v>
      </c>
      <c r="D435" t="s">
        <v>13</v>
      </c>
      <c r="E435" t="s">
        <v>25</v>
      </c>
      <c r="F435" s="3">
        <v>7.41</v>
      </c>
      <c r="G435" s="3">
        <v>12.56</v>
      </c>
      <c r="H435" s="3">
        <f>Table1[[#This Row],[Sale]]-Table1[[#This Row],[Cost]]</f>
        <v>5.15</v>
      </c>
      <c r="I435" s="4">
        <f>Table1[[#This Row],[Profit]]/Table1[[#This Row],[Sale]]</f>
        <v>0.41003184713375795</v>
      </c>
      <c r="J435" s="5">
        <f t="shared" si="12"/>
        <v>2006</v>
      </c>
      <c r="K435" s="5">
        <f>MONTH(Table1[[#This Row],[Date]])</f>
        <v>2</v>
      </c>
      <c r="L435" s="5">
        <f>DAY(Table1[[#This Row],[Date]])</f>
        <v>2</v>
      </c>
      <c r="M435" s="5" t="str">
        <f t="shared" si="13"/>
        <v>Feb</v>
      </c>
    </row>
    <row r="436" spans="1:13" x14ac:dyDescent="0.25">
      <c r="A436" s="2">
        <v>38714</v>
      </c>
      <c r="B436" t="s">
        <v>26</v>
      </c>
      <c r="C436" t="s">
        <v>27</v>
      </c>
      <c r="D436" t="s">
        <v>28</v>
      </c>
      <c r="E436" t="s">
        <v>24</v>
      </c>
      <c r="F436" s="3">
        <v>6404.27</v>
      </c>
      <c r="G436" s="3">
        <v>8539.0300000000007</v>
      </c>
      <c r="H436" s="3">
        <f>Table1[[#This Row],[Sale]]-Table1[[#This Row],[Cost]]</f>
        <v>2134.7600000000002</v>
      </c>
      <c r="I436" s="4">
        <f>Table1[[#This Row],[Profit]]/Table1[[#This Row],[Sale]]</f>
        <v>0.25000029277330094</v>
      </c>
      <c r="J436" s="5">
        <f t="shared" si="12"/>
        <v>2005</v>
      </c>
      <c r="K436" s="5">
        <f>MONTH(Table1[[#This Row],[Date]])</f>
        <v>12</v>
      </c>
      <c r="L436" s="5">
        <f>DAY(Table1[[#This Row],[Date]])</f>
        <v>28</v>
      </c>
      <c r="M436" s="5" t="str">
        <f t="shared" si="13"/>
        <v>Dec</v>
      </c>
    </row>
    <row r="437" spans="1:13" x14ac:dyDescent="0.25">
      <c r="A437" s="2">
        <v>38238</v>
      </c>
      <c r="B437" t="s">
        <v>26</v>
      </c>
      <c r="C437" t="s">
        <v>27</v>
      </c>
      <c r="D437" t="s">
        <v>13</v>
      </c>
      <c r="E437" t="s">
        <v>20</v>
      </c>
      <c r="F437" s="3">
        <v>1907.56</v>
      </c>
      <c r="G437" s="3">
        <v>4436.18</v>
      </c>
      <c r="H437" s="3">
        <f>Table1[[#This Row],[Sale]]-Table1[[#This Row],[Cost]]</f>
        <v>2528.6200000000003</v>
      </c>
      <c r="I437" s="4">
        <f>Table1[[#This Row],[Profit]]/Table1[[#This Row],[Sale]]</f>
        <v>0.56999941391016595</v>
      </c>
      <c r="J437" s="5">
        <f t="shared" si="12"/>
        <v>2004</v>
      </c>
      <c r="K437" s="5">
        <f>MONTH(Table1[[#This Row],[Date]])</f>
        <v>9</v>
      </c>
      <c r="L437" s="5">
        <f>DAY(Table1[[#This Row],[Date]])</f>
        <v>8</v>
      </c>
      <c r="M437" s="5" t="str">
        <f t="shared" si="13"/>
        <v>Sep</v>
      </c>
    </row>
    <row r="438" spans="1:13" x14ac:dyDescent="0.25">
      <c r="A438" s="2">
        <v>38746</v>
      </c>
      <c r="B438" t="s">
        <v>21</v>
      </c>
      <c r="C438" t="s">
        <v>27</v>
      </c>
      <c r="D438" t="s">
        <v>13</v>
      </c>
      <c r="E438" t="s">
        <v>25</v>
      </c>
      <c r="F438" s="3">
        <v>2809.75</v>
      </c>
      <c r="G438" s="3">
        <v>3005.08</v>
      </c>
      <c r="H438" s="3">
        <f>Table1[[#This Row],[Sale]]-Table1[[#This Row],[Cost]]</f>
        <v>195.32999999999993</v>
      </c>
      <c r="I438" s="4">
        <f>Table1[[#This Row],[Profit]]/Table1[[#This Row],[Sale]]</f>
        <v>6.499993344603136E-2</v>
      </c>
      <c r="J438" s="5">
        <f t="shared" si="12"/>
        <v>2006</v>
      </c>
      <c r="K438" s="5">
        <f>MONTH(Table1[[#This Row],[Date]])</f>
        <v>1</v>
      </c>
      <c r="L438" s="5">
        <f>DAY(Table1[[#This Row],[Date]])</f>
        <v>29</v>
      </c>
      <c r="M438" s="5" t="str">
        <f t="shared" si="13"/>
        <v>Jan</v>
      </c>
    </row>
    <row r="439" spans="1:13" x14ac:dyDescent="0.25">
      <c r="A439" s="2">
        <v>38773</v>
      </c>
      <c r="B439" t="s">
        <v>21</v>
      </c>
      <c r="C439" t="s">
        <v>23</v>
      </c>
      <c r="D439" t="s">
        <v>13</v>
      </c>
      <c r="E439" t="s">
        <v>25</v>
      </c>
      <c r="F439" s="3">
        <v>1315.11</v>
      </c>
      <c r="G439" s="3">
        <v>1406.53</v>
      </c>
      <c r="H439" s="3">
        <f>Table1[[#This Row],[Sale]]-Table1[[#This Row],[Cost]]</f>
        <v>91.420000000000073</v>
      </c>
      <c r="I439" s="4">
        <f>Table1[[#This Row],[Profit]]/Table1[[#This Row],[Sale]]</f>
        <v>6.4996836185506224E-2</v>
      </c>
      <c r="J439" s="5">
        <f t="shared" si="12"/>
        <v>2006</v>
      </c>
      <c r="K439" s="5">
        <f>MONTH(Table1[[#This Row],[Date]])</f>
        <v>2</v>
      </c>
      <c r="L439" s="5">
        <f>DAY(Table1[[#This Row],[Date]])</f>
        <v>25</v>
      </c>
      <c r="M439" s="5" t="str">
        <f t="shared" si="13"/>
        <v>Feb</v>
      </c>
    </row>
    <row r="440" spans="1:13" x14ac:dyDescent="0.25">
      <c r="A440" s="2">
        <v>38587</v>
      </c>
      <c r="B440" t="s">
        <v>11</v>
      </c>
      <c r="C440" t="s">
        <v>29</v>
      </c>
      <c r="D440" t="s">
        <v>28</v>
      </c>
      <c r="E440" t="s">
        <v>24</v>
      </c>
      <c r="F440" s="3">
        <v>4906.63</v>
      </c>
      <c r="G440" s="3">
        <v>8921.14</v>
      </c>
      <c r="H440" s="3">
        <f>Table1[[#This Row],[Sale]]-Table1[[#This Row],[Cost]]</f>
        <v>4014.5099999999993</v>
      </c>
      <c r="I440" s="4">
        <f>Table1[[#This Row],[Profit]]/Table1[[#This Row],[Sale]]</f>
        <v>0.44999966372010747</v>
      </c>
      <c r="J440" s="5">
        <f t="shared" si="12"/>
        <v>2005</v>
      </c>
      <c r="K440" s="5">
        <f>MONTH(Table1[[#This Row],[Date]])</f>
        <v>8</v>
      </c>
      <c r="L440" s="5">
        <f>DAY(Table1[[#This Row],[Date]])</f>
        <v>23</v>
      </c>
      <c r="M440" s="5" t="str">
        <f t="shared" si="13"/>
        <v>Aug</v>
      </c>
    </row>
    <row r="441" spans="1:13" x14ac:dyDescent="0.25">
      <c r="A441" s="2">
        <v>38260</v>
      </c>
      <c r="B441" t="s">
        <v>26</v>
      </c>
      <c r="C441" t="s">
        <v>23</v>
      </c>
      <c r="D441" t="s">
        <v>13</v>
      </c>
      <c r="E441" t="s">
        <v>20</v>
      </c>
      <c r="F441" s="3">
        <v>2121.67</v>
      </c>
      <c r="G441" s="3">
        <v>4714.83</v>
      </c>
      <c r="H441" s="3">
        <f>Table1[[#This Row],[Sale]]-Table1[[#This Row],[Cost]]</f>
        <v>2593.16</v>
      </c>
      <c r="I441" s="4">
        <f>Table1[[#This Row],[Profit]]/Table1[[#This Row],[Sale]]</f>
        <v>0.55000074233853602</v>
      </c>
      <c r="J441" s="5">
        <f t="shared" si="12"/>
        <v>2004</v>
      </c>
      <c r="K441" s="5">
        <f>MONTH(Table1[[#This Row],[Date]])</f>
        <v>9</v>
      </c>
      <c r="L441" s="5">
        <f>DAY(Table1[[#This Row],[Date]])</f>
        <v>30</v>
      </c>
      <c r="M441" s="5" t="str">
        <f t="shared" si="13"/>
        <v>Sep</v>
      </c>
    </row>
    <row r="442" spans="1:13" x14ac:dyDescent="0.25">
      <c r="A442" s="2">
        <v>38373</v>
      </c>
      <c r="B442" t="s">
        <v>15</v>
      </c>
      <c r="C442" t="s">
        <v>27</v>
      </c>
      <c r="D442" t="s">
        <v>19</v>
      </c>
      <c r="E442" t="s">
        <v>20</v>
      </c>
      <c r="F442" s="3">
        <v>3070.16</v>
      </c>
      <c r="G442" s="3">
        <v>4093.54</v>
      </c>
      <c r="H442" s="3">
        <f>Table1[[#This Row],[Sale]]-Table1[[#This Row],[Cost]]</f>
        <v>1023.3800000000001</v>
      </c>
      <c r="I442" s="4">
        <f>Table1[[#This Row],[Profit]]/Table1[[#This Row],[Sale]]</f>
        <v>0.24999877856329733</v>
      </c>
      <c r="J442" s="5">
        <f t="shared" si="12"/>
        <v>2005</v>
      </c>
      <c r="K442" s="5">
        <f>MONTH(Table1[[#This Row],[Date]])</f>
        <v>1</v>
      </c>
      <c r="L442" s="5">
        <f>DAY(Table1[[#This Row],[Date]])</f>
        <v>21</v>
      </c>
      <c r="M442" s="5" t="str">
        <f t="shared" si="13"/>
        <v>Jan</v>
      </c>
    </row>
    <row r="443" spans="1:13" x14ac:dyDescent="0.25">
      <c r="A443" s="2">
        <v>38876</v>
      </c>
      <c r="B443" t="s">
        <v>17</v>
      </c>
      <c r="C443" t="s">
        <v>18</v>
      </c>
      <c r="D443" t="s">
        <v>19</v>
      </c>
      <c r="E443" t="s">
        <v>14</v>
      </c>
      <c r="F443" s="3">
        <v>1563.02</v>
      </c>
      <c r="G443" s="3">
        <v>3634.92</v>
      </c>
      <c r="H443" s="3">
        <f>Table1[[#This Row],[Sale]]-Table1[[#This Row],[Cost]]</f>
        <v>2071.9</v>
      </c>
      <c r="I443" s="4">
        <f>Table1[[#This Row],[Profit]]/Table1[[#This Row],[Sale]]</f>
        <v>0.56999878951943928</v>
      </c>
      <c r="J443" s="5">
        <f t="shared" si="12"/>
        <v>2006</v>
      </c>
      <c r="K443" s="5">
        <f>MONTH(Table1[[#This Row],[Date]])</f>
        <v>6</v>
      </c>
      <c r="L443" s="5">
        <f>DAY(Table1[[#This Row],[Date]])</f>
        <v>8</v>
      </c>
      <c r="M443" s="5" t="str">
        <f t="shared" si="13"/>
        <v>Jun</v>
      </c>
    </row>
    <row r="444" spans="1:13" x14ac:dyDescent="0.25">
      <c r="A444" s="2">
        <v>38453</v>
      </c>
      <c r="B444" t="s">
        <v>21</v>
      </c>
      <c r="C444" t="s">
        <v>18</v>
      </c>
      <c r="D444" t="s">
        <v>13</v>
      </c>
      <c r="E444" t="s">
        <v>20</v>
      </c>
      <c r="F444" s="3">
        <v>139.94999999999999</v>
      </c>
      <c r="G444" s="3">
        <v>378.23</v>
      </c>
      <c r="H444" s="3">
        <f>Table1[[#This Row],[Sale]]-Table1[[#This Row],[Cost]]</f>
        <v>238.28000000000003</v>
      </c>
      <c r="I444" s="4">
        <f>Table1[[#This Row],[Profit]]/Table1[[#This Row],[Sale]]</f>
        <v>0.62998704491975788</v>
      </c>
      <c r="J444" s="5">
        <f t="shared" si="12"/>
        <v>2005</v>
      </c>
      <c r="K444" s="5">
        <f>MONTH(Table1[[#This Row],[Date]])</f>
        <v>4</v>
      </c>
      <c r="L444" s="5">
        <f>DAY(Table1[[#This Row],[Date]])</f>
        <v>11</v>
      </c>
      <c r="M444" s="5" t="str">
        <f t="shared" si="13"/>
        <v>Apr</v>
      </c>
    </row>
    <row r="445" spans="1:13" x14ac:dyDescent="0.25">
      <c r="A445" s="2">
        <v>38364</v>
      </c>
      <c r="B445" t="s">
        <v>22</v>
      </c>
      <c r="C445" t="s">
        <v>29</v>
      </c>
      <c r="D445" t="s">
        <v>16</v>
      </c>
      <c r="E445" t="s">
        <v>14</v>
      </c>
      <c r="F445" s="3">
        <v>3836.51</v>
      </c>
      <c r="G445" s="3">
        <v>6975.47</v>
      </c>
      <c r="H445" s="3">
        <f>Table1[[#This Row],[Sale]]-Table1[[#This Row],[Cost]]</f>
        <v>3138.96</v>
      </c>
      <c r="I445" s="4">
        <f>Table1[[#This Row],[Profit]]/Table1[[#This Row],[Sale]]</f>
        <v>0.44999978496072662</v>
      </c>
      <c r="J445" s="5">
        <f t="shared" si="12"/>
        <v>2005</v>
      </c>
      <c r="K445" s="5">
        <f>MONTH(Table1[[#This Row],[Date]])</f>
        <v>1</v>
      </c>
      <c r="L445" s="5">
        <f>DAY(Table1[[#This Row],[Date]])</f>
        <v>12</v>
      </c>
      <c r="M445" s="5" t="str">
        <f t="shared" si="13"/>
        <v>Jan</v>
      </c>
    </row>
    <row r="446" spans="1:13" x14ac:dyDescent="0.25">
      <c r="A446" s="2">
        <v>38565</v>
      </c>
      <c r="B446" t="s">
        <v>26</v>
      </c>
      <c r="C446" t="s">
        <v>27</v>
      </c>
      <c r="D446" t="s">
        <v>19</v>
      </c>
      <c r="E446" t="s">
        <v>24</v>
      </c>
      <c r="F446" s="3">
        <v>1375.02</v>
      </c>
      <c r="G446" s="3">
        <v>2022.09</v>
      </c>
      <c r="H446" s="3">
        <f>Table1[[#This Row],[Sale]]-Table1[[#This Row],[Cost]]</f>
        <v>647.06999999999994</v>
      </c>
      <c r="I446" s="4">
        <f>Table1[[#This Row],[Profit]]/Table1[[#This Row],[Sale]]</f>
        <v>0.32000059344539561</v>
      </c>
      <c r="J446" s="5">
        <f t="shared" si="12"/>
        <v>2005</v>
      </c>
      <c r="K446" s="5">
        <f>MONTH(Table1[[#This Row],[Date]])</f>
        <v>8</v>
      </c>
      <c r="L446" s="5">
        <f>DAY(Table1[[#This Row],[Date]])</f>
        <v>1</v>
      </c>
      <c r="M446" s="5" t="str">
        <f t="shared" si="13"/>
        <v>Aug</v>
      </c>
    </row>
    <row r="447" spans="1:13" x14ac:dyDescent="0.25">
      <c r="A447" s="2">
        <v>38321</v>
      </c>
      <c r="B447" t="s">
        <v>21</v>
      </c>
      <c r="C447" t="s">
        <v>23</v>
      </c>
      <c r="D447" t="s">
        <v>16</v>
      </c>
      <c r="E447" t="s">
        <v>25</v>
      </c>
      <c r="F447" s="3">
        <v>4760.79</v>
      </c>
      <c r="G447" s="3">
        <v>8208.26</v>
      </c>
      <c r="H447" s="3">
        <f>Table1[[#This Row],[Sale]]-Table1[[#This Row],[Cost]]</f>
        <v>3447.4700000000003</v>
      </c>
      <c r="I447" s="4">
        <f>Table1[[#This Row],[Profit]]/Table1[[#This Row],[Sale]]</f>
        <v>0.4200000974627997</v>
      </c>
      <c r="J447" s="5">
        <f t="shared" si="12"/>
        <v>2004</v>
      </c>
      <c r="K447" s="5">
        <f>MONTH(Table1[[#This Row],[Date]])</f>
        <v>11</v>
      </c>
      <c r="L447" s="5">
        <f>DAY(Table1[[#This Row],[Date]])</f>
        <v>30</v>
      </c>
      <c r="M447" s="5" t="str">
        <f t="shared" si="13"/>
        <v>Nov</v>
      </c>
    </row>
    <row r="448" spans="1:13" x14ac:dyDescent="0.25">
      <c r="A448" s="2">
        <v>38779</v>
      </c>
      <c r="B448" t="s">
        <v>17</v>
      </c>
      <c r="C448" t="s">
        <v>12</v>
      </c>
      <c r="D448" t="s">
        <v>16</v>
      </c>
      <c r="E448" t="s">
        <v>25</v>
      </c>
      <c r="F448" s="3">
        <v>426.48</v>
      </c>
      <c r="G448" s="3">
        <v>991.81</v>
      </c>
      <c r="H448" s="3">
        <f>Table1[[#This Row],[Sale]]-Table1[[#This Row],[Cost]]</f>
        <v>565.32999999999993</v>
      </c>
      <c r="I448" s="4">
        <f>Table1[[#This Row],[Profit]]/Table1[[#This Row],[Sale]]</f>
        <v>0.56999828596202895</v>
      </c>
      <c r="J448" s="5">
        <f t="shared" si="12"/>
        <v>2006</v>
      </c>
      <c r="K448" s="5">
        <f>MONTH(Table1[[#This Row],[Date]])</f>
        <v>3</v>
      </c>
      <c r="L448" s="5">
        <f>DAY(Table1[[#This Row],[Date]])</f>
        <v>3</v>
      </c>
      <c r="M448" s="5" t="str">
        <f t="shared" si="13"/>
        <v>Mar</v>
      </c>
    </row>
    <row r="449" spans="1:13" x14ac:dyDescent="0.25">
      <c r="A449" s="2">
        <v>38823</v>
      </c>
      <c r="B449" t="s">
        <v>17</v>
      </c>
      <c r="C449" t="s">
        <v>23</v>
      </c>
      <c r="D449" t="s">
        <v>13</v>
      </c>
      <c r="E449" t="s">
        <v>14</v>
      </c>
      <c r="F449" s="3">
        <v>2350.46</v>
      </c>
      <c r="G449" s="3">
        <v>4052.52</v>
      </c>
      <c r="H449" s="3">
        <f>Table1[[#This Row],[Sale]]-Table1[[#This Row],[Cost]]</f>
        <v>1702.06</v>
      </c>
      <c r="I449" s="4">
        <f>Table1[[#This Row],[Profit]]/Table1[[#This Row],[Sale]]</f>
        <v>0.42000039481606505</v>
      </c>
      <c r="J449" s="5">
        <f t="shared" si="12"/>
        <v>2006</v>
      </c>
      <c r="K449" s="5">
        <f>MONTH(Table1[[#This Row],[Date]])</f>
        <v>4</v>
      </c>
      <c r="L449" s="5">
        <f>DAY(Table1[[#This Row],[Date]])</f>
        <v>16</v>
      </c>
      <c r="M449" s="5" t="str">
        <f t="shared" si="13"/>
        <v>Apr</v>
      </c>
    </row>
    <row r="450" spans="1:13" x14ac:dyDescent="0.25">
      <c r="A450" s="2">
        <v>38327</v>
      </c>
      <c r="B450" t="s">
        <v>15</v>
      </c>
      <c r="C450" t="s">
        <v>12</v>
      </c>
      <c r="D450" t="s">
        <v>28</v>
      </c>
      <c r="E450" t="s">
        <v>20</v>
      </c>
      <c r="F450" s="3">
        <v>2226.9499999999998</v>
      </c>
      <c r="G450" s="3">
        <v>2530.62</v>
      </c>
      <c r="H450" s="3">
        <f>Table1[[#This Row],[Sale]]-Table1[[#This Row],[Cost]]</f>
        <v>303.67000000000007</v>
      </c>
      <c r="I450" s="4">
        <f>Table1[[#This Row],[Profit]]/Table1[[#This Row],[Sale]]</f>
        <v>0.1199982612956509</v>
      </c>
      <c r="J450" s="5">
        <f t="shared" ref="J450:J513" si="14">YEAR(A:A)</f>
        <v>2004</v>
      </c>
      <c r="K450" s="5">
        <f>MONTH(Table1[[#This Row],[Date]])</f>
        <v>12</v>
      </c>
      <c r="L450" s="5">
        <f>DAY(Table1[[#This Row],[Date]])</f>
        <v>6</v>
      </c>
      <c r="M450" s="5" t="str">
        <f t="shared" ref="M450:M513" si="15">CHOOSE(K450,"Jan", "Feb", "Mar", "Apr", "May", "Jun", "Jul", "Aug", "Sep", "Oct", "Nov", "Dec")</f>
        <v>Dec</v>
      </c>
    </row>
    <row r="451" spans="1:13" x14ac:dyDescent="0.25">
      <c r="A451" s="2">
        <v>38788</v>
      </c>
      <c r="B451" t="s">
        <v>26</v>
      </c>
      <c r="C451" t="s">
        <v>12</v>
      </c>
      <c r="D451" t="s">
        <v>28</v>
      </c>
      <c r="E451" t="s">
        <v>14</v>
      </c>
      <c r="F451" s="3">
        <v>3445.13</v>
      </c>
      <c r="G451" s="3">
        <v>9311.16</v>
      </c>
      <c r="H451" s="3">
        <f>Table1[[#This Row],[Sale]]-Table1[[#This Row],[Cost]]</f>
        <v>5866.03</v>
      </c>
      <c r="I451" s="4">
        <f>Table1[[#This Row],[Profit]]/Table1[[#This Row],[Sale]]</f>
        <v>0.62999991408159672</v>
      </c>
      <c r="J451" s="5">
        <f t="shared" si="14"/>
        <v>2006</v>
      </c>
      <c r="K451" s="5">
        <f>MONTH(Table1[[#This Row],[Date]])</f>
        <v>3</v>
      </c>
      <c r="L451" s="5">
        <f>DAY(Table1[[#This Row],[Date]])</f>
        <v>12</v>
      </c>
      <c r="M451" s="5" t="str">
        <f t="shared" si="15"/>
        <v>Mar</v>
      </c>
    </row>
    <row r="452" spans="1:13" x14ac:dyDescent="0.25">
      <c r="A452" s="2">
        <v>38661</v>
      </c>
      <c r="B452" t="s">
        <v>11</v>
      </c>
      <c r="C452" t="s">
        <v>12</v>
      </c>
      <c r="D452" t="s">
        <v>16</v>
      </c>
      <c r="E452" t="s">
        <v>25</v>
      </c>
      <c r="F452" s="3">
        <v>7261.47</v>
      </c>
      <c r="G452" s="3">
        <v>8251.67</v>
      </c>
      <c r="H452" s="3">
        <f>Table1[[#This Row],[Sale]]-Table1[[#This Row],[Cost]]</f>
        <v>990.19999999999982</v>
      </c>
      <c r="I452" s="4">
        <f>Table1[[#This Row],[Profit]]/Table1[[#This Row],[Sale]]</f>
        <v>0.11999995152496401</v>
      </c>
      <c r="J452" s="5">
        <f t="shared" si="14"/>
        <v>2005</v>
      </c>
      <c r="K452" s="5">
        <f>MONTH(Table1[[#This Row],[Date]])</f>
        <v>11</v>
      </c>
      <c r="L452" s="5">
        <f>DAY(Table1[[#This Row],[Date]])</f>
        <v>5</v>
      </c>
      <c r="M452" s="5" t="str">
        <f t="shared" si="15"/>
        <v>Nov</v>
      </c>
    </row>
    <row r="453" spans="1:13" x14ac:dyDescent="0.25">
      <c r="A453" s="2">
        <v>38645</v>
      </c>
      <c r="B453" t="s">
        <v>21</v>
      </c>
      <c r="C453" t="s">
        <v>29</v>
      </c>
      <c r="D453" t="s">
        <v>16</v>
      </c>
      <c r="E453" t="s">
        <v>25</v>
      </c>
      <c r="F453" s="3">
        <v>5027.1000000000004</v>
      </c>
      <c r="G453" s="3">
        <v>8667.42</v>
      </c>
      <c r="H453" s="3">
        <f>Table1[[#This Row],[Sale]]-Table1[[#This Row],[Cost]]</f>
        <v>3640.3199999999997</v>
      </c>
      <c r="I453" s="4">
        <f>Table1[[#This Row],[Profit]]/Table1[[#This Row],[Sale]]</f>
        <v>0.42000041534851196</v>
      </c>
      <c r="J453" s="5">
        <f t="shared" si="14"/>
        <v>2005</v>
      </c>
      <c r="K453" s="5">
        <f>MONTH(Table1[[#This Row],[Date]])</f>
        <v>10</v>
      </c>
      <c r="L453" s="5">
        <f>DAY(Table1[[#This Row],[Date]])</f>
        <v>20</v>
      </c>
      <c r="M453" s="5" t="str">
        <f t="shared" si="15"/>
        <v>Oct</v>
      </c>
    </row>
    <row r="454" spans="1:13" x14ac:dyDescent="0.25">
      <c r="A454" s="2">
        <v>38355</v>
      </c>
      <c r="B454" t="s">
        <v>26</v>
      </c>
      <c r="C454" t="s">
        <v>23</v>
      </c>
      <c r="D454" t="s">
        <v>16</v>
      </c>
      <c r="E454" t="s">
        <v>20</v>
      </c>
      <c r="F454" s="3">
        <v>1690.76</v>
      </c>
      <c r="G454" s="3">
        <v>3074.11</v>
      </c>
      <c r="H454" s="3">
        <f>Table1[[#This Row],[Sale]]-Table1[[#This Row],[Cost]]</f>
        <v>1383.3500000000001</v>
      </c>
      <c r="I454" s="4">
        <f>Table1[[#This Row],[Profit]]/Table1[[#This Row],[Sale]]</f>
        <v>0.45000016264870157</v>
      </c>
      <c r="J454" s="5">
        <f t="shared" si="14"/>
        <v>2005</v>
      </c>
      <c r="K454" s="5">
        <f>MONTH(Table1[[#This Row],[Date]])</f>
        <v>1</v>
      </c>
      <c r="L454" s="5">
        <f>DAY(Table1[[#This Row],[Date]])</f>
        <v>3</v>
      </c>
      <c r="M454" s="5" t="str">
        <f t="shared" si="15"/>
        <v>Jan</v>
      </c>
    </row>
    <row r="455" spans="1:13" x14ac:dyDescent="0.25">
      <c r="A455" s="2">
        <v>38560</v>
      </c>
      <c r="B455" t="s">
        <v>21</v>
      </c>
      <c r="C455" t="s">
        <v>18</v>
      </c>
      <c r="D455" t="s">
        <v>13</v>
      </c>
      <c r="E455" t="s">
        <v>14</v>
      </c>
      <c r="F455" s="3">
        <v>5568.69</v>
      </c>
      <c r="G455" s="3">
        <v>9438.4500000000007</v>
      </c>
      <c r="H455" s="3">
        <f>Table1[[#This Row],[Sale]]-Table1[[#This Row],[Cost]]</f>
        <v>3869.7600000000011</v>
      </c>
      <c r="I455" s="4">
        <f>Table1[[#This Row],[Profit]]/Table1[[#This Row],[Sale]]</f>
        <v>0.40999952322680111</v>
      </c>
      <c r="J455" s="5">
        <f t="shared" si="14"/>
        <v>2005</v>
      </c>
      <c r="K455" s="5">
        <f>MONTH(Table1[[#This Row],[Date]])</f>
        <v>7</v>
      </c>
      <c r="L455" s="5">
        <f>DAY(Table1[[#This Row],[Date]])</f>
        <v>27</v>
      </c>
      <c r="M455" s="5" t="str">
        <f t="shared" si="15"/>
        <v>Jul</v>
      </c>
    </row>
    <row r="456" spans="1:13" x14ac:dyDescent="0.25">
      <c r="A456" s="2">
        <v>38260</v>
      </c>
      <c r="B456" t="s">
        <v>22</v>
      </c>
      <c r="C456" t="s">
        <v>27</v>
      </c>
      <c r="D456" t="s">
        <v>28</v>
      </c>
      <c r="E456" t="s">
        <v>20</v>
      </c>
      <c r="F456" s="3">
        <v>2896.02</v>
      </c>
      <c r="G456" s="3">
        <v>4993.1400000000003</v>
      </c>
      <c r="H456" s="3">
        <f>Table1[[#This Row],[Sale]]-Table1[[#This Row],[Cost]]</f>
        <v>2097.1200000000003</v>
      </c>
      <c r="I456" s="4">
        <f>Table1[[#This Row],[Profit]]/Table1[[#This Row],[Sale]]</f>
        <v>0.42000024032973243</v>
      </c>
      <c r="J456" s="5">
        <f t="shared" si="14"/>
        <v>2004</v>
      </c>
      <c r="K456" s="5">
        <f>MONTH(Table1[[#This Row],[Date]])</f>
        <v>9</v>
      </c>
      <c r="L456" s="5">
        <f>DAY(Table1[[#This Row],[Date]])</f>
        <v>30</v>
      </c>
      <c r="M456" s="5" t="str">
        <f t="shared" si="15"/>
        <v>Sep</v>
      </c>
    </row>
    <row r="457" spans="1:13" x14ac:dyDescent="0.25">
      <c r="A457" s="2">
        <v>38878</v>
      </c>
      <c r="B457" t="s">
        <v>17</v>
      </c>
      <c r="C457" t="s">
        <v>12</v>
      </c>
      <c r="D457" t="s">
        <v>13</v>
      </c>
      <c r="E457" t="s">
        <v>20</v>
      </c>
      <c r="F457" s="3">
        <v>2681.74</v>
      </c>
      <c r="G457" s="3">
        <v>5959.42</v>
      </c>
      <c r="H457" s="3">
        <f>Table1[[#This Row],[Sale]]-Table1[[#This Row],[Cost]]</f>
        <v>3277.6800000000003</v>
      </c>
      <c r="I457" s="4">
        <f>Table1[[#This Row],[Profit]]/Table1[[#This Row],[Sale]]</f>
        <v>0.54999983219843551</v>
      </c>
      <c r="J457" s="5">
        <f t="shared" si="14"/>
        <v>2006</v>
      </c>
      <c r="K457" s="5">
        <f>MONTH(Table1[[#This Row],[Date]])</f>
        <v>6</v>
      </c>
      <c r="L457" s="5">
        <f>DAY(Table1[[#This Row],[Date]])</f>
        <v>10</v>
      </c>
      <c r="M457" s="5" t="str">
        <f t="shared" si="15"/>
        <v>Jun</v>
      </c>
    </row>
    <row r="458" spans="1:13" x14ac:dyDescent="0.25">
      <c r="A458" s="2">
        <v>38472</v>
      </c>
      <c r="B458" t="s">
        <v>26</v>
      </c>
      <c r="C458" t="s">
        <v>12</v>
      </c>
      <c r="D458" t="s">
        <v>19</v>
      </c>
      <c r="E458" t="s">
        <v>25</v>
      </c>
      <c r="F458" s="3">
        <v>2401.73</v>
      </c>
      <c r="G458" s="3">
        <v>6491.17</v>
      </c>
      <c r="H458" s="3">
        <f>Table1[[#This Row],[Sale]]-Table1[[#This Row],[Cost]]</f>
        <v>4089.44</v>
      </c>
      <c r="I458" s="4">
        <f>Table1[[#This Row],[Profit]]/Table1[[#This Row],[Sale]]</f>
        <v>0.63000044676075351</v>
      </c>
      <c r="J458" s="5">
        <f t="shared" si="14"/>
        <v>2005</v>
      </c>
      <c r="K458" s="5">
        <f>MONTH(Table1[[#This Row],[Date]])</f>
        <v>4</v>
      </c>
      <c r="L458" s="5">
        <f>DAY(Table1[[#This Row],[Date]])</f>
        <v>30</v>
      </c>
      <c r="M458" s="5" t="str">
        <f t="shared" si="15"/>
        <v>Apr</v>
      </c>
    </row>
    <row r="459" spans="1:13" x14ac:dyDescent="0.25">
      <c r="A459" s="2">
        <v>38807</v>
      </c>
      <c r="B459" t="s">
        <v>17</v>
      </c>
      <c r="C459" t="s">
        <v>12</v>
      </c>
      <c r="D459" t="s">
        <v>16</v>
      </c>
      <c r="E459" t="s">
        <v>20</v>
      </c>
      <c r="F459" s="3">
        <v>4454</v>
      </c>
      <c r="G459" s="3">
        <v>5938.66</v>
      </c>
      <c r="H459" s="3">
        <f>Table1[[#This Row],[Sale]]-Table1[[#This Row],[Cost]]</f>
        <v>1484.6599999999999</v>
      </c>
      <c r="I459" s="4">
        <f>Table1[[#This Row],[Profit]]/Table1[[#This Row],[Sale]]</f>
        <v>0.24999915805922546</v>
      </c>
      <c r="J459" s="5">
        <f t="shared" si="14"/>
        <v>2006</v>
      </c>
      <c r="K459" s="5">
        <f>MONTH(Table1[[#This Row],[Date]])</f>
        <v>3</v>
      </c>
      <c r="L459" s="5">
        <f>DAY(Table1[[#This Row],[Date]])</f>
        <v>31</v>
      </c>
      <c r="M459" s="5" t="str">
        <f t="shared" si="15"/>
        <v>Mar</v>
      </c>
    </row>
    <row r="460" spans="1:13" x14ac:dyDescent="0.25">
      <c r="A460" s="2">
        <v>38606</v>
      </c>
      <c r="B460" t="s">
        <v>26</v>
      </c>
      <c r="C460" t="s">
        <v>12</v>
      </c>
      <c r="D460" t="s">
        <v>16</v>
      </c>
      <c r="E460" t="s">
        <v>25</v>
      </c>
      <c r="F460" s="3">
        <v>2990.26</v>
      </c>
      <c r="G460" s="3">
        <v>8081.79</v>
      </c>
      <c r="H460" s="3">
        <f>Table1[[#This Row],[Sale]]-Table1[[#This Row],[Cost]]</f>
        <v>5091.53</v>
      </c>
      <c r="I460" s="4">
        <f>Table1[[#This Row],[Profit]]/Table1[[#This Row],[Sale]]</f>
        <v>0.63000028459041868</v>
      </c>
      <c r="J460" s="5">
        <f t="shared" si="14"/>
        <v>2005</v>
      </c>
      <c r="K460" s="5">
        <f>MONTH(Table1[[#This Row],[Date]])</f>
        <v>9</v>
      </c>
      <c r="L460" s="5">
        <f>DAY(Table1[[#This Row],[Date]])</f>
        <v>11</v>
      </c>
      <c r="M460" s="5" t="str">
        <f t="shared" si="15"/>
        <v>Sep</v>
      </c>
    </row>
    <row r="461" spans="1:13" x14ac:dyDescent="0.25">
      <c r="A461" s="2">
        <v>38559</v>
      </c>
      <c r="B461" t="s">
        <v>26</v>
      </c>
      <c r="C461" t="s">
        <v>23</v>
      </c>
      <c r="D461" t="s">
        <v>28</v>
      </c>
      <c r="E461" t="s">
        <v>25</v>
      </c>
      <c r="F461" s="3">
        <v>3562.2</v>
      </c>
      <c r="G461" s="3">
        <v>6476.72</v>
      </c>
      <c r="H461" s="3">
        <f>Table1[[#This Row],[Sale]]-Table1[[#This Row],[Cost]]</f>
        <v>2914.5200000000004</v>
      </c>
      <c r="I461" s="4">
        <f>Table1[[#This Row],[Profit]]/Table1[[#This Row],[Sale]]</f>
        <v>0.44999938240343884</v>
      </c>
      <c r="J461" s="5">
        <f t="shared" si="14"/>
        <v>2005</v>
      </c>
      <c r="K461" s="5">
        <f>MONTH(Table1[[#This Row],[Date]])</f>
        <v>7</v>
      </c>
      <c r="L461" s="5">
        <f>DAY(Table1[[#This Row],[Date]])</f>
        <v>26</v>
      </c>
      <c r="M461" s="5" t="str">
        <f t="shared" si="15"/>
        <v>Jul</v>
      </c>
    </row>
    <row r="462" spans="1:13" x14ac:dyDescent="0.25">
      <c r="A462" s="2">
        <v>38792</v>
      </c>
      <c r="B462" t="s">
        <v>17</v>
      </c>
      <c r="C462" t="s">
        <v>23</v>
      </c>
      <c r="D462" t="s">
        <v>19</v>
      </c>
      <c r="E462" t="s">
        <v>25</v>
      </c>
      <c r="F462" s="3">
        <v>9007.0499999999993</v>
      </c>
      <c r="G462" s="3">
        <v>9633.2099999999991</v>
      </c>
      <c r="H462" s="3">
        <f>Table1[[#This Row],[Sale]]-Table1[[#This Row],[Cost]]</f>
        <v>626.15999999999985</v>
      </c>
      <c r="I462" s="4">
        <f>Table1[[#This Row],[Profit]]/Table1[[#This Row],[Sale]]</f>
        <v>6.5000140140202473E-2</v>
      </c>
      <c r="J462" s="5">
        <f t="shared" si="14"/>
        <v>2006</v>
      </c>
      <c r="K462" s="5">
        <f>MONTH(Table1[[#This Row],[Date]])</f>
        <v>3</v>
      </c>
      <c r="L462" s="5">
        <f>DAY(Table1[[#This Row],[Date]])</f>
        <v>16</v>
      </c>
      <c r="M462" s="5" t="str">
        <f t="shared" si="15"/>
        <v>Mar</v>
      </c>
    </row>
    <row r="463" spans="1:13" x14ac:dyDescent="0.25">
      <c r="A463" s="2">
        <v>38488</v>
      </c>
      <c r="B463" t="s">
        <v>26</v>
      </c>
      <c r="C463" t="s">
        <v>29</v>
      </c>
      <c r="D463" t="s">
        <v>16</v>
      </c>
      <c r="E463" t="s">
        <v>20</v>
      </c>
      <c r="F463" s="3">
        <v>2887.72</v>
      </c>
      <c r="G463" s="3">
        <v>4978.83</v>
      </c>
      <c r="H463" s="3">
        <f>Table1[[#This Row],[Sale]]-Table1[[#This Row],[Cost]]</f>
        <v>2091.11</v>
      </c>
      <c r="I463" s="4">
        <f>Table1[[#This Row],[Profit]]/Table1[[#This Row],[Sale]]</f>
        <v>0.42000028119056088</v>
      </c>
      <c r="J463" s="5">
        <f t="shared" si="14"/>
        <v>2005</v>
      </c>
      <c r="K463" s="5">
        <f>MONTH(Table1[[#This Row],[Date]])</f>
        <v>5</v>
      </c>
      <c r="L463" s="5">
        <f>DAY(Table1[[#This Row],[Date]])</f>
        <v>16</v>
      </c>
      <c r="M463" s="5" t="str">
        <f t="shared" si="15"/>
        <v>May</v>
      </c>
    </row>
    <row r="464" spans="1:13" x14ac:dyDescent="0.25">
      <c r="A464" s="2">
        <v>38284</v>
      </c>
      <c r="B464" t="s">
        <v>15</v>
      </c>
      <c r="C464" t="s">
        <v>12</v>
      </c>
      <c r="D464" t="s">
        <v>16</v>
      </c>
      <c r="E464" t="s">
        <v>25</v>
      </c>
      <c r="F464" s="3">
        <v>1515.56</v>
      </c>
      <c r="G464" s="3">
        <v>2613.0300000000002</v>
      </c>
      <c r="H464" s="3">
        <f>Table1[[#This Row],[Sale]]-Table1[[#This Row],[Cost]]</f>
        <v>1097.4700000000003</v>
      </c>
      <c r="I464" s="4">
        <f>Table1[[#This Row],[Profit]]/Table1[[#This Row],[Sale]]</f>
        <v>0.41999900498654824</v>
      </c>
      <c r="J464" s="5">
        <f t="shared" si="14"/>
        <v>2004</v>
      </c>
      <c r="K464" s="5">
        <f>MONTH(Table1[[#This Row],[Date]])</f>
        <v>10</v>
      </c>
      <c r="L464" s="5">
        <f>DAY(Table1[[#This Row],[Date]])</f>
        <v>24</v>
      </c>
      <c r="M464" s="5" t="str">
        <f t="shared" si="15"/>
        <v>Oct</v>
      </c>
    </row>
    <row r="465" spans="1:13" x14ac:dyDescent="0.25">
      <c r="A465" s="2">
        <v>38615</v>
      </c>
      <c r="B465" t="s">
        <v>15</v>
      </c>
      <c r="C465" t="s">
        <v>23</v>
      </c>
      <c r="D465" t="s">
        <v>16</v>
      </c>
      <c r="E465" t="s">
        <v>14</v>
      </c>
      <c r="F465" s="3">
        <v>4646.18</v>
      </c>
      <c r="G465" s="3">
        <v>8010.65</v>
      </c>
      <c r="H465" s="3">
        <f>Table1[[#This Row],[Sale]]-Table1[[#This Row],[Cost]]</f>
        <v>3364.4699999999993</v>
      </c>
      <c r="I465" s="4">
        <f>Table1[[#This Row],[Profit]]/Table1[[#This Row],[Sale]]</f>
        <v>0.41999962549855496</v>
      </c>
      <c r="J465" s="5">
        <f t="shared" si="14"/>
        <v>2005</v>
      </c>
      <c r="K465" s="5">
        <f>MONTH(Table1[[#This Row],[Date]])</f>
        <v>9</v>
      </c>
      <c r="L465" s="5">
        <f>DAY(Table1[[#This Row],[Date]])</f>
        <v>20</v>
      </c>
      <c r="M465" s="5" t="str">
        <f t="shared" si="15"/>
        <v>Sep</v>
      </c>
    </row>
    <row r="466" spans="1:13" x14ac:dyDescent="0.25">
      <c r="A466" s="2">
        <v>38236</v>
      </c>
      <c r="B466" t="s">
        <v>22</v>
      </c>
      <c r="C466" t="s">
        <v>18</v>
      </c>
      <c r="D466" t="s">
        <v>16</v>
      </c>
      <c r="E466" t="s">
        <v>25</v>
      </c>
      <c r="F466" s="3">
        <v>4774.72</v>
      </c>
      <c r="G466" s="3">
        <v>8681.31</v>
      </c>
      <c r="H466" s="3">
        <f>Table1[[#This Row],[Sale]]-Table1[[#This Row],[Cost]]</f>
        <v>3906.5899999999992</v>
      </c>
      <c r="I466" s="4">
        <f>Table1[[#This Row],[Profit]]/Table1[[#This Row],[Sale]]</f>
        <v>0.45000005759499423</v>
      </c>
      <c r="J466" s="5">
        <f t="shared" si="14"/>
        <v>2004</v>
      </c>
      <c r="K466" s="5">
        <f>MONTH(Table1[[#This Row],[Date]])</f>
        <v>9</v>
      </c>
      <c r="L466" s="5">
        <f>DAY(Table1[[#This Row],[Date]])</f>
        <v>6</v>
      </c>
      <c r="M466" s="5" t="str">
        <f t="shared" si="15"/>
        <v>Sep</v>
      </c>
    </row>
    <row r="467" spans="1:13" x14ac:dyDescent="0.25">
      <c r="A467" s="2">
        <v>38755</v>
      </c>
      <c r="B467" t="s">
        <v>21</v>
      </c>
      <c r="C467" t="s">
        <v>23</v>
      </c>
      <c r="D467" t="s">
        <v>13</v>
      </c>
      <c r="E467" t="s">
        <v>25</v>
      </c>
      <c r="F467" s="3">
        <v>4002.68</v>
      </c>
      <c r="G467" s="3">
        <v>5336.9</v>
      </c>
      <c r="H467" s="3">
        <f>Table1[[#This Row],[Sale]]-Table1[[#This Row],[Cost]]</f>
        <v>1334.2199999999998</v>
      </c>
      <c r="I467" s="4">
        <f>Table1[[#This Row],[Profit]]/Table1[[#This Row],[Sale]]</f>
        <v>0.24999906312653411</v>
      </c>
      <c r="J467" s="5">
        <f t="shared" si="14"/>
        <v>2006</v>
      </c>
      <c r="K467" s="5">
        <f>MONTH(Table1[[#This Row],[Date]])</f>
        <v>2</v>
      </c>
      <c r="L467" s="5">
        <f>DAY(Table1[[#This Row],[Date]])</f>
        <v>7</v>
      </c>
      <c r="M467" s="5" t="str">
        <f t="shared" si="15"/>
        <v>Feb</v>
      </c>
    </row>
    <row r="468" spans="1:13" x14ac:dyDescent="0.25">
      <c r="A468" s="2">
        <v>38855</v>
      </c>
      <c r="B468" t="s">
        <v>22</v>
      </c>
      <c r="C468" t="s">
        <v>18</v>
      </c>
      <c r="D468" t="s">
        <v>13</v>
      </c>
      <c r="E468" t="s">
        <v>25</v>
      </c>
      <c r="F468" s="3">
        <v>5309.24</v>
      </c>
      <c r="G468" s="3">
        <v>9653.16</v>
      </c>
      <c r="H468" s="3">
        <f>Table1[[#This Row],[Sale]]-Table1[[#This Row],[Cost]]</f>
        <v>4343.92</v>
      </c>
      <c r="I468" s="4">
        <f>Table1[[#This Row],[Profit]]/Table1[[#This Row],[Sale]]</f>
        <v>0.44999979281395935</v>
      </c>
      <c r="J468" s="5">
        <f t="shared" si="14"/>
        <v>2006</v>
      </c>
      <c r="K468" s="5">
        <f>MONTH(Table1[[#This Row],[Date]])</f>
        <v>5</v>
      </c>
      <c r="L468" s="5">
        <f>DAY(Table1[[#This Row],[Date]])</f>
        <v>18</v>
      </c>
      <c r="M468" s="5" t="str">
        <f t="shared" si="15"/>
        <v>May</v>
      </c>
    </row>
    <row r="469" spans="1:13" x14ac:dyDescent="0.25">
      <c r="A469" s="2">
        <v>38570</v>
      </c>
      <c r="B469" t="s">
        <v>17</v>
      </c>
      <c r="C469" t="s">
        <v>29</v>
      </c>
      <c r="D469" t="s">
        <v>16</v>
      </c>
      <c r="E469" t="s">
        <v>24</v>
      </c>
      <c r="F469" s="3">
        <v>769.61</v>
      </c>
      <c r="G469" s="3">
        <v>2080.04</v>
      </c>
      <c r="H469" s="3">
        <f>Table1[[#This Row],[Sale]]-Table1[[#This Row],[Cost]]</f>
        <v>1310.4299999999998</v>
      </c>
      <c r="I469" s="4">
        <f>Table1[[#This Row],[Profit]]/Table1[[#This Row],[Sale]]</f>
        <v>0.63000230764792975</v>
      </c>
      <c r="J469" s="5">
        <f t="shared" si="14"/>
        <v>2005</v>
      </c>
      <c r="K469" s="5">
        <f>MONTH(Table1[[#This Row],[Date]])</f>
        <v>8</v>
      </c>
      <c r="L469" s="5">
        <f>DAY(Table1[[#This Row],[Date]])</f>
        <v>6</v>
      </c>
      <c r="M469" s="5" t="str">
        <f t="shared" si="15"/>
        <v>Aug</v>
      </c>
    </row>
    <row r="470" spans="1:13" x14ac:dyDescent="0.25">
      <c r="A470" s="2">
        <v>38726</v>
      </c>
      <c r="B470" t="s">
        <v>21</v>
      </c>
      <c r="C470" t="s">
        <v>27</v>
      </c>
      <c r="D470" t="s">
        <v>16</v>
      </c>
      <c r="E470" t="s">
        <v>14</v>
      </c>
      <c r="F470" s="3">
        <v>2070.56</v>
      </c>
      <c r="G470" s="3">
        <v>5596.1</v>
      </c>
      <c r="H470" s="3">
        <f>Table1[[#This Row],[Sale]]-Table1[[#This Row],[Cost]]</f>
        <v>3525.5400000000004</v>
      </c>
      <c r="I470" s="4">
        <f>Table1[[#This Row],[Profit]]/Table1[[#This Row],[Sale]]</f>
        <v>0.62999946391236761</v>
      </c>
      <c r="J470" s="5">
        <f t="shared" si="14"/>
        <v>2006</v>
      </c>
      <c r="K470" s="5">
        <f>MONTH(Table1[[#This Row],[Date]])</f>
        <v>1</v>
      </c>
      <c r="L470" s="5">
        <f>DAY(Table1[[#This Row],[Date]])</f>
        <v>9</v>
      </c>
      <c r="M470" s="5" t="str">
        <f t="shared" si="15"/>
        <v>Jan</v>
      </c>
    </row>
    <row r="471" spans="1:13" x14ac:dyDescent="0.25">
      <c r="A471" s="2">
        <v>38330</v>
      </c>
      <c r="B471" t="s">
        <v>11</v>
      </c>
      <c r="C471" t="s">
        <v>18</v>
      </c>
      <c r="D471" t="s">
        <v>16</v>
      </c>
      <c r="E471" t="s">
        <v>20</v>
      </c>
      <c r="F471" s="3">
        <v>2607.6999999999998</v>
      </c>
      <c r="G471" s="3">
        <v>6064.43</v>
      </c>
      <c r="H471" s="3">
        <f>Table1[[#This Row],[Sale]]-Table1[[#This Row],[Cost]]</f>
        <v>3456.7300000000005</v>
      </c>
      <c r="I471" s="4">
        <f>Table1[[#This Row],[Profit]]/Table1[[#This Row],[Sale]]</f>
        <v>0.57000080799019859</v>
      </c>
      <c r="J471" s="5">
        <f t="shared" si="14"/>
        <v>2004</v>
      </c>
      <c r="K471" s="5">
        <f>MONTH(Table1[[#This Row],[Date]])</f>
        <v>12</v>
      </c>
      <c r="L471" s="5">
        <f>DAY(Table1[[#This Row],[Date]])</f>
        <v>9</v>
      </c>
      <c r="M471" s="5" t="str">
        <f t="shared" si="15"/>
        <v>Dec</v>
      </c>
    </row>
    <row r="472" spans="1:13" x14ac:dyDescent="0.25">
      <c r="A472" s="2">
        <v>38339</v>
      </c>
      <c r="B472" t="s">
        <v>22</v>
      </c>
      <c r="C472" t="s">
        <v>18</v>
      </c>
      <c r="D472" t="s">
        <v>13</v>
      </c>
      <c r="E472" t="s">
        <v>25</v>
      </c>
      <c r="F472" s="3">
        <v>1826.62</v>
      </c>
      <c r="G472" s="3">
        <v>3149.34</v>
      </c>
      <c r="H472" s="3">
        <f>Table1[[#This Row],[Sale]]-Table1[[#This Row],[Cost]]</f>
        <v>1322.7200000000003</v>
      </c>
      <c r="I472" s="4">
        <f>Table1[[#This Row],[Profit]]/Table1[[#This Row],[Sale]]</f>
        <v>0.41999911092482878</v>
      </c>
      <c r="J472" s="5">
        <f t="shared" si="14"/>
        <v>2004</v>
      </c>
      <c r="K472" s="5">
        <f>MONTH(Table1[[#This Row],[Date]])</f>
        <v>12</v>
      </c>
      <c r="L472" s="5">
        <f>DAY(Table1[[#This Row],[Date]])</f>
        <v>18</v>
      </c>
      <c r="M472" s="5" t="str">
        <f t="shared" si="15"/>
        <v>Dec</v>
      </c>
    </row>
    <row r="473" spans="1:13" x14ac:dyDescent="0.25">
      <c r="A473" s="2">
        <v>38754</v>
      </c>
      <c r="B473" t="s">
        <v>26</v>
      </c>
      <c r="C473" t="s">
        <v>23</v>
      </c>
      <c r="D473" t="s">
        <v>19</v>
      </c>
      <c r="E473" t="s">
        <v>24</v>
      </c>
      <c r="F473" s="3">
        <v>1549.97</v>
      </c>
      <c r="G473" s="3">
        <v>4189.12</v>
      </c>
      <c r="H473" s="3">
        <f>Table1[[#This Row],[Sale]]-Table1[[#This Row],[Cost]]</f>
        <v>2639.1499999999996</v>
      </c>
      <c r="I473" s="4">
        <f>Table1[[#This Row],[Profit]]/Table1[[#This Row],[Sale]]</f>
        <v>0.63000105033992815</v>
      </c>
      <c r="J473" s="5">
        <f t="shared" si="14"/>
        <v>2006</v>
      </c>
      <c r="K473" s="5">
        <f>MONTH(Table1[[#This Row],[Date]])</f>
        <v>2</v>
      </c>
      <c r="L473" s="5">
        <f>DAY(Table1[[#This Row],[Date]])</f>
        <v>6</v>
      </c>
      <c r="M473" s="5" t="str">
        <f t="shared" si="15"/>
        <v>Feb</v>
      </c>
    </row>
    <row r="474" spans="1:13" x14ac:dyDescent="0.25">
      <c r="A474" s="2">
        <v>38459</v>
      </c>
      <c r="B474" t="s">
        <v>22</v>
      </c>
      <c r="C474" t="s">
        <v>27</v>
      </c>
      <c r="D474" t="s">
        <v>19</v>
      </c>
      <c r="E474" t="s">
        <v>14</v>
      </c>
      <c r="F474" s="3">
        <v>4714.63</v>
      </c>
      <c r="G474" s="3">
        <v>7990.9</v>
      </c>
      <c r="H474" s="3">
        <f>Table1[[#This Row],[Sale]]-Table1[[#This Row],[Cost]]</f>
        <v>3276.2699999999995</v>
      </c>
      <c r="I474" s="4">
        <f>Table1[[#This Row],[Profit]]/Table1[[#This Row],[Sale]]</f>
        <v>0.4100001251423494</v>
      </c>
      <c r="J474" s="5">
        <f t="shared" si="14"/>
        <v>2005</v>
      </c>
      <c r="K474" s="5">
        <f>MONTH(Table1[[#This Row],[Date]])</f>
        <v>4</v>
      </c>
      <c r="L474" s="5">
        <f>DAY(Table1[[#This Row],[Date]])</f>
        <v>17</v>
      </c>
      <c r="M474" s="5" t="str">
        <f t="shared" si="15"/>
        <v>Apr</v>
      </c>
    </row>
    <row r="475" spans="1:13" x14ac:dyDescent="0.25">
      <c r="A475" s="2">
        <v>38875</v>
      </c>
      <c r="B475" t="s">
        <v>11</v>
      </c>
      <c r="C475" t="s">
        <v>27</v>
      </c>
      <c r="D475" t="s">
        <v>19</v>
      </c>
      <c r="E475" t="s">
        <v>20</v>
      </c>
      <c r="F475" s="3">
        <v>1155.05</v>
      </c>
      <c r="G475" s="3">
        <v>1698.6</v>
      </c>
      <c r="H475" s="3">
        <f>Table1[[#This Row],[Sale]]-Table1[[#This Row],[Cost]]</f>
        <v>543.54999999999995</v>
      </c>
      <c r="I475" s="4">
        <f>Table1[[#This Row],[Profit]]/Table1[[#This Row],[Sale]]</f>
        <v>0.31999882255975509</v>
      </c>
      <c r="J475" s="5">
        <f t="shared" si="14"/>
        <v>2006</v>
      </c>
      <c r="K475" s="5">
        <f>MONTH(Table1[[#This Row],[Date]])</f>
        <v>6</v>
      </c>
      <c r="L475" s="5">
        <f>DAY(Table1[[#This Row],[Date]])</f>
        <v>7</v>
      </c>
      <c r="M475" s="5" t="str">
        <f t="shared" si="15"/>
        <v>Jun</v>
      </c>
    </row>
    <row r="476" spans="1:13" x14ac:dyDescent="0.25">
      <c r="A476" s="2">
        <v>38392</v>
      </c>
      <c r="B476" t="s">
        <v>22</v>
      </c>
      <c r="C476" t="s">
        <v>29</v>
      </c>
      <c r="D476" t="s">
        <v>13</v>
      </c>
      <c r="E476" t="s">
        <v>20</v>
      </c>
      <c r="F476" s="3">
        <v>7362.19</v>
      </c>
      <c r="G476" s="3">
        <v>9816.25</v>
      </c>
      <c r="H476" s="3">
        <f>Table1[[#This Row],[Sale]]-Table1[[#This Row],[Cost]]</f>
        <v>2454.0600000000004</v>
      </c>
      <c r="I476" s="4">
        <f>Table1[[#This Row],[Profit]]/Table1[[#This Row],[Sale]]</f>
        <v>0.24999974532025981</v>
      </c>
      <c r="J476" s="5">
        <f t="shared" si="14"/>
        <v>2005</v>
      </c>
      <c r="K476" s="5">
        <f>MONTH(Table1[[#This Row],[Date]])</f>
        <v>2</v>
      </c>
      <c r="L476" s="5">
        <f>DAY(Table1[[#This Row],[Date]])</f>
        <v>9</v>
      </c>
      <c r="M476" s="5" t="str">
        <f t="shared" si="15"/>
        <v>Feb</v>
      </c>
    </row>
    <row r="477" spans="1:13" x14ac:dyDescent="0.25">
      <c r="A477" s="2">
        <v>38360</v>
      </c>
      <c r="B477" t="s">
        <v>22</v>
      </c>
      <c r="C477" t="s">
        <v>27</v>
      </c>
      <c r="D477" t="s">
        <v>13</v>
      </c>
      <c r="E477" t="s">
        <v>14</v>
      </c>
      <c r="F477" s="3">
        <v>1513.27</v>
      </c>
      <c r="G477" s="3">
        <v>1719.62</v>
      </c>
      <c r="H477" s="3">
        <f>Table1[[#This Row],[Sale]]-Table1[[#This Row],[Cost]]</f>
        <v>206.34999999999991</v>
      </c>
      <c r="I477" s="4">
        <f>Table1[[#This Row],[Profit]]/Table1[[#This Row],[Sale]]</f>
        <v>0.11999744129516982</v>
      </c>
      <c r="J477" s="5">
        <f t="shared" si="14"/>
        <v>2005</v>
      </c>
      <c r="K477" s="5">
        <f>MONTH(Table1[[#This Row],[Date]])</f>
        <v>1</v>
      </c>
      <c r="L477" s="5">
        <f>DAY(Table1[[#This Row],[Date]])</f>
        <v>8</v>
      </c>
      <c r="M477" s="5" t="str">
        <f t="shared" si="15"/>
        <v>Jan</v>
      </c>
    </row>
    <row r="478" spans="1:13" x14ac:dyDescent="0.25">
      <c r="A478" s="2">
        <v>38258</v>
      </c>
      <c r="B478" t="s">
        <v>17</v>
      </c>
      <c r="C478" t="s">
        <v>18</v>
      </c>
      <c r="D478" t="s">
        <v>19</v>
      </c>
      <c r="E478" t="s">
        <v>14</v>
      </c>
      <c r="F478" s="3">
        <v>3581.36</v>
      </c>
      <c r="G478" s="3">
        <v>7958.57</v>
      </c>
      <c r="H478" s="3">
        <f>Table1[[#This Row],[Sale]]-Table1[[#This Row],[Cost]]</f>
        <v>4377.2099999999991</v>
      </c>
      <c r="I478" s="4">
        <f>Table1[[#This Row],[Profit]]/Table1[[#This Row],[Sale]]</f>
        <v>0.54999956022250218</v>
      </c>
      <c r="J478" s="5">
        <f t="shared" si="14"/>
        <v>2004</v>
      </c>
      <c r="K478" s="5">
        <f>MONTH(Table1[[#This Row],[Date]])</f>
        <v>9</v>
      </c>
      <c r="L478" s="5">
        <f>DAY(Table1[[#This Row],[Date]])</f>
        <v>28</v>
      </c>
      <c r="M478" s="5" t="str">
        <f t="shared" si="15"/>
        <v>Sep</v>
      </c>
    </row>
    <row r="479" spans="1:13" x14ac:dyDescent="0.25">
      <c r="A479" s="2">
        <v>38711</v>
      </c>
      <c r="B479" t="s">
        <v>26</v>
      </c>
      <c r="C479" t="s">
        <v>27</v>
      </c>
      <c r="D479" t="s">
        <v>28</v>
      </c>
      <c r="E479" t="s">
        <v>24</v>
      </c>
      <c r="F479" s="3">
        <v>5914.4</v>
      </c>
      <c r="G479" s="3">
        <v>6325.56</v>
      </c>
      <c r="H479" s="3">
        <f>Table1[[#This Row],[Sale]]-Table1[[#This Row],[Cost]]</f>
        <v>411.16000000000076</v>
      </c>
      <c r="I479" s="4">
        <f>Table1[[#This Row],[Profit]]/Table1[[#This Row],[Sale]]</f>
        <v>6.4999778675722111E-2</v>
      </c>
      <c r="J479" s="5">
        <f t="shared" si="14"/>
        <v>2005</v>
      </c>
      <c r="K479" s="5">
        <f>MONTH(Table1[[#This Row],[Date]])</f>
        <v>12</v>
      </c>
      <c r="L479" s="5">
        <f>DAY(Table1[[#This Row],[Date]])</f>
        <v>25</v>
      </c>
      <c r="M479" s="5" t="str">
        <f t="shared" si="15"/>
        <v>Dec</v>
      </c>
    </row>
    <row r="480" spans="1:13" x14ac:dyDescent="0.25">
      <c r="A480" s="2">
        <v>38748</v>
      </c>
      <c r="B480" t="s">
        <v>15</v>
      </c>
      <c r="C480" t="s">
        <v>12</v>
      </c>
      <c r="D480" t="s">
        <v>19</v>
      </c>
      <c r="E480" t="s">
        <v>25</v>
      </c>
      <c r="F480" s="3">
        <v>568.53</v>
      </c>
      <c r="G480" s="3">
        <v>836.07</v>
      </c>
      <c r="H480" s="3">
        <f>Table1[[#This Row],[Sale]]-Table1[[#This Row],[Cost]]</f>
        <v>267.54000000000008</v>
      </c>
      <c r="I480" s="4">
        <f>Table1[[#This Row],[Profit]]/Table1[[#This Row],[Sale]]</f>
        <v>0.31999712942696196</v>
      </c>
      <c r="J480" s="5">
        <f t="shared" si="14"/>
        <v>2006</v>
      </c>
      <c r="K480" s="5">
        <f>MONTH(Table1[[#This Row],[Date]])</f>
        <v>1</v>
      </c>
      <c r="L480" s="5">
        <f>DAY(Table1[[#This Row],[Date]])</f>
        <v>31</v>
      </c>
      <c r="M480" s="5" t="str">
        <f t="shared" si="15"/>
        <v>Jan</v>
      </c>
    </row>
    <row r="481" spans="1:13" x14ac:dyDescent="0.25">
      <c r="A481" s="2">
        <v>38507</v>
      </c>
      <c r="B481" t="s">
        <v>21</v>
      </c>
      <c r="C481" t="s">
        <v>29</v>
      </c>
      <c r="D481" t="s">
        <v>28</v>
      </c>
      <c r="E481" t="s">
        <v>25</v>
      </c>
      <c r="F481" s="3">
        <v>3178.33</v>
      </c>
      <c r="G481" s="3">
        <v>5778.78</v>
      </c>
      <c r="H481" s="3">
        <f>Table1[[#This Row],[Sale]]-Table1[[#This Row],[Cost]]</f>
        <v>2600.4499999999998</v>
      </c>
      <c r="I481" s="4">
        <f>Table1[[#This Row],[Profit]]/Table1[[#This Row],[Sale]]</f>
        <v>0.44999982695309387</v>
      </c>
      <c r="J481" s="5">
        <f t="shared" si="14"/>
        <v>2005</v>
      </c>
      <c r="K481" s="5">
        <f>MONTH(Table1[[#This Row],[Date]])</f>
        <v>6</v>
      </c>
      <c r="L481" s="5">
        <f>DAY(Table1[[#This Row],[Date]])</f>
        <v>4</v>
      </c>
      <c r="M481" s="5" t="str">
        <f t="shared" si="15"/>
        <v>Jun</v>
      </c>
    </row>
    <row r="482" spans="1:13" x14ac:dyDescent="0.25">
      <c r="A482" s="2">
        <v>38769</v>
      </c>
      <c r="B482" t="s">
        <v>22</v>
      </c>
      <c r="C482" t="s">
        <v>23</v>
      </c>
      <c r="D482" t="s">
        <v>16</v>
      </c>
      <c r="E482" t="s">
        <v>25</v>
      </c>
      <c r="F482" s="3">
        <v>1860.25</v>
      </c>
      <c r="G482" s="3">
        <v>5027.71</v>
      </c>
      <c r="H482" s="3">
        <f>Table1[[#This Row],[Sale]]-Table1[[#This Row],[Cost]]</f>
        <v>3167.46</v>
      </c>
      <c r="I482" s="4">
        <f>Table1[[#This Row],[Profit]]/Table1[[#This Row],[Sale]]</f>
        <v>0.63000053702381398</v>
      </c>
      <c r="J482" s="5">
        <f t="shared" si="14"/>
        <v>2006</v>
      </c>
      <c r="K482" s="5">
        <f>MONTH(Table1[[#This Row],[Date]])</f>
        <v>2</v>
      </c>
      <c r="L482" s="5">
        <f>DAY(Table1[[#This Row],[Date]])</f>
        <v>21</v>
      </c>
      <c r="M482" s="5" t="str">
        <f t="shared" si="15"/>
        <v>Feb</v>
      </c>
    </row>
    <row r="483" spans="1:13" x14ac:dyDescent="0.25">
      <c r="A483" s="2">
        <v>38752</v>
      </c>
      <c r="B483" t="s">
        <v>21</v>
      </c>
      <c r="C483" t="s">
        <v>12</v>
      </c>
      <c r="D483" t="s">
        <v>13</v>
      </c>
      <c r="E483" t="s">
        <v>20</v>
      </c>
      <c r="F483" s="3">
        <v>217.49</v>
      </c>
      <c r="G483" s="3">
        <v>232.61</v>
      </c>
      <c r="H483" s="3">
        <f>Table1[[#This Row],[Sale]]-Table1[[#This Row],[Cost]]</f>
        <v>15.120000000000005</v>
      </c>
      <c r="I483" s="4">
        <f>Table1[[#This Row],[Profit]]/Table1[[#This Row],[Sale]]</f>
        <v>6.5001504664459836E-2</v>
      </c>
      <c r="J483" s="5">
        <f t="shared" si="14"/>
        <v>2006</v>
      </c>
      <c r="K483" s="5">
        <f>MONTH(Table1[[#This Row],[Date]])</f>
        <v>2</v>
      </c>
      <c r="L483" s="5">
        <f>DAY(Table1[[#This Row],[Date]])</f>
        <v>4</v>
      </c>
      <c r="M483" s="5" t="str">
        <f t="shared" si="15"/>
        <v>Feb</v>
      </c>
    </row>
    <row r="484" spans="1:13" x14ac:dyDescent="0.25">
      <c r="A484" s="2">
        <v>38758</v>
      </c>
      <c r="B484" t="s">
        <v>26</v>
      </c>
      <c r="C484" t="s">
        <v>29</v>
      </c>
      <c r="D484" t="s">
        <v>13</v>
      </c>
      <c r="E484" t="s">
        <v>14</v>
      </c>
      <c r="F484" s="3">
        <v>178.75</v>
      </c>
      <c r="G484" s="3">
        <v>238.33</v>
      </c>
      <c r="H484" s="3">
        <f>Table1[[#This Row],[Sale]]-Table1[[#This Row],[Cost]]</f>
        <v>59.580000000000013</v>
      </c>
      <c r="I484" s="4">
        <f>Table1[[#This Row],[Profit]]/Table1[[#This Row],[Sale]]</f>
        <v>0.24998951034280203</v>
      </c>
      <c r="J484" s="5">
        <f t="shared" si="14"/>
        <v>2006</v>
      </c>
      <c r="K484" s="5">
        <f>MONTH(Table1[[#This Row],[Date]])</f>
        <v>2</v>
      </c>
      <c r="L484" s="5">
        <f>DAY(Table1[[#This Row],[Date]])</f>
        <v>10</v>
      </c>
      <c r="M484" s="5" t="str">
        <f t="shared" si="15"/>
        <v>Feb</v>
      </c>
    </row>
    <row r="485" spans="1:13" x14ac:dyDescent="0.25">
      <c r="A485" s="2">
        <v>38553</v>
      </c>
      <c r="B485" t="s">
        <v>15</v>
      </c>
      <c r="C485" t="s">
        <v>27</v>
      </c>
      <c r="D485" t="s">
        <v>28</v>
      </c>
      <c r="E485" t="s">
        <v>25</v>
      </c>
      <c r="F485" s="3">
        <v>983.02</v>
      </c>
      <c r="G485" s="3">
        <v>1310.7</v>
      </c>
      <c r="H485" s="3">
        <f>Table1[[#This Row],[Sale]]-Table1[[#This Row],[Cost]]</f>
        <v>327.68000000000006</v>
      </c>
      <c r="I485" s="4">
        <f>Table1[[#This Row],[Profit]]/Table1[[#This Row],[Sale]]</f>
        <v>0.25000381475547423</v>
      </c>
      <c r="J485" s="5">
        <f t="shared" si="14"/>
        <v>2005</v>
      </c>
      <c r="K485" s="5">
        <f>MONTH(Table1[[#This Row],[Date]])</f>
        <v>7</v>
      </c>
      <c r="L485" s="5">
        <f>DAY(Table1[[#This Row],[Date]])</f>
        <v>20</v>
      </c>
      <c r="M485" s="5" t="str">
        <f t="shared" si="15"/>
        <v>Jul</v>
      </c>
    </row>
    <row r="486" spans="1:13" x14ac:dyDescent="0.25">
      <c r="A486" s="2">
        <v>38723</v>
      </c>
      <c r="B486" t="s">
        <v>11</v>
      </c>
      <c r="C486" t="s">
        <v>12</v>
      </c>
      <c r="D486" t="s">
        <v>16</v>
      </c>
      <c r="E486" t="s">
        <v>25</v>
      </c>
      <c r="F486" s="3">
        <v>8136.27</v>
      </c>
      <c r="G486" s="3">
        <v>8701.89</v>
      </c>
      <c r="H486" s="3">
        <f>Table1[[#This Row],[Sale]]-Table1[[#This Row],[Cost]]</f>
        <v>565.61999999999898</v>
      </c>
      <c r="I486" s="4">
        <f>Table1[[#This Row],[Profit]]/Table1[[#This Row],[Sale]]</f>
        <v>6.4999672484942816E-2</v>
      </c>
      <c r="J486" s="5">
        <f t="shared" si="14"/>
        <v>2006</v>
      </c>
      <c r="K486" s="5">
        <f>MONTH(Table1[[#This Row],[Date]])</f>
        <v>1</v>
      </c>
      <c r="L486" s="5">
        <f>DAY(Table1[[#This Row],[Date]])</f>
        <v>6</v>
      </c>
      <c r="M486" s="5" t="str">
        <f t="shared" si="15"/>
        <v>Jan</v>
      </c>
    </row>
    <row r="487" spans="1:13" x14ac:dyDescent="0.25">
      <c r="A487" s="2">
        <v>38500</v>
      </c>
      <c r="B487" t="s">
        <v>15</v>
      </c>
      <c r="C487" t="s">
        <v>27</v>
      </c>
      <c r="D487" t="s">
        <v>16</v>
      </c>
      <c r="E487" t="s">
        <v>20</v>
      </c>
      <c r="F487" s="3">
        <v>3591.79</v>
      </c>
      <c r="G487" s="3">
        <v>6530.53</v>
      </c>
      <c r="H487" s="3">
        <f>Table1[[#This Row],[Sale]]-Table1[[#This Row],[Cost]]</f>
        <v>2938.74</v>
      </c>
      <c r="I487" s="4">
        <f>Table1[[#This Row],[Profit]]/Table1[[#This Row],[Sale]]</f>
        <v>0.45000022969039266</v>
      </c>
      <c r="J487" s="5">
        <f t="shared" si="14"/>
        <v>2005</v>
      </c>
      <c r="K487" s="5">
        <f>MONTH(Table1[[#This Row],[Date]])</f>
        <v>5</v>
      </c>
      <c r="L487" s="5">
        <f>DAY(Table1[[#This Row],[Date]])</f>
        <v>28</v>
      </c>
      <c r="M487" s="5" t="str">
        <f t="shared" si="15"/>
        <v>May</v>
      </c>
    </row>
    <row r="488" spans="1:13" x14ac:dyDescent="0.25">
      <c r="A488" s="2">
        <v>38391</v>
      </c>
      <c r="B488" t="s">
        <v>17</v>
      </c>
      <c r="C488" t="s">
        <v>27</v>
      </c>
      <c r="D488" t="s">
        <v>16</v>
      </c>
      <c r="E488" t="s">
        <v>14</v>
      </c>
      <c r="F488" s="3">
        <v>1936.76</v>
      </c>
      <c r="G488" s="3">
        <v>2582.35</v>
      </c>
      <c r="H488" s="3">
        <f>Table1[[#This Row],[Sale]]-Table1[[#This Row],[Cost]]</f>
        <v>645.58999999999992</v>
      </c>
      <c r="I488" s="4">
        <f>Table1[[#This Row],[Profit]]/Table1[[#This Row],[Sale]]</f>
        <v>0.25000096811044203</v>
      </c>
      <c r="J488" s="5">
        <f t="shared" si="14"/>
        <v>2005</v>
      </c>
      <c r="K488" s="5">
        <f>MONTH(Table1[[#This Row],[Date]])</f>
        <v>2</v>
      </c>
      <c r="L488" s="5">
        <f>DAY(Table1[[#This Row],[Date]])</f>
        <v>8</v>
      </c>
      <c r="M488" s="5" t="str">
        <f t="shared" si="15"/>
        <v>Feb</v>
      </c>
    </row>
    <row r="489" spans="1:13" x14ac:dyDescent="0.25">
      <c r="A489" s="2">
        <v>38839</v>
      </c>
      <c r="B489" t="s">
        <v>15</v>
      </c>
      <c r="C489" t="s">
        <v>29</v>
      </c>
      <c r="D489" t="s">
        <v>13</v>
      </c>
      <c r="E489" t="s">
        <v>24</v>
      </c>
      <c r="F489" s="3">
        <v>2420.2399999999998</v>
      </c>
      <c r="G489" s="3">
        <v>5378.32</v>
      </c>
      <c r="H489" s="3">
        <f>Table1[[#This Row],[Sale]]-Table1[[#This Row],[Cost]]</f>
        <v>2958.08</v>
      </c>
      <c r="I489" s="4">
        <f>Table1[[#This Row],[Profit]]/Table1[[#This Row],[Sale]]</f>
        <v>0.55000074372666563</v>
      </c>
      <c r="J489" s="5">
        <f t="shared" si="14"/>
        <v>2006</v>
      </c>
      <c r="K489" s="5">
        <f>MONTH(Table1[[#This Row],[Date]])</f>
        <v>5</v>
      </c>
      <c r="L489" s="5">
        <f>DAY(Table1[[#This Row],[Date]])</f>
        <v>2</v>
      </c>
      <c r="M489" s="5" t="str">
        <f t="shared" si="15"/>
        <v>May</v>
      </c>
    </row>
    <row r="490" spans="1:13" x14ac:dyDescent="0.25">
      <c r="A490" s="2">
        <v>38720</v>
      </c>
      <c r="B490" t="s">
        <v>22</v>
      </c>
      <c r="C490" t="s">
        <v>27</v>
      </c>
      <c r="D490" t="s">
        <v>13</v>
      </c>
      <c r="E490" t="s">
        <v>24</v>
      </c>
      <c r="F490" s="3">
        <v>4448.6899999999996</v>
      </c>
      <c r="G490" s="3">
        <v>5055.33</v>
      </c>
      <c r="H490" s="3">
        <f>Table1[[#This Row],[Sale]]-Table1[[#This Row],[Cost]]</f>
        <v>606.64000000000033</v>
      </c>
      <c r="I490" s="4">
        <f>Table1[[#This Row],[Profit]]/Table1[[#This Row],[Sale]]</f>
        <v>0.12000007912440935</v>
      </c>
      <c r="J490" s="5">
        <f t="shared" si="14"/>
        <v>2006</v>
      </c>
      <c r="K490" s="5">
        <f>MONTH(Table1[[#This Row],[Date]])</f>
        <v>1</v>
      </c>
      <c r="L490" s="5">
        <f>DAY(Table1[[#This Row],[Date]])</f>
        <v>3</v>
      </c>
      <c r="M490" s="5" t="str">
        <f t="shared" si="15"/>
        <v>Jan</v>
      </c>
    </row>
    <row r="491" spans="1:13" x14ac:dyDescent="0.25">
      <c r="A491" s="2">
        <v>38429</v>
      </c>
      <c r="B491" t="s">
        <v>21</v>
      </c>
      <c r="C491" t="s">
        <v>18</v>
      </c>
      <c r="D491" t="s">
        <v>13</v>
      </c>
      <c r="E491" t="s">
        <v>24</v>
      </c>
      <c r="F491" s="3">
        <v>6938.77</v>
      </c>
      <c r="G491" s="3">
        <v>7421.14</v>
      </c>
      <c r="H491" s="3">
        <f>Table1[[#This Row],[Sale]]-Table1[[#This Row],[Cost]]</f>
        <v>482.36999999999989</v>
      </c>
      <c r="I491" s="4">
        <f>Table1[[#This Row],[Profit]]/Table1[[#This Row],[Sale]]</f>
        <v>6.499944752423481E-2</v>
      </c>
      <c r="J491" s="5">
        <f t="shared" si="14"/>
        <v>2005</v>
      </c>
      <c r="K491" s="5">
        <f>MONTH(Table1[[#This Row],[Date]])</f>
        <v>3</v>
      </c>
      <c r="L491" s="5">
        <f>DAY(Table1[[#This Row],[Date]])</f>
        <v>18</v>
      </c>
      <c r="M491" s="5" t="str">
        <f t="shared" si="15"/>
        <v>Mar</v>
      </c>
    </row>
    <row r="492" spans="1:13" x14ac:dyDescent="0.25">
      <c r="A492" s="2">
        <v>38183</v>
      </c>
      <c r="B492" t="s">
        <v>17</v>
      </c>
      <c r="C492" t="s">
        <v>12</v>
      </c>
      <c r="D492" t="s">
        <v>28</v>
      </c>
      <c r="E492" t="s">
        <v>24</v>
      </c>
      <c r="F492" s="3">
        <v>5481.29</v>
      </c>
      <c r="G492" s="3">
        <v>9965.99</v>
      </c>
      <c r="H492" s="3">
        <f>Table1[[#This Row],[Sale]]-Table1[[#This Row],[Cost]]</f>
        <v>4484.7</v>
      </c>
      <c r="I492" s="4">
        <f>Table1[[#This Row],[Profit]]/Table1[[#This Row],[Sale]]</f>
        <v>0.45000045153567281</v>
      </c>
      <c r="J492" s="5">
        <f t="shared" si="14"/>
        <v>2004</v>
      </c>
      <c r="K492" s="5">
        <f>MONTH(Table1[[#This Row],[Date]])</f>
        <v>7</v>
      </c>
      <c r="L492" s="5">
        <f>DAY(Table1[[#This Row],[Date]])</f>
        <v>15</v>
      </c>
      <c r="M492" s="5" t="str">
        <f t="shared" si="15"/>
        <v>Jul</v>
      </c>
    </row>
    <row r="493" spans="1:13" x14ac:dyDescent="0.25">
      <c r="A493" s="2">
        <v>38412</v>
      </c>
      <c r="B493" t="s">
        <v>26</v>
      </c>
      <c r="C493" t="s">
        <v>12</v>
      </c>
      <c r="D493" t="s">
        <v>28</v>
      </c>
      <c r="E493" t="s">
        <v>25</v>
      </c>
      <c r="F493" s="3">
        <v>2122.84</v>
      </c>
      <c r="G493" s="3">
        <v>4936.84</v>
      </c>
      <c r="H493" s="3">
        <f>Table1[[#This Row],[Sale]]-Table1[[#This Row],[Cost]]</f>
        <v>2814</v>
      </c>
      <c r="I493" s="4">
        <f>Table1[[#This Row],[Profit]]/Table1[[#This Row],[Sale]]</f>
        <v>0.57000024307046615</v>
      </c>
      <c r="J493" s="5">
        <f t="shared" si="14"/>
        <v>2005</v>
      </c>
      <c r="K493" s="5">
        <f>MONTH(Table1[[#This Row],[Date]])</f>
        <v>3</v>
      </c>
      <c r="L493" s="5">
        <f>DAY(Table1[[#This Row],[Date]])</f>
        <v>1</v>
      </c>
      <c r="M493" s="5" t="str">
        <f t="shared" si="15"/>
        <v>Mar</v>
      </c>
    </row>
    <row r="494" spans="1:13" x14ac:dyDescent="0.25">
      <c r="A494" s="2">
        <v>38200</v>
      </c>
      <c r="B494" t="s">
        <v>17</v>
      </c>
      <c r="C494" t="s">
        <v>27</v>
      </c>
      <c r="D494" t="s">
        <v>16</v>
      </c>
      <c r="E494" t="s">
        <v>25</v>
      </c>
      <c r="F494" s="3">
        <v>534.58000000000004</v>
      </c>
      <c r="G494" s="3">
        <v>906.06</v>
      </c>
      <c r="H494" s="3">
        <f>Table1[[#This Row],[Sale]]-Table1[[#This Row],[Cost]]</f>
        <v>371.4799999999999</v>
      </c>
      <c r="I494" s="4">
        <f>Table1[[#This Row],[Profit]]/Table1[[#This Row],[Sale]]</f>
        <v>0.40999492307352708</v>
      </c>
      <c r="J494" s="5">
        <f t="shared" si="14"/>
        <v>2004</v>
      </c>
      <c r="K494" s="5">
        <f>MONTH(Table1[[#This Row],[Date]])</f>
        <v>8</v>
      </c>
      <c r="L494" s="5">
        <f>DAY(Table1[[#This Row],[Date]])</f>
        <v>1</v>
      </c>
      <c r="M494" s="5" t="str">
        <f t="shared" si="15"/>
        <v>Aug</v>
      </c>
    </row>
    <row r="495" spans="1:13" x14ac:dyDescent="0.25">
      <c r="A495" s="2">
        <v>38722</v>
      </c>
      <c r="B495" t="s">
        <v>26</v>
      </c>
      <c r="C495" t="s">
        <v>27</v>
      </c>
      <c r="D495" t="s">
        <v>19</v>
      </c>
      <c r="E495" t="s">
        <v>24</v>
      </c>
      <c r="F495" s="3">
        <v>849.06</v>
      </c>
      <c r="G495" s="3">
        <v>1886.81</v>
      </c>
      <c r="H495" s="3">
        <f>Table1[[#This Row],[Sale]]-Table1[[#This Row],[Cost]]</f>
        <v>1037.75</v>
      </c>
      <c r="I495" s="4">
        <f>Table1[[#This Row],[Profit]]/Table1[[#This Row],[Sale]]</f>
        <v>0.55000238497781972</v>
      </c>
      <c r="J495" s="5">
        <f t="shared" si="14"/>
        <v>2006</v>
      </c>
      <c r="K495" s="5">
        <f>MONTH(Table1[[#This Row],[Date]])</f>
        <v>1</v>
      </c>
      <c r="L495" s="5">
        <f>DAY(Table1[[#This Row],[Date]])</f>
        <v>5</v>
      </c>
      <c r="M495" s="5" t="str">
        <f t="shared" si="15"/>
        <v>Jan</v>
      </c>
    </row>
    <row r="496" spans="1:13" x14ac:dyDescent="0.25">
      <c r="A496" s="2">
        <v>38497</v>
      </c>
      <c r="B496" t="s">
        <v>15</v>
      </c>
      <c r="C496" t="s">
        <v>29</v>
      </c>
      <c r="D496" t="s">
        <v>13</v>
      </c>
      <c r="E496" t="s">
        <v>20</v>
      </c>
      <c r="F496" s="3">
        <v>4315.6000000000004</v>
      </c>
      <c r="G496" s="3">
        <v>7846.55</v>
      </c>
      <c r="H496" s="3">
        <f>Table1[[#This Row],[Sale]]-Table1[[#This Row],[Cost]]</f>
        <v>3530.95</v>
      </c>
      <c r="I496" s="4">
        <f>Table1[[#This Row],[Profit]]/Table1[[#This Row],[Sale]]</f>
        <v>0.45000031861136419</v>
      </c>
      <c r="J496" s="5">
        <f t="shared" si="14"/>
        <v>2005</v>
      </c>
      <c r="K496" s="5">
        <f>MONTH(Table1[[#This Row],[Date]])</f>
        <v>5</v>
      </c>
      <c r="L496" s="5">
        <f>DAY(Table1[[#This Row],[Date]])</f>
        <v>25</v>
      </c>
      <c r="M496" s="5" t="str">
        <f t="shared" si="15"/>
        <v>May</v>
      </c>
    </row>
    <row r="497" spans="1:13" x14ac:dyDescent="0.25">
      <c r="A497" s="2">
        <v>38491</v>
      </c>
      <c r="B497" t="s">
        <v>22</v>
      </c>
      <c r="C497" t="s">
        <v>12</v>
      </c>
      <c r="D497" t="s">
        <v>28</v>
      </c>
      <c r="E497" t="s">
        <v>20</v>
      </c>
      <c r="F497" s="3">
        <v>589.89</v>
      </c>
      <c r="G497" s="3">
        <v>1310.86</v>
      </c>
      <c r="H497" s="3">
        <f>Table1[[#This Row],[Sale]]-Table1[[#This Row],[Cost]]</f>
        <v>720.96999999999991</v>
      </c>
      <c r="I497" s="4">
        <f>Table1[[#This Row],[Profit]]/Table1[[#This Row],[Sale]]</f>
        <v>0.54999771142608667</v>
      </c>
      <c r="J497" s="5">
        <f t="shared" si="14"/>
        <v>2005</v>
      </c>
      <c r="K497" s="5">
        <f>MONTH(Table1[[#This Row],[Date]])</f>
        <v>5</v>
      </c>
      <c r="L497" s="5">
        <f>DAY(Table1[[#This Row],[Date]])</f>
        <v>19</v>
      </c>
      <c r="M497" s="5" t="str">
        <f t="shared" si="15"/>
        <v>May</v>
      </c>
    </row>
    <row r="498" spans="1:13" x14ac:dyDescent="0.25">
      <c r="A498" s="2">
        <v>38884</v>
      </c>
      <c r="B498" t="s">
        <v>22</v>
      </c>
      <c r="C498" t="s">
        <v>12</v>
      </c>
      <c r="D498" t="s">
        <v>19</v>
      </c>
      <c r="E498" t="s">
        <v>14</v>
      </c>
      <c r="F498" s="3">
        <v>1835.9</v>
      </c>
      <c r="G498" s="3">
        <v>3165.34</v>
      </c>
      <c r="H498" s="3">
        <f>Table1[[#This Row],[Sale]]-Table1[[#This Row],[Cost]]</f>
        <v>1329.44</v>
      </c>
      <c r="I498" s="4">
        <f>Table1[[#This Row],[Profit]]/Table1[[#This Row],[Sale]]</f>
        <v>0.41999911541888074</v>
      </c>
      <c r="J498" s="5">
        <f t="shared" si="14"/>
        <v>2006</v>
      </c>
      <c r="K498" s="5">
        <f>MONTH(Table1[[#This Row],[Date]])</f>
        <v>6</v>
      </c>
      <c r="L498" s="5">
        <f>DAY(Table1[[#This Row],[Date]])</f>
        <v>16</v>
      </c>
      <c r="M498" s="5" t="str">
        <f t="shared" si="15"/>
        <v>Jun</v>
      </c>
    </row>
    <row r="499" spans="1:13" x14ac:dyDescent="0.25">
      <c r="A499" s="2">
        <v>38574</v>
      </c>
      <c r="B499" t="s">
        <v>26</v>
      </c>
      <c r="C499" t="s">
        <v>27</v>
      </c>
      <c r="D499" t="s">
        <v>16</v>
      </c>
      <c r="E499" t="s">
        <v>14</v>
      </c>
      <c r="F499" s="3">
        <v>346.72</v>
      </c>
      <c r="G499" s="3">
        <v>509.88</v>
      </c>
      <c r="H499" s="3">
        <f>Table1[[#This Row],[Sale]]-Table1[[#This Row],[Cost]]</f>
        <v>163.15999999999997</v>
      </c>
      <c r="I499" s="4">
        <f>Table1[[#This Row],[Profit]]/Table1[[#This Row],[Sale]]</f>
        <v>0.31999686200674665</v>
      </c>
      <c r="J499" s="5">
        <f t="shared" si="14"/>
        <v>2005</v>
      </c>
      <c r="K499" s="5">
        <f>MONTH(Table1[[#This Row],[Date]])</f>
        <v>8</v>
      </c>
      <c r="L499" s="5">
        <f>DAY(Table1[[#This Row],[Date]])</f>
        <v>10</v>
      </c>
      <c r="M499" s="5" t="str">
        <f t="shared" si="15"/>
        <v>Aug</v>
      </c>
    </row>
    <row r="500" spans="1:13" x14ac:dyDescent="0.25">
      <c r="A500" s="2">
        <v>38481</v>
      </c>
      <c r="B500" t="s">
        <v>22</v>
      </c>
      <c r="C500" t="s">
        <v>27</v>
      </c>
      <c r="D500" t="s">
        <v>28</v>
      </c>
      <c r="E500" t="s">
        <v>20</v>
      </c>
      <c r="F500" s="3">
        <v>1858.34</v>
      </c>
      <c r="G500" s="3">
        <v>4321.7299999999996</v>
      </c>
      <c r="H500" s="3">
        <f>Table1[[#This Row],[Sale]]-Table1[[#This Row],[Cost]]</f>
        <v>2463.3899999999994</v>
      </c>
      <c r="I500" s="4">
        <f>Table1[[#This Row],[Profit]]/Table1[[#This Row],[Sale]]</f>
        <v>0.57000090241639334</v>
      </c>
      <c r="J500" s="5">
        <f t="shared" si="14"/>
        <v>2005</v>
      </c>
      <c r="K500" s="5">
        <f>MONTH(Table1[[#This Row],[Date]])</f>
        <v>5</v>
      </c>
      <c r="L500" s="5">
        <f>DAY(Table1[[#This Row],[Date]])</f>
        <v>9</v>
      </c>
      <c r="M500" s="5" t="str">
        <f t="shared" si="15"/>
        <v>May</v>
      </c>
    </row>
    <row r="501" spans="1:13" x14ac:dyDescent="0.25">
      <c r="A501" s="2">
        <v>38275</v>
      </c>
      <c r="B501" t="s">
        <v>26</v>
      </c>
      <c r="C501" t="s">
        <v>29</v>
      </c>
      <c r="D501" t="s">
        <v>16</v>
      </c>
      <c r="E501" t="s">
        <v>24</v>
      </c>
      <c r="F501" s="3">
        <v>353.83</v>
      </c>
      <c r="G501" s="3">
        <v>599.72</v>
      </c>
      <c r="H501" s="3">
        <f>Table1[[#This Row],[Sale]]-Table1[[#This Row],[Cost]]</f>
        <v>245.89000000000004</v>
      </c>
      <c r="I501" s="4">
        <f>Table1[[#This Row],[Profit]]/Table1[[#This Row],[Sale]]</f>
        <v>0.4100080037350764</v>
      </c>
      <c r="J501" s="5">
        <f t="shared" si="14"/>
        <v>2004</v>
      </c>
      <c r="K501" s="5">
        <f>MONTH(Table1[[#This Row],[Date]])</f>
        <v>10</v>
      </c>
      <c r="L501" s="5">
        <f>DAY(Table1[[#This Row],[Date]])</f>
        <v>15</v>
      </c>
      <c r="M501" s="5" t="str">
        <f t="shared" si="15"/>
        <v>Oct</v>
      </c>
    </row>
    <row r="502" spans="1:13" x14ac:dyDescent="0.25">
      <c r="A502" s="2">
        <v>38718</v>
      </c>
      <c r="B502" t="s">
        <v>11</v>
      </c>
      <c r="C502" t="s">
        <v>27</v>
      </c>
      <c r="D502" t="s">
        <v>28</v>
      </c>
      <c r="E502" t="s">
        <v>14</v>
      </c>
      <c r="F502" s="3">
        <v>429.22</v>
      </c>
      <c r="G502" s="3">
        <v>572.29</v>
      </c>
      <c r="H502" s="3">
        <f>Table1[[#This Row],[Sale]]-Table1[[#This Row],[Cost]]</f>
        <v>143.06999999999994</v>
      </c>
      <c r="I502" s="4">
        <f>Table1[[#This Row],[Profit]]/Table1[[#This Row],[Sale]]</f>
        <v>0.24999563158538493</v>
      </c>
      <c r="J502" s="5">
        <f t="shared" si="14"/>
        <v>2006</v>
      </c>
      <c r="K502" s="5">
        <f>MONTH(Table1[[#This Row],[Date]])</f>
        <v>1</v>
      </c>
      <c r="L502" s="5">
        <f>DAY(Table1[[#This Row],[Date]])</f>
        <v>1</v>
      </c>
      <c r="M502" s="5" t="str">
        <f t="shared" si="15"/>
        <v>Jan</v>
      </c>
    </row>
    <row r="503" spans="1:13" x14ac:dyDescent="0.25">
      <c r="A503" s="2">
        <v>38371</v>
      </c>
      <c r="B503" t="s">
        <v>21</v>
      </c>
      <c r="C503" t="s">
        <v>18</v>
      </c>
      <c r="D503" t="s">
        <v>28</v>
      </c>
      <c r="E503" t="s">
        <v>25</v>
      </c>
      <c r="F503" s="3">
        <v>4427.96</v>
      </c>
      <c r="G503" s="3">
        <v>7505.02</v>
      </c>
      <c r="H503" s="3">
        <f>Table1[[#This Row],[Sale]]-Table1[[#This Row],[Cost]]</f>
        <v>3077.0600000000004</v>
      </c>
      <c r="I503" s="4">
        <f>Table1[[#This Row],[Profit]]/Table1[[#This Row],[Sale]]</f>
        <v>0.41000023983946748</v>
      </c>
      <c r="J503" s="5">
        <f t="shared" si="14"/>
        <v>2005</v>
      </c>
      <c r="K503" s="5">
        <f>MONTH(Table1[[#This Row],[Date]])</f>
        <v>1</v>
      </c>
      <c r="L503" s="5">
        <f>DAY(Table1[[#This Row],[Date]])</f>
        <v>19</v>
      </c>
      <c r="M503" s="5" t="str">
        <f t="shared" si="15"/>
        <v>Jan</v>
      </c>
    </row>
    <row r="504" spans="1:13" x14ac:dyDescent="0.25">
      <c r="A504" s="2">
        <v>38187</v>
      </c>
      <c r="B504" t="s">
        <v>17</v>
      </c>
      <c r="C504" t="s">
        <v>23</v>
      </c>
      <c r="D504" t="s">
        <v>16</v>
      </c>
      <c r="E504" t="s">
        <v>14</v>
      </c>
      <c r="F504" s="3">
        <v>1333.3</v>
      </c>
      <c r="G504" s="3">
        <v>2962.9</v>
      </c>
      <c r="H504" s="3">
        <f>Table1[[#This Row],[Sale]]-Table1[[#This Row],[Cost]]</f>
        <v>1629.6000000000001</v>
      </c>
      <c r="I504" s="4">
        <f>Table1[[#This Row],[Profit]]/Table1[[#This Row],[Sale]]</f>
        <v>0.55000168753586021</v>
      </c>
      <c r="J504" s="5">
        <f t="shared" si="14"/>
        <v>2004</v>
      </c>
      <c r="K504" s="5">
        <f>MONTH(Table1[[#This Row],[Date]])</f>
        <v>7</v>
      </c>
      <c r="L504" s="5">
        <f>DAY(Table1[[#This Row],[Date]])</f>
        <v>19</v>
      </c>
      <c r="M504" s="5" t="str">
        <f t="shared" si="15"/>
        <v>Jul</v>
      </c>
    </row>
    <row r="505" spans="1:13" x14ac:dyDescent="0.25">
      <c r="A505" s="2">
        <v>38161</v>
      </c>
      <c r="B505" t="s">
        <v>17</v>
      </c>
      <c r="C505" t="s">
        <v>12</v>
      </c>
      <c r="D505" t="s">
        <v>16</v>
      </c>
      <c r="E505" t="s">
        <v>24</v>
      </c>
      <c r="F505" s="3">
        <v>1707.81</v>
      </c>
      <c r="G505" s="3">
        <v>4615.71</v>
      </c>
      <c r="H505" s="3">
        <f>Table1[[#This Row],[Sale]]-Table1[[#This Row],[Cost]]</f>
        <v>2907.9</v>
      </c>
      <c r="I505" s="4">
        <f>Table1[[#This Row],[Profit]]/Table1[[#This Row],[Sale]]</f>
        <v>0.63000058495876043</v>
      </c>
      <c r="J505" s="5">
        <f t="shared" si="14"/>
        <v>2004</v>
      </c>
      <c r="K505" s="5">
        <f>MONTH(Table1[[#This Row],[Date]])</f>
        <v>6</v>
      </c>
      <c r="L505" s="5">
        <f>DAY(Table1[[#This Row],[Date]])</f>
        <v>23</v>
      </c>
      <c r="M505" s="5" t="str">
        <f t="shared" si="15"/>
        <v>Jun</v>
      </c>
    </row>
    <row r="506" spans="1:13" x14ac:dyDescent="0.25">
      <c r="A506" s="2">
        <v>38519</v>
      </c>
      <c r="B506" t="s">
        <v>17</v>
      </c>
      <c r="C506" t="s">
        <v>23</v>
      </c>
      <c r="D506" t="s">
        <v>28</v>
      </c>
      <c r="E506" t="s">
        <v>25</v>
      </c>
      <c r="F506" s="3">
        <v>3398.33</v>
      </c>
      <c r="G506" s="3">
        <v>4997.54</v>
      </c>
      <c r="H506" s="3">
        <f>Table1[[#This Row],[Sale]]-Table1[[#This Row],[Cost]]</f>
        <v>1599.21</v>
      </c>
      <c r="I506" s="4">
        <f>Table1[[#This Row],[Profit]]/Table1[[#This Row],[Sale]]</f>
        <v>0.31999943972434441</v>
      </c>
      <c r="J506" s="5">
        <f t="shared" si="14"/>
        <v>2005</v>
      </c>
      <c r="K506" s="5">
        <f>MONTH(Table1[[#This Row],[Date]])</f>
        <v>6</v>
      </c>
      <c r="L506" s="5">
        <f>DAY(Table1[[#This Row],[Date]])</f>
        <v>16</v>
      </c>
      <c r="M506" s="5" t="str">
        <f t="shared" si="15"/>
        <v>Jun</v>
      </c>
    </row>
    <row r="507" spans="1:13" x14ac:dyDescent="0.25">
      <c r="A507" s="2">
        <v>38677</v>
      </c>
      <c r="B507" t="s">
        <v>17</v>
      </c>
      <c r="C507" t="s">
        <v>23</v>
      </c>
      <c r="D507" t="s">
        <v>28</v>
      </c>
      <c r="E507" t="s">
        <v>24</v>
      </c>
      <c r="F507" s="3">
        <v>1768.95</v>
      </c>
      <c r="G507" s="3">
        <v>3049.92</v>
      </c>
      <c r="H507" s="3">
        <f>Table1[[#This Row],[Sale]]-Table1[[#This Row],[Cost]]</f>
        <v>1280.97</v>
      </c>
      <c r="I507" s="4">
        <f>Table1[[#This Row],[Profit]]/Table1[[#This Row],[Sale]]</f>
        <v>0.42000118035882911</v>
      </c>
      <c r="J507" s="5">
        <f t="shared" si="14"/>
        <v>2005</v>
      </c>
      <c r="K507" s="5">
        <f>MONTH(Table1[[#This Row],[Date]])</f>
        <v>11</v>
      </c>
      <c r="L507" s="5">
        <f>DAY(Table1[[#This Row],[Date]])</f>
        <v>21</v>
      </c>
      <c r="M507" s="5" t="str">
        <f t="shared" si="15"/>
        <v>Nov</v>
      </c>
    </row>
    <row r="508" spans="1:13" x14ac:dyDescent="0.25">
      <c r="A508" s="2">
        <v>38192</v>
      </c>
      <c r="B508" t="s">
        <v>22</v>
      </c>
      <c r="C508" t="s">
        <v>23</v>
      </c>
      <c r="D508" t="s">
        <v>19</v>
      </c>
      <c r="E508" t="s">
        <v>25</v>
      </c>
      <c r="F508" s="3">
        <v>4232.25</v>
      </c>
      <c r="G508" s="3">
        <v>9404.99</v>
      </c>
      <c r="H508" s="3">
        <f>Table1[[#This Row],[Sale]]-Table1[[#This Row],[Cost]]</f>
        <v>5172.74</v>
      </c>
      <c r="I508" s="4">
        <f>Table1[[#This Row],[Profit]]/Table1[[#This Row],[Sale]]</f>
        <v>0.54999952153059173</v>
      </c>
      <c r="J508" s="5">
        <f t="shared" si="14"/>
        <v>2004</v>
      </c>
      <c r="K508" s="5">
        <f>MONTH(Table1[[#This Row],[Date]])</f>
        <v>7</v>
      </c>
      <c r="L508" s="5">
        <f>DAY(Table1[[#This Row],[Date]])</f>
        <v>24</v>
      </c>
      <c r="M508" s="5" t="str">
        <f t="shared" si="15"/>
        <v>Jul</v>
      </c>
    </row>
    <row r="509" spans="1:13" x14ac:dyDescent="0.25">
      <c r="A509" s="2">
        <v>38546</v>
      </c>
      <c r="B509" t="s">
        <v>22</v>
      </c>
      <c r="C509" t="s">
        <v>12</v>
      </c>
      <c r="D509" t="s">
        <v>28</v>
      </c>
      <c r="E509" t="s">
        <v>20</v>
      </c>
      <c r="F509" s="3">
        <v>5510.95</v>
      </c>
      <c r="G509" s="3">
        <v>9340.6</v>
      </c>
      <c r="H509" s="3">
        <f>Table1[[#This Row],[Sale]]-Table1[[#This Row],[Cost]]</f>
        <v>3829.6500000000005</v>
      </c>
      <c r="I509" s="4">
        <f>Table1[[#This Row],[Profit]]/Table1[[#This Row],[Sale]]</f>
        <v>0.41000042823801475</v>
      </c>
      <c r="J509" s="5">
        <f t="shared" si="14"/>
        <v>2005</v>
      </c>
      <c r="K509" s="5">
        <f>MONTH(Table1[[#This Row],[Date]])</f>
        <v>7</v>
      </c>
      <c r="L509" s="5">
        <f>DAY(Table1[[#This Row],[Date]])</f>
        <v>13</v>
      </c>
      <c r="M509" s="5" t="str">
        <f t="shared" si="15"/>
        <v>Jul</v>
      </c>
    </row>
    <row r="510" spans="1:13" x14ac:dyDescent="0.25">
      <c r="A510" s="2">
        <v>38776</v>
      </c>
      <c r="B510" t="s">
        <v>15</v>
      </c>
      <c r="C510" t="s">
        <v>12</v>
      </c>
      <c r="D510" t="s">
        <v>19</v>
      </c>
      <c r="E510" t="s">
        <v>14</v>
      </c>
      <c r="F510" s="3">
        <v>213.42</v>
      </c>
      <c r="G510" s="3">
        <v>496.33</v>
      </c>
      <c r="H510" s="3">
        <f>Table1[[#This Row],[Sale]]-Table1[[#This Row],[Cost]]</f>
        <v>282.90999999999997</v>
      </c>
      <c r="I510" s="4">
        <f>Table1[[#This Row],[Profit]]/Table1[[#This Row],[Sale]]</f>
        <v>0.57000382809824102</v>
      </c>
      <c r="J510" s="5">
        <f t="shared" si="14"/>
        <v>2006</v>
      </c>
      <c r="K510" s="5">
        <f>MONTH(Table1[[#This Row],[Date]])</f>
        <v>2</v>
      </c>
      <c r="L510" s="5">
        <f>DAY(Table1[[#This Row],[Date]])</f>
        <v>28</v>
      </c>
      <c r="M510" s="5" t="str">
        <f t="shared" si="15"/>
        <v>Feb</v>
      </c>
    </row>
    <row r="511" spans="1:13" x14ac:dyDescent="0.25">
      <c r="A511" s="2">
        <v>38183</v>
      </c>
      <c r="B511" t="s">
        <v>21</v>
      </c>
      <c r="C511" t="s">
        <v>29</v>
      </c>
      <c r="D511" t="s">
        <v>13</v>
      </c>
      <c r="E511" t="s">
        <v>14</v>
      </c>
      <c r="F511" s="3">
        <v>1049.97</v>
      </c>
      <c r="G511" s="3">
        <v>1779.61</v>
      </c>
      <c r="H511" s="3">
        <f>Table1[[#This Row],[Sale]]-Table1[[#This Row],[Cost]]</f>
        <v>729.63999999999987</v>
      </c>
      <c r="I511" s="4">
        <f>Table1[[#This Row],[Profit]]/Table1[[#This Row],[Sale]]</f>
        <v>0.40999994380791294</v>
      </c>
      <c r="J511" s="5">
        <f t="shared" si="14"/>
        <v>2004</v>
      </c>
      <c r="K511" s="5">
        <f>MONTH(Table1[[#This Row],[Date]])</f>
        <v>7</v>
      </c>
      <c r="L511" s="5">
        <f>DAY(Table1[[#This Row],[Date]])</f>
        <v>15</v>
      </c>
      <c r="M511" s="5" t="str">
        <f t="shared" si="15"/>
        <v>Jul</v>
      </c>
    </row>
    <row r="512" spans="1:13" x14ac:dyDescent="0.25">
      <c r="A512" s="2">
        <v>38522</v>
      </c>
      <c r="B512" t="s">
        <v>22</v>
      </c>
      <c r="C512" t="s">
        <v>29</v>
      </c>
      <c r="D512" t="s">
        <v>13</v>
      </c>
      <c r="E512" t="s">
        <v>25</v>
      </c>
      <c r="F512" s="3">
        <v>4611.68</v>
      </c>
      <c r="G512" s="3">
        <v>8384.8700000000008</v>
      </c>
      <c r="H512" s="3">
        <f>Table1[[#This Row],[Sale]]-Table1[[#This Row],[Cost]]</f>
        <v>3773.1900000000005</v>
      </c>
      <c r="I512" s="4">
        <f>Table1[[#This Row],[Profit]]/Table1[[#This Row],[Sale]]</f>
        <v>0.4499998211063499</v>
      </c>
      <c r="J512" s="5">
        <f t="shared" si="14"/>
        <v>2005</v>
      </c>
      <c r="K512" s="5">
        <f>MONTH(Table1[[#This Row],[Date]])</f>
        <v>6</v>
      </c>
      <c r="L512" s="5">
        <f>DAY(Table1[[#This Row],[Date]])</f>
        <v>19</v>
      </c>
      <c r="M512" s="5" t="str">
        <f t="shared" si="15"/>
        <v>Jun</v>
      </c>
    </row>
    <row r="513" spans="1:13" x14ac:dyDescent="0.25">
      <c r="A513" s="2">
        <v>38613</v>
      </c>
      <c r="B513" t="s">
        <v>21</v>
      </c>
      <c r="C513" t="s">
        <v>18</v>
      </c>
      <c r="D513" t="s">
        <v>16</v>
      </c>
      <c r="E513" t="s">
        <v>20</v>
      </c>
      <c r="F513" s="3">
        <v>3338.95</v>
      </c>
      <c r="G513" s="3">
        <v>7419.89</v>
      </c>
      <c r="H513" s="3">
        <f>Table1[[#This Row],[Sale]]-Table1[[#This Row],[Cost]]</f>
        <v>4080.9400000000005</v>
      </c>
      <c r="I513" s="4">
        <f>Table1[[#This Row],[Profit]]/Table1[[#This Row],[Sale]]</f>
        <v>0.5500000673864438</v>
      </c>
      <c r="J513" s="5">
        <f t="shared" si="14"/>
        <v>2005</v>
      </c>
      <c r="K513" s="5">
        <f>MONTH(Table1[[#This Row],[Date]])</f>
        <v>9</v>
      </c>
      <c r="L513" s="5">
        <f>DAY(Table1[[#This Row],[Date]])</f>
        <v>18</v>
      </c>
      <c r="M513" s="5" t="str">
        <f t="shared" si="15"/>
        <v>Sep</v>
      </c>
    </row>
    <row r="514" spans="1:13" x14ac:dyDescent="0.25">
      <c r="A514" s="2">
        <v>38354</v>
      </c>
      <c r="B514" t="s">
        <v>21</v>
      </c>
      <c r="C514" t="s">
        <v>18</v>
      </c>
      <c r="D514" t="s">
        <v>28</v>
      </c>
      <c r="E514" t="s">
        <v>14</v>
      </c>
      <c r="F514" s="3">
        <v>1373.68</v>
      </c>
      <c r="G514" s="3">
        <v>2020.12</v>
      </c>
      <c r="H514" s="3">
        <f>Table1[[#This Row],[Sale]]-Table1[[#This Row],[Cost]]</f>
        <v>646.43999999999983</v>
      </c>
      <c r="I514" s="4">
        <f>Table1[[#This Row],[Profit]]/Table1[[#This Row],[Sale]]</f>
        <v>0.32000079203215642</v>
      </c>
      <c r="J514" s="5">
        <f t="shared" ref="J514:J577" si="16">YEAR(A:A)</f>
        <v>2005</v>
      </c>
      <c r="K514" s="5">
        <f>MONTH(Table1[[#This Row],[Date]])</f>
        <v>1</v>
      </c>
      <c r="L514" s="5">
        <f>DAY(Table1[[#This Row],[Date]])</f>
        <v>2</v>
      </c>
      <c r="M514" s="5" t="str">
        <f t="shared" ref="M514:M577" si="17">CHOOSE(K514,"Jan", "Feb", "Mar", "Apr", "May", "Jun", "Jul", "Aug", "Sep", "Oct", "Nov", "Dec")</f>
        <v>Jan</v>
      </c>
    </row>
    <row r="515" spans="1:13" x14ac:dyDescent="0.25">
      <c r="A515" s="2">
        <v>38665</v>
      </c>
      <c r="B515" t="s">
        <v>21</v>
      </c>
      <c r="C515" t="s">
        <v>12</v>
      </c>
      <c r="D515" t="s">
        <v>19</v>
      </c>
      <c r="E515" t="s">
        <v>20</v>
      </c>
      <c r="F515" s="3">
        <v>203.68</v>
      </c>
      <c r="G515" s="3">
        <v>271.58</v>
      </c>
      <c r="H515" s="3">
        <f>Table1[[#This Row],[Sale]]-Table1[[#This Row],[Cost]]</f>
        <v>67.899999999999977</v>
      </c>
      <c r="I515" s="4">
        <f>Table1[[#This Row],[Profit]]/Table1[[#This Row],[Sale]]</f>
        <v>0.25001841078135351</v>
      </c>
      <c r="J515" s="5">
        <f t="shared" si="16"/>
        <v>2005</v>
      </c>
      <c r="K515" s="5">
        <f>MONTH(Table1[[#This Row],[Date]])</f>
        <v>11</v>
      </c>
      <c r="L515" s="5">
        <f>DAY(Table1[[#This Row],[Date]])</f>
        <v>9</v>
      </c>
      <c r="M515" s="5" t="str">
        <f t="shared" si="17"/>
        <v>Nov</v>
      </c>
    </row>
    <row r="516" spans="1:13" x14ac:dyDescent="0.25">
      <c r="A516" s="2">
        <v>38610</v>
      </c>
      <c r="B516" t="s">
        <v>15</v>
      </c>
      <c r="C516" t="s">
        <v>23</v>
      </c>
      <c r="D516" t="s">
        <v>28</v>
      </c>
      <c r="E516" t="s">
        <v>25</v>
      </c>
      <c r="F516" s="3">
        <v>5016.6899999999996</v>
      </c>
      <c r="G516" s="3">
        <v>5700.78</v>
      </c>
      <c r="H516" s="3">
        <f>Table1[[#This Row],[Sale]]-Table1[[#This Row],[Cost]]</f>
        <v>684.09000000000015</v>
      </c>
      <c r="I516" s="4">
        <f>Table1[[#This Row],[Profit]]/Table1[[#This Row],[Sale]]</f>
        <v>0.11999936850746742</v>
      </c>
      <c r="J516" s="5">
        <f t="shared" si="16"/>
        <v>2005</v>
      </c>
      <c r="K516" s="5">
        <f>MONTH(Table1[[#This Row],[Date]])</f>
        <v>9</v>
      </c>
      <c r="L516" s="5">
        <f>DAY(Table1[[#This Row],[Date]])</f>
        <v>15</v>
      </c>
      <c r="M516" s="5" t="str">
        <f t="shared" si="17"/>
        <v>Sep</v>
      </c>
    </row>
    <row r="517" spans="1:13" x14ac:dyDescent="0.25">
      <c r="A517" s="2">
        <v>38563</v>
      </c>
      <c r="B517" t="s">
        <v>26</v>
      </c>
      <c r="C517" t="s">
        <v>29</v>
      </c>
      <c r="D517" t="s">
        <v>13</v>
      </c>
      <c r="E517" t="s">
        <v>25</v>
      </c>
      <c r="F517" s="3">
        <v>5463.88</v>
      </c>
      <c r="G517" s="3">
        <v>9260.81</v>
      </c>
      <c r="H517" s="3">
        <f>Table1[[#This Row],[Sale]]-Table1[[#This Row],[Cost]]</f>
        <v>3796.9299999999994</v>
      </c>
      <c r="I517" s="4">
        <f>Table1[[#This Row],[Profit]]/Table1[[#This Row],[Sale]]</f>
        <v>0.40999977323797804</v>
      </c>
      <c r="J517" s="5">
        <f t="shared" si="16"/>
        <v>2005</v>
      </c>
      <c r="K517" s="5">
        <f>MONTH(Table1[[#This Row],[Date]])</f>
        <v>7</v>
      </c>
      <c r="L517" s="5">
        <f>DAY(Table1[[#This Row],[Date]])</f>
        <v>30</v>
      </c>
      <c r="M517" s="5" t="str">
        <f t="shared" si="17"/>
        <v>Jul</v>
      </c>
    </row>
    <row r="518" spans="1:13" x14ac:dyDescent="0.25">
      <c r="A518" s="2">
        <v>38559</v>
      </c>
      <c r="B518" t="s">
        <v>26</v>
      </c>
      <c r="C518" t="s">
        <v>29</v>
      </c>
      <c r="D518" t="s">
        <v>28</v>
      </c>
      <c r="E518" t="s">
        <v>14</v>
      </c>
      <c r="F518" s="3">
        <v>4286.4799999999996</v>
      </c>
      <c r="G518" s="3">
        <v>9968.5499999999993</v>
      </c>
      <c r="H518" s="3">
        <f>Table1[[#This Row],[Sale]]-Table1[[#This Row],[Cost]]</f>
        <v>5682.07</v>
      </c>
      <c r="I518" s="4">
        <f>Table1[[#This Row],[Profit]]/Table1[[#This Row],[Sale]]</f>
        <v>0.56999964889577726</v>
      </c>
      <c r="J518" s="5">
        <f t="shared" si="16"/>
        <v>2005</v>
      </c>
      <c r="K518" s="5">
        <f>MONTH(Table1[[#This Row],[Date]])</f>
        <v>7</v>
      </c>
      <c r="L518" s="5">
        <f>DAY(Table1[[#This Row],[Date]])</f>
        <v>26</v>
      </c>
      <c r="M518" s="5" t="str">
        <f t="shared" si="17"/>
        <v>Jul</v>
      </c>
    </row>
    <row r="519" spans="1:13" x14ac:dyDescent="0.25">
      <c r="A519" s="2">
        <v>38718</v>
      </c>
      <c r="B519" t="s">
        <v>26</v>
      </c>
      <c r="C519" t="s">
        <v>29</v>
      </c>
      <c r="D519" t="s">
        <v>16</v>
      </c>
      <c r="E519" t="s">
        <v>24</v>
      </c>
      <c r="F519" s="3">
        <v>4341.18</v>
      </c>
      <c r="G519" s="3">
        <v>7357.93</v>
      </c>
      <c r="H519" s="3">
        <f>Table1[[#This Row],[Sale]]-Table1[[#This Row],[Cost]]</f>
        <v>3016.75</v>
      </c>
      <c r="I519" s="4">
        <f>Table1[[#This Row],[Profit]]/Table1[[#This Row],[Sale]]</f>
        <v>0.40999982331987389</v>
      </c>
      <c r="J519" s="5">
        <f t="shared" si="16"/>
        <v>2006</v>
      </c>
      <c r="K519" s="5">
        <f>MONTH(Table1[[#This Row],[Date]])</f>
        <v>1</v>
      </c>
      <c r="L519" s="5">
        <f>DAY(Table1[[#This Row],[Date]])</f>
        <v>1</v>
      </c>
      <c r="M519" s="5" t="str">
        <f t="shared" si="17"/>
        <v>Jan</v>
      </c>
    </row>
    <row r="520" spans="1:13" x14ac:dyDescent="0.25">
      <c r="A520" s="2">
        <v>38186</v>
      </c>
      <c r="B520" t="s">
        <v>11</v>
      </c>
      <c r="C520" t="s">
        <v>18</v>
      </c>
      <c r="D520" t="s">
        <v>28</v>
      </c>
      <c r="E520" t="s">
        <v>20</v>
      </c>
      <c r="F520" s="3">
        <v>3413.98</v>
      </c>
      <c r="G520" s="3">
        <v>4551.9799999999996</v>
      </c>
      <c r="H520" s="3">
        <f>Table1[[#This Row],[Sale]]-Table1[[#This Row],[Cost]]</f>
        <v>1137.9999999999995</v>
      </c>
      <c r="I520" s="4">
        <f>Table1[[#This Row],[Profit]]/Table1[[#This Row],[Sale]]</f>
        <v>0.2500010984231037</v>
      </c>
      <c r="J520" s="5">
        <f t="shared" si="16"/>
        <v>2004</v>
      </c>
      <c r="K520" s="5">
        <f>MONTH(Table1[[#This Row],[Date]])</f>
        <v>7</v>
      </c>
      <c r="L520" s="5">
        <f>DAY(Table1[[#This Row],[Date]])</f>
        <v>18</v>
      </c>
      <c r="M520" s="5" t="str">
        <f t="shared" si="17"/>
        <v>Jul</v>
      </c>
    </row>
    <row r="521" spans="1:13" x14ac:dyDescent="0.25">
      <c r="A521" s="2">
        <v>38672</v>
      </c>
      <c r="B521" t="s">
        <v>21</v>
      </c>
      <c r="C521" t="s">
        <v>29</v>
      </c>
      <c r="D521" t="s">
        <v>19</v>
      </c>
      <c r="E521" t="s">
        <v>25</v>
      </c>
      <c r="F521" s="3">
        <v>5142.92</v>
      </c>
      <c r="G521" s="3">
        <v>5500.45</v>
      </c>
      <c r="H521" s="3">
        <f>Table1[[#This Row],[Sale]]-Table1[[#This Row],[Cost]]</f>
        <v>357.52999999999975</v>
      </c>
      <c r="I521" s="4">
        <f>Table1[[#This Row],[Profit]]/Table1[[#This Row],[Sale]]</f>
        <v>6.5000136352480212E-2</v>
      </c>
      <c r="J521" s="5">
        <f t="shared" si="16"/>
        <v>2005</v>
      </c>
      <c r="K521" s="5">
        <f>MONTH(Table1[[#This Row],[Date]])</f>
        <v>11</v>
      </c>
      <c r="L521" s="5">
        <f>DAY(Table1[[#This Row],[Date]])</f>
        <v>16</v>
      </c>
      <c r="M521" s="5" t="str">
        <f t="shared" si="17"/>
        <v>Nov</v>
      </c>
    </row>
    <row r="522" spans="1:13" x14ac:dyDescent="0.25">
      <c r="A522" s="2">
        <v>38469</v>
      </c>
      <c r="B522" t="s">
        <v>15</v>
      </c>
      <c r="C522" t="s">
        <v>29</v>
      </c>
      <c r="D522" t="s">
        <v>13</v>
      </c>
      <c r="E522" t="s">
        <v>20</v>
      </c>
      <c r="F522" s="3">
        <v>73.77</v>
      </c>
      <c r="G522" s="3">
        <v>134.13</v>
      </c>
      <c r="H522" s="3">
        <f>Table1[[#This Row],[Sale]]-Table1[[#This Row],[Cost]]</f>
        <v>60.36</v>
      </c>
      <c r="I522" s="4">
        <f>Table1[[#This Row],[Profit]]/Table1[[#This Row],[Sale]]</f>
        <v>0.45001118318049654</v>
      </c>
      <c r="J522" s="5">
        <f t="shared" si="16"/>
        <v>2005</v>
      </c>
      <c r="K522" s="5">
        <f>MONTH(Table1[[#This Row],[Date]])</f>
        <v>4</v>
      </c>
      <c r="L522" s="5">
        <f>DAY(Table1[[#This Row],[Date]])</f>
        <v>27</v>
      </c>
      <c r="M522" s="5" t="str">
        <f t="shared" si="17"/>
        <v>Apr</v>
      </c>
    </row>
    <row r="523" spans="1:13" x14ac:dyDescent="0.25">
      <c r="A523" s="2">
        <v>38446</v>
      </c>
      <c r="B523" t="s">
        <v>21</v>
      </c>
      <c r="C523" t="s">
        <v>29</v>
      </c>
      <c r="D523" t="s">
        <v>28</v>
      </c>
      <c r="E523" t="s">
        <v>14</v>
      </c>
      <c r="F523" s="3">
        <v>5896.5</v>
      </c>
      <c r="G523" s="3">
        <v>6700.57</v>
      </c>
      <c r="H523" s="3">
        <f>Table1[[#This Row],[Sale]]-Table1[[#This Row],[Cost]]</f>
        <v>804.06999999999971</v>
      </c>
      <c r="I523" s="4">
        <f>Table1[[#This Row],[Profit]]/Table1[[#This Row],[Sale]]</f>
        <v>0.12000023878565551</v>
      </c>
      <c r="J523" s="5">
        <f t="shared" si="16"/>
        <v>2005</v>
      </c>
      <c r="K523" s="5">
        <f>MONTH(Table1[[#This Row],[Date]])</f>
        <v>4</v>
      </c>
      <c r="L523" s="5">
        <f>DAY(Table1[[#This Row],[Date]])</f>
        <v>4</v>
      </c>
      <c r="M523" s="5" t="str">
        <f t="shared" si="17"/>
        <v>Apr</v>
      </c>
    </row>
    <row r="524" spans="1:13" x14ac:dyDescent="0.25">
      <c r="A524" s="2">
        <v>38328</v>
      </c>
      <c r="B524" t="s">
        <v>17</v>
      </c>
      <c r="C524" t="s">
        <v>18</v>
      </c>
      <c r="D524" t="s">
        <v>19</v>
      </c>
      <c r="E524" t="s">
        <v>24</v>
      </c>
      <c r="F524" s="3">
        <v>2540.1999999999998</v>
      </c>
      <c r="G524" s="3">
        <v>2886.59</v>
      </c>
      <c r="H524" s="3">
        <f>Table1[[#This Row],[Sale]]-Table1[[#This Row],[Cost]]</f>
        <v>346.39000000000033</v>
      </c>
      <c r="I524" s="4">
        <f>Table1[[#This Row],[Profit]]/Table1[[#This Row],[Sale]]</f>
        <v>0.11999972285638082</v>
      </c>
      <c r="J524" s="5">
        <f t="shared" si="16"/>
        <v>2004</v>
      </c>
      <c r="K524" s="5">
        <f>MONTH(Table1[[#This Row],[Date]])</f>
        <v>12</v>
      </c>
      <c r="L524" s="5">
        <f>DAY(Table1[[#This Row],[Date]])</f>
        <v>7</v>
      </c>
      <c r="M524" s="5" t="str">
        <f t="shared" si="17"/>
        <v>Dec</v>
      </c>
    </row>
    <row r="525" spans="1:13" x14ac:dyDescent="0.25">
      <c r="A525" s="2">
        <v>38430</v>
      </c>
      <c r="B525" t="s">
        <v>11</v>
      </c>
      <c r="C525" t="s">
        <v>29</v>
      </c>
      <c r="D525" t="s">
        <v>28</v>
      </c>
      <c r="E525" t="s">
        <v>14</v>
      </c>
      <c r="F525" s="3">
        <v>1911.28</v>
      </c>
      <c r="G525" s="3">
        <v>2548.37</v>
      </c>
      <c r="H525" s="3">
        <f>Table1[[#This Row],[Sale]]-Table1[[#This Row],[Cost]]</f>
        <v>637.08999999999992</v>
      </c>
      <c r="I525" s="4">
        <f>Table1[[#This Row],[Profit]]/Table1[[#This Row],[Sale]]</f>
        <v>0.24999901898076024</v>
      </c>
      <c r="J525" s="5">
        <f t="shared" si="16"/>
        <v>2005</v>
      </c>
      <c r="K525" s="5">
        <f>MONTH(Table1[[#This Row],[Date]])</f>
        <v>3</v>
      </c>
      <c r="L525" s="5">
        <f>DAY(Table1[[#This Row],[Date]])</f>
        <v>19</v>
      </c>
      <c r="M525" s="5" t="str">
        <f t="shared" si="17"/>
        <v>Mar</v>
      </c>
    </row>
    <row r="526" spans="1:13" x14ac:dyDescent="0.25">
      <c r="A526" s="2">
        <v>38863</v>
      </c>
      <c r="B526" t="s">
        <v>15</v>
      </c>
      <c r="C526" t="s">
        <v>29</v>
      </c>
      <c r="D526" t="s">
        <v>16</v>
      </c>
      <c r="E526" t="s">
        <v>14</v>
      </c>
      <c r="F526" s="3">
        <v>5846.42</v>
      </c>
      <c r="G526" s="3">
        <v>7795.22</v>
      </c>
      <c r="H526" s="3">
        <f>Table1[[#This Row],[Sale]]-Table1[[#This Row],[Cost]]</f>
        <v>1948.8000000000002</v>
      </c>
      <c r="I526" s="4">
        <f>Table1[[#This Row],[Profit]]/Table1[[#This Row],[Sale]]</f>
        <v>0.24999935858128444</v>
      </c>
      <c r="J526" s="5">
        <f t="shared" si="16"/>
        <v>2006</v>
      </c>
      <c r="K526" s="5">
        <f>MONTH(Table1[[#This Row],[Date]])</f>
        <v>5</v>
      </c>
      <c r="L526" s="5">
        <f>DAY(Table1[[#This Row],[Date]])</f>
        <v>26</v>
      </c>
      <c r="M526" s="5" t="str">
        <f t="shared" si="17"/>
        <v>May</v>
      </c>
    </row>
    <row r="527" spans="1:13" x14ac:dyDescent="0.25">
      <c r="A527" s="2">
        <v>38606</v>
      </c>
      <c r="B527" t="s">
        <v>26</v>
      </c>
      <c r="C527" t="s">
        <v>23</v>
      </c>
      <c r="D527" t="s">
        <v>16</v>
      </c>
      <c r="E527" t="s">
        <v>14</v>
      </c>
      <c r="F527" s="3">
        <v>45.62</v>
      </c>
      <c r="G527" s="3">
        <v>77.33</v>
      </c>
      <c r="H527" s="3">
        <f>Table1[[#This Row],[Sale]]-Table1[[#This Row],[Cost]]</f>
        <v>31.71</v>
      </c>
      <c r="I527" s="4">
        <f>Table1[[#This Row],[Profit]]/Table1[[#This Row],[Sale]]</f>
        <v>0.41006077848183115</v>
      </c>
      <c r="J527" s="5">
        <f t="shared" si="16"/>
        <v>2005</v>
      </c>
      <c r="K527" s="5">
        <f>MONTH(Table1[[#This Row],[Date]])</f>
        <v>9</v>
      </c>
      <c r="L527" s="5">
        <f>DAY(Table1[[#This Row],[Date]])</f>
        <v>11</v>
      </c>
      <c r="M527" s="5" t="str">
        <f t="shared" si="17"/>
        <v>Sep</v>
      </c>
    </row>
    <row r="528" spans="1:13" x14ac:dyDescent="0.25">
      <c r="A528" s="2">
        <v>38610</v>
      </c>
      <c r="B528" t="s">
        <v>22</v>
      </c>
      <c r="C528" t="s">
        <v>29</v>
      </c>
      <c r="D528" t="s">
        <v>13</v>
      </c>
      <c r="E528" t="s">
        <v>25</v>
      </c>
      <c r="F528" s="3">
        <v>4150.45</v>
      </c>
      <c r="G528" s="3">
        <v>7034.66</v>
      </c>
      <c r="H528" s="3">
        <f>Table1[[#This Row],[Sale]]-Table1[[#This Row],[Cost]]</f>
        <v>2884.21</v>
      </c>
      <c r="I528" s="4">
        <f>Table1[[#This Row],[Profit]]/Table1[[#This Row],[Sale]]</f>
        <v>0.40999991470803138</v>
      </c>
      <c r="J528" s="5">
        <f t="shared" si="16"/>
        <v>2005</v>
      </c>
      <c r="K528" s="5">
        <f>MONTH(Table1[[#This Row],[Date]])</f>
        <v>9</v>
      </c>
      <c r="L528" s="5">
        <f>DAY(Table1[[#This Row],[Date]])</f>
        <v>15</v>
      </c>
      <c r="M528" s="5" t="str">
        <f t="shared" si="17"/>
        <v>Sep</v>
      </c>
    </row>
    <row r="529" spans="1:13" x14ac:dyDescent="0.25">
      <c r="A529" s="2">
        <v>38840</v>
      </c>
      <c r="B529" t="s">
        <v>21</v>
      </c>
      <c r="C529" t="s">
        <v>18</v>
      </c>
      <c r="D529" t="s">
        <v>13</v>
      </c>
      <c r="E529" t="s">
        <v>14</v>
      </c>
      <c r="F529" s="3">
        <v>2075.59</v>
      </c>
      <c r="G529" s="3">
        <v>3773.8</v>
      </c>
      <c r="H529" s="3">
        <f>Table1[[#This Row],[Sale]]-Table1[[#This Row],[Cost]]</f>
        <v>1698.21</v>
      </c>
      <c r="I529" s="4">
        <f>Table1[[#This Row],[Profit]]/Table1[[#This Row],[Sale]]</f>
        <v>0.45</v>
      </c>
      <c r="J529" s="5">
        <f t="shared" si="16"/>
        <v>2006</v>
      </c>
      <c r="K529" s="5">
        <f>MONTH(Table1[[#This Row],[Date]])</f>
        <v>5</v>
      </c>
      <c r="L529" s="5">
        <f>DAY(Table1[[#This Row],[Date]])</f>
        <v>3</v>
      </c>
      <c r="M529" s="5" t="str">
        <f t="shared" si="17"/>
        <v>May</v>
      </c>
    </row>
    <row r="530" spans="1:13" x14ac:dyDescent="0.25">
      <c r="A530" s="2">
        <v>38787</v>
      </c>
      <c r="B530" t="s">
        <v>15</v>
      </c>
      <c r="C530" t="s">
        <v>18</v>
      </c>
      <c r="D530" t="s">
        <v>13</v>
      </c>
      <c r="E530" t="s">
        <v>14</v>
      </c>
      <c r="F530" s="3">
        <v>3255.31</v>
      </c>
      <c r="G530" s="3">
        <v>4787.22</v>
      </c>
      <c r="H530" s="3">
        <f>Table1[[#This Row],[Sale]]-Table1[[#This Row],[Cost]]</f>
        <v>1531.9100000000003</v>
      </c>
      <c r="I530" s="4">
        <f>Table1[[#This Row],[Profit]]/Table1[[#This Row],[Sale]]</f>
        <v>0.31999991644419939</v>
      </c>
      <c r="J530" s="5">
        <f t="shared" si="16"/>
        <v>2006</v>
      </c>
      <c r="K530" s="5">
        <f>MONTH(Table1[[#This Row],[Date]])</f>
        <v>3</v>
      </c>
      <c r="L530" s="5">
        <f>DAY(Table1[[#This Row],[Date]])</f>
        <v>11</v>
      </c>
      <c r="M530" s="5" t="str">
        <f t="shared" si="17"/>
        <v>Mar</v>
      </c>
    </row>
    <row r="531" spans="1:13" x14ac:dyDescent="0.25">
      <c r="A531" s="2">
        <v>38277</v>
      </c>
      <c r="B531" t="s">
        <v>22</v>
      </c>
      <c r="C531" t="s">
        <v>29</v>
      </c>
      <c r="D531" t="s">
        <v>16</v>
      </c>
      <c r="E531" t="s">
        <v>14</v>
      </c>
      <c r="F531" s="3">
        <v>3852.91</v>
      </c>
      <c r="G531" s="3">
        <v>4120.76</v>
      </c>
      <c r="H531" s="3">
        <f>Table1[[#This Row],[Sale]]-Table1[[#This Row],[Cost]]</f>
        <v>267.85000000000036</v>
      </c>
      <c r="I531" s="4">
        <f>Table1[[#This Row],[Profit]]/Table1[[#This Row],[Sale]]</f>
        <v>6.5000145604209011E-2</v>
      </c>
      <c r="J531" s="5">
        <f t="shared" si="16"/>
        <v>2004</v>
      </c>
      <c r="K531" s="5">
        <f>MONTH(Table1[[#This Row],[Date]])</f>
        <v>10</v>
      </c>
      <c r="L531" s="5">
        <f>DAY(Table1[[#This Row],[Date]])</f>
        <v>17</v>
      </c>
      <c r="M531" s="5" t="str">
        <f t="shared" si="17"/>
        <v>Oct</v>
      </c>
    </row>
    <row r="532" spans="1:13" x14ac:dyDescent="0.25">
      <c r="A532" s="2">
        <v>38628</v>
      </c>
      <c r="B532" t="s">
        <v>11</v>
      </c>
      <c r="C532" t="s">
        <v>23</v>
      </c>
      <c r="D532" t="s">
        <v>13</v>
      </c>
      <c r="E532" t="s">
        <v>20</v>
      </c>
      <c r="F532" s="3">
        <v>4853.28</v>
      </c>
      <c r="G532" s="3">
        <v>7137.18</v>
      </c>
      <c r="H532" s="3">
        <f>Table1[[#This Row],[Sale]]-Table1[[#This Row],[Cost]]</f>
        <v>2283.9000000000005</v>
      </c>
      <c r="I532" s="4">
        <f>Table1[[#This Row],[Profit]]/Table1[[#This Row],[Sale]]</f>
        <v>0.32000033626726526</v>
      </c>
      <c r="J532" s="5">
        <f t="shared" si="16"/>
        <v>2005</v>
      </c>
      <c r="K532" s="5">
        <f>MONTH(Table1[[#This Row],[Date]])</f>
        <v>10</v>
      </c>
      <c r="L532" s="5">
        <f>DAY(Table1[[#This Row],[Date]])</f>
        <v>3</v>
      </c>
      <c r="M532" s="5" t="str">
        <f t="shared" si="17"/>
        <v>Oct</v>
      </c>
    </row>
    <row r="533" spans="1:13" x14ac:dyDescent="0.25">
      <c r="A533" s="2">
        <v>38798</v>
      </c>
      <c r="B533" t="s">
        <v>17</v>
      </c>
      <c r="C533" t="s">
        <v>18</v>
      </c>
      <c r="D533" t="s">
        <v>28</v>
      </c>
      <c r="E533" t="s">
        <v>14</v>
      </c>
      <c r="F533" s="3">
        <v>1828.18</v>
      </c>
      <c r="G533" s="3">
        <v>2077.48</v>
      </c>
      <c r="H533" s="3">
        <f>Table1[[#This Row],[Sale]]-Table1[[#This Row],[Cost]]</f>
        <v>249.29999999999995</v>
      </c>
      <c r="I533" s="4">
        <f>Table1[[#This Row],[Profit]]/Table1[[#This Row],[Sale]]</f>
        <v>0.12000115524577852</v>
      </c>
      <c r="J533" s="5">
        <f t="shared" si="16"/>
        <v>2006</v>
      </c>
      <c r="K533" s="5">
        <f>MONTH(Table1[[#This Row],[Date]])</f>
        <v>3</v>
      </c>
      <c r="L533" s="5">
        <f>DAY(Table1[[#This Row],[Date]])</f>
        <v>22</v>
      </c>
      <c r="M533" s="5" t="str">
        <f t="shared" si="17"/>
        <v>Mar</v>
      </c>
    </row>
    <row r="534" spans="1:13" x14ac:dyDescent="0.25">
      <c r="A534" s="2">
        <v>38654</v>
      </c>
      <c r="B534" t="s">
        <v>17</v>
      </c>
      <c r="C534" t="s">
        <v>23</v>
      </c>
      <c r="D534" t="s">
        <v>13</v>
      </c>
      <c r="E534" t="s">
        <v>20</v>
      </c>
      <c r="F534" s="3">
        <v>2657.61</v>
      </c>
      <c r="G534" s="3">
        <v>7182.73</v>
      </c>
      <c r="H534" s="3">
        <f>Table1[[#This Row],[Sale]]-Table1[[#This Row],[Cost]]</f>
        <v>4525.119999999999</v>
      </c>
      <c r="I534" s="4">
        <f>Table1[[#This Row],[Profit]]/Table1[[#This Row],[Sale]]</f>
        <v>0.63000001392228289</v>
      </c>
      <c r="J534" s="5">
        <f t="shared" si="16"/>
        <v>2005</v>
      </c>
      <c r="K534" s="5">
        <f>MONTH(Table1[[#This Row],[Date]])</f>
        <v>10</v>
      </c>
      <c r="L534" s="5">
        <f>DAY(Table1[[#This Row],[Date]])</f>
        <v>29</v>
      </c>
      <c r="M534" s="5" t="str">
        <f t="shared" si="17"/>
        <v>Oct</v>
      </c>
    </row>
    <row r="535" spans="1:13" x14ac:dyDescent="0.25">
      <c r="A535" s="2">
        <v>38714</v>
      </c>
      <c r="B535" t="s">
        <v>15</v>
      </c>
      <c r="C535" t="s">
        <v>29</v>
      </c>
      <c r="D535" t="s">
        <v>19</v>
      </c>
      <c r="E535" t="s">
        <v>14</v>
      </c>
      <c r="F535" s="3">
        <v>5129.13</v>
      </c>
      <c r="G535" s="3">
        <v>6838.84</v>
      </c>
      <c r="H535" s="3">
        <f>Table1[[#This Row],[Sale]]-Table1[[#This Row],[Cost]]</f>
        <v>1709.71</v>
      </c>
      <c r="I535" s="4">
        <f>Table1[[#This Row],[Profit]]/Table1[[#This Row],[Sale]]</f>
        <v>0.25</v>
      </c>
      <c r="J535" s="5">
        <f t="shared" si="16"/>
        <v>2005</v>
      </c>
      <c r="K535" s="5">
        <f>MONTH(Table1[[#This Row],[Date]])</f>
        <v>12</v>
      </c>
      <c r="L535" s="5">
        <f>DAY(Table1[[#This Row],[Date]])</f>
        <v>28</v>
      </c>
      <c r="M535" s="5" t="str">
        <f t="shared" si="17"/>
        <v>Dec</v>
      </c>
    </row>
    <row r="536" spans="1:13" x14ac:dyDescent="0.25">
      <c r="A536" s="2">
        <v>38649</v>
      </c>
      <c r="B536" t="s">
        <v>15</v>
      </c>
      <c r="C536" t="s">
        <v>12</v>
      </c>
      <c r="D536" t="s">
        <v>16</v>
      </c>
      <c r="E536" t="s">
        <v>24</v>
      </c>
      <c r="F536" s="3">
        <v>3074.8</v>
      </c>
      <c r="G536" s="3">
        <v>8310.26</v>
      </c>
      <c r="H536" s="3">
        <f>Table1[[#This Row],[Sale]]-Table1[[#This Row],[Cost]]</f>
        <v>5235.46</v>
      </c>
      <c r="I536" s="4">
        <f>Table1[[#This Row],[Profit]]/Table1[[#This Row],[Sale]]</f>
        <v>0.62999954273392167</v>
      </c>
      <c r="J536" s="5">
        <f t="shared" si="16"/>
        <v>2005</v>
      </c>
      <c r="K536" s="5">
        <f>MONTH(Table1[[#This Row],[Date]])</f>
        <v>10</v>
      </c>
      <c r="L536" s="5">
        <f>DAY(Table1[[#This Row],[Date]])</f>
        <v>24</v>
      </c>
      <c r="M536" s="5" t="str">
        <f t="shared" si="17"/>
        <v>Oct</v>
      </c>
    </row>
    <row r="537" spans="1:13" x14ac:dyDescent="0.25">
      <c r="A537" s="2">
        <v>38535</v>
      </c>
      <c r="B537" t="s">
        <v>17</v>
      </c>
      <c r="C537" t="s">
        <v>12</v>
      </c>
      <c r="D537" t="s">
        <v>13</v>
      </c>
      <c r="E537" t="s">
        <v>25</v>
      </c>
      <c r="F537" s="3">
        <v>2727.48</v>
      </c>
      <c r="G537" s="3">
        <v>3636.64</v>
      </c>
      <c r="H537" s="3">
        <f>Table1[[#This Row],[Sale]]-Table1[[#This Row],[Cost]]</f>
        <v>909.15999999999985</v>
      </c>
      <c r="I537" s="4">
        <f>Table1[[#This Row],[Profit]]/Table1[[#This Row],[Sale]]</f>
        <v>0.24999999999999997</v>
      </c>
      <c r="J537" s="5">
        <f t="shared" si="16"/>
        <v>2005</v>
      </c>
      <c r="K537" s="5">
        <f>MONTH(Table1[[#This Row],[Date]])</f>
        <v>7</v>
      </c>
      <c r="L537" s="5">
        <f>DAY(Table1[[#This Row],[Date]])</f>
        <v>2</v>
      </c>
      <c r="M537" s="5" t="str">
        <f t="shared" si="17"/>
        <v>Jul</v>
      </c>
    </row>
    <row r="538" spans="1:13" x14ac:dyDescent="0.25">
      <c r="A538" s="2">
        <v>38494</v>
      </c>
      <c r="B538" t="s">
        <v>22</v>
      </c>
      <c r="C538" t="s">
        <v>12</v>
      </c>
      <c r="D538" t="s">
        <v>19</v>
      </c>
      <c r="E538" t="s">
        <v>20</v>
      </c>
      <c r="F538" s="3">
        <v>1444.06</v>
      </c>
      <c r="G538" s="3">
        <v>3902.86</v>
      </c>
      <c r="H538" s="3">
        <f>Table1[[#This Row],[Sale]]-Table1[[#This Row],[Cost]]</f>
        <v>2458.8000000000002</v>
      </c>
      <c r="I538" s="4">
        <f>Table1[[#This Row],[Profit]]/Table1[[#This Row],[Sale]]</f>
        <v>0.62999953879975201</v>
      </c>
      <c r="J538" s="5">
        <f t="shared" si="16"/>
        <v>2005</v>
      </c>
      <c r="K538" s="5">
        <f>MONTH(Table1[[#This Row],[Date]])</f>
        <v>5</v>
      </c>
      <c r="L538" s="5">
        <f>DAY(Table1[[#This Row],[Date]])</f>
        <v>22</v>
      </c>
      <c r="M538" s="5" t="str">
        <f t="shared" si="17"/>
        <v>May</v>
      </c>
    </row>
    <row r="539" spans="1:13" x14ac:dyDescent="0.25">
      <c r="A539" s="2">
        <v>38618</v>
      </c>
      <c r="B539" t="s">
        <v>26</v>
      </c>
      <c r="C539" t="s">
        <v>29</v>
      </c>
      <c r="D539" t="s">
        <v>28</v>
      </c>
      <c r="E539" t="s">
        <v>20</v>
      </c>
      <c r="F539" s="3">
        <v>4440.5200000000004</v>
      </c>
      <c r="G539" s="3">
        <v>8073.67</v>
      </c>
      <c r="H539" s="3">
        <f>Table1[[#This Row],[Sale]]-Table1[[#This Row],[Cost]]</f>
        <v>3633.1499999999996</v>
      </c>
      <c r="I539" s="4">
        <f>Table1[[#This Row],[Profit]]/Table1[[#This Row],[Sale]]</f>
        <v>0.44999981421088547</v>
      </c>
      <c r="J539" s="5">
        <f t="shared" si="16"/>
        <v>2005</v>
      </c>
      <c r="K539" s="5">
        <f>MONTH(Table1[[#This Row],[Date]])</f>
        <v>9</v>
      </c>
      <c r="L539" s="5">
        <f>DAY(Table1[[#This Row],[Date]])</f>
        <v>23</v>
      </c>
      <c r="M539" s="5" t="str">
        <f t="shared" si="17"/>
        <v>Sep</v>
      </c>
    </row>
    <row r="540" spans="1:13" x14ac:dyDescent="0.25">
      <c r="A540" s="2">
        <v>38548</v>
      </c>
      <c r="B540" t="s">
        <v>15</v>
      </c>
      <c r="C540" t="s">
        <v>27</v>
      </c>
      <c r="D540" t="s">
        <v>13</v>
      </c>
      <c r="E540" t="s">
        <v>14</v>
      </c>
      <c r="F540" s="3">
        <v>1908.55</v>
      </c>
      <c r="G540" s="3">
        <v>2544.73</v>
      </c>
      <c r="H540" s="3">
        <f>Table1[[#This Row],[Sale]]-Table1[[#This Row],[Cost]]</f>
        <v>636.18000000000006</v>
      </c>
      <c r="I540" s="4">
        <f>Table1[[#This Row],[Profit]]/Table1[[#This Row],[Sale]]</f>
        <v>0.24999901757750334</v>
      </c>
      <c r="J540" s="5">
        <f t="shared" si="16"/>
        <v>2005</v>
      </c>
      <c r="K540" s="5">
        <f>MONTH(Table1[[#This Row],[Date]])</f>
        <v>7</v>
      </c>
      <c r="L540" s="5">
        <f>DAY(Table1[[#This Row],[Date]])</f>
        <v>15</v>
      </c>
      <c r="M540" s="5" t="str">
        <f t="shared" si="17"/>
        <v>Jul</v>
      </c>
    </row>
    <row r="541" spans="1:13" x14ac:dyDescent="0.25">
      <c r="A541" s="2">
        <v>38712</v>
      </c>
      <c r="B541" t="s">
        <v>21</v>
      </c>
      <c r="C541" t="s">
        <v>29</v>
      </c>
      <c r="D541" t="s">
        <v>16</v>
      </c>
      <c r="E541" t="s">
        <v>25</v>
      </c>
      <c r="F541" s="3">
        <v>8598.61</v>
      </c>
      <c r="G541" s="3">
        <v>9196.3700000000008</v>
      </c>
      <c r="H541" s="3">
        <f>Table1[[#This Row],[Sale]]-Table1[[#This Row],[Cost]]</f>
        <v>597.76000000000022</v>
      </c>
      <c r="I541" s="4">
        <f>Table1[[#This Row],[Profit]]/Table1[[#This Row],[Sale]]</f>
        <v>6.4999559608845681E-2</v>
      </c>
      <c r="J541" s="5">
        <f t="shared" si="16"/>
        <v>2005</v>
      </c>
      <c r="K541" s="5">
        <f>MONTH(Table1[[#This Row],[Date]])</f>
        <v>12</v>
      </c>
      <c r="L541" s="5">
        <f>DAY(Table1[[#This Row],[Date]])</f>
        <v>26</v>
      </c>
      <c r="M541" s="5" t="str">
        <f t="shared" si="17"/>
        <v>Dec</v>
      </c>
    </row>
    <row r="542" spans="1:13" x14ac:dyDescent="0.25">
      <c r="A542" s="2">
        <v>38379</v>
      </c>
      <c r="B542" t="s">
        <v>15</v>
      </c>
      <c r="C542" t="s">
        <v>23</v>
      </c>
      <c r="D542" t="s">
        <v>19</v>
      </c>
      <c r="E542" t="s">
        <v>24</v>
      </c>
      <c r="F542" s="3">
        <v>2050.25</v>
      </c>
      <c r="G542" s="3">
        <v>3727.72</v>
      </c>
      <c r="H542" s="3">
        <f>Table1[[#This Row],[Sale]]-Table1[[#This Row],[Cost]]</f>
        <v>1677.4699999999998</v>
      </c>
      <c r="I542" s="4">
        <f>Table1[[#This Row],[Profit]]/Table1[[#This Row],[Sale]]</f>
        <v>0.44999892695803329</v>
      </c>
      <c r="J542" s="5">
        <f t="shared" si="16"/>
        <v>2005</v>
      </c>
      <c r="K542" s="5">
        <f>MONTH(Table1[[#This Row],[Date]])</f>
        <v>1</v>
      </c>
      <c r="L542" s="5">
        <f>DAY(Table1[[#This Row],[Date]])</f>
        <v>27</v>
      </c>
      <c r="M542" s="5" t="str">
        <f t="shared" si="17"/>
        <v>Jan</v>
      </c>
    </row>
    <row r="543" spans="1:13" x14ac:dyDescent="0.25">
      <c r="A543" s="2">
        <v>38249</v>
      </c>
      <c r="B543" t="s">
        <v>15</v>
      </c>
      <c r="C543" t="s">
        <v>27</v>
      </c>
      <c r="D543" t="s">
        <v>28</v>
      </c>
      <c r="E543" t="s">
        <v>14</v>
      </c>
      <c r="F543" s="3">
        <v>2145.61</v>
      </c>
      <c r="G543" s="3">
        <v>2438.19</v>
      </c>
      <c r="H543" s="3">
        <f>Table1[[#This Row],[Sale]]-Table1[[#This Row],[Cost]]</f>
        <v>292.57999999999993</v>
      </c>
      <c r="I543" s="4">
        <f>Table1[[#This Row],[Profit]]/Table1[[#This Row],[Sale]]</f>
        <v>0.11999885160713476</v>
      </c>
      <c r="J543" s="5">
        <f t="shared" si="16"/>
        <v>2004</v>
      </c>
      <c r="K543" s="5">
        <f>MONTH(Table1[[#This Row],[Date]])</f>
        <v>9</v>
      </c>
      <c r="L543" s="5">
        <f>DAY(Table1[[#This Row],[Date]])</f>
        <v>19</v>
      </c>
      <c r="M543" s="5" t="str">
        <f t="shared" si="17"/>
        <v>Sep</v>
      </c>
    </row>
    <row r="544" spans="1:13" x14ac:dyDescent="0.25">
      <c r="A544" s="2">
        <v>38350</v>
      </c>
      <c r="B544" t="s">
        <v>15</v>
      </c>
      <c r="C544" t="s">
        <v>23</v>
      </c>
      <c r="D544" t="s">
        <v>16</v>
      </c>
      <c r="E544" t="s">
        <v>14</v>
      </c>
      <c r="F544" s="3">
        <v>4204.5</v>
      </c>
      <c r="G544" s="3">
        <v>9777.9</v>
      </c>
      <c r="H544" s="3">
        <f>Table1[[#This Row],[Sale]]-Table1[[#This Row],[Cost]]</f>
        <v>5573.4</v>
      </c>
      <c r="I544" s="4">
        <f>Table1[[#This Row],[Profit]]/Table1[[#This Row],[Sale]]</f>
        <v>0.56999969318565336</v>
      </c>
      <c r="J544" s="5">
        <f t="shared" si="16"/>
        <v>2004</v>
      </c>
      <c r="K544" s="5">
        <f>MONTH(Table1[[#This Row],[Date]])</f>
        <v>12</v>
      </c>
      <c r="L544" s="5">
        <f>DAY(Table1[[#This Row],[Date]])</f>
        <v>29</v>
      </c>
      <c r="M544" s="5" t="str">
        <f t="shared" si="17"/>
        <v>Dec</v>
      </c>
    </row>
    <row r="545" spans="1:13" x14ac:dyDescent="0.25">
      <c r="A545" s="2">
        <v>38362</v>
      </c>
      <c r="B545" t="s">
        <v>15</v>
      </c>
      <c r="C545" t="s">
        <v>23</v>
      </c>
      <c r="D545" t="s">
        <v>16</v>
      </c>
      <c r="E545" t="s">
        <v>25</v>
      </c>
      <c r="F545" s="3">
        <v>4120.4399999999996</v>
      </c>
      <c r="G545" s="3">
        <v>6983.79</v>
      </c>
      <c r="H545" s="3">
        <f>Table1[[#This Row],[Sale]]-Table1[[#This Row],[Cost]]</f>
        <v>2863.3500000000004</v>
      </c>
      <c r="I545" s="4">
        <f>Table1[[#This Row],[Profit]]/Table1[[#This Row],[Sale]]</f>
        <v>0.40999944156396462</v>
      </c>
      <c r="J545" s="5">
        <f t="shared" si="16"/>
        <v>2005</v>
      </c>
      <c r="K545" s="5">
        <f>MONTH(Table1[[#This Row],[Date]])</f>
        <v>1</v>
      </c>
      <c r="L545" s="5">
        <f>DAY(Table1[[#This Row],[Date]])</f>
        <v>10</v>
      </c>
      <c r="M545" s="5" t="str">
        <f t="shared" si="17"/>
        <v>Jan</v>
      </c>
    </row>
    <row r="546" spans="1:13" x14ac:dyDescent="0.25">
      <c r="A546" s="2">
        <v>38749</v>
      </c>
      <c r="B546" t="s">
        <v>11</v>
      </c>
      <c r="C546" t="s">
        <v>18</v>
      </c>
      <c r="D546" t="s">
        <v>16</v>
      </c>
      <c r="E546" t="s">
        <v>20</v>
      </c>
      <c r="F546" s="3">
        <v>141.77000000000001</v>
      </c>
      <c r="G546" s="3">
        <v>208.48</v>
      </c>
      <c r="H546" s="3">
        <f>Table1[[#This Row],[Sale]]-Table1[[#This Row],[Cost]]</f>
        <v>66.70999999999998</v>
      </c>
      <c r="I546" s="4">
        <f>Table1[[#This Row],[Profit]]/Table1[[#This Row],[Sale]]</f>
        <v>0.3199827321565617</v>
      </c>
      <c r="J546" s="5">
        <f t="shared" si="16"/>
        <v>2006</v>
      </c>
      <c r="K546" s="5">
        <f>MONTH(Table1[[#This Row],[Date]])</f>
        <v>2</v>
      </c>
      <c r="L546" s="5">
        <f>DAY(Table1[[#This Row],[Date]])</f>
        <v>1</v>
      </c>
      <c r="M546" s="5" t="str">
        <f t="shared" si="17"/>
        <v>Feb</v>
      </c>
    </row>
    <row r="547" spans="1:13" x14ac:dyDescent="0.25">
      <c r="A547" s="2">
        <v>38234</v>
      </c>
      <c r="B547" t="s">
        <v>15</v>
      </c>
      <c r="C547" t="s">
        <v>29</v>
      </c>
      <c r="D547" t="s">
        <v>13</v>
      </c>
      <c r="E547" t="s">
        <v>25</v>
      </c>
      <c r="F547" s="3">
        <v>5842.08</v>
      </c>
      <c r="G547" s="3">
        <v>6638.73</v>
      </c>
      <c r="H547" s="3">
        <f>Table1[[#This Row],[Sale]]-Table1[[#This Row],[Cost]]</f>
        <v>796.64999999999964</v>
      </c>
      <c r="I547" s="4">
        <f>Table1[[#This Row],[Profit]]/Table1[[#This Row],[Sale]]</f>
        <v>0.12000036151492827</v>
      </c>
      <c r="J547" s="5">
        <f t="shared" si="16"/>
        <v>2004</v>
      </c>
      <c r="K547" s="5">
        <f>MONTH(Table1[[#This Row],[Date]])</f>
        <v>9</v>
      </c>
      <c r="L547" s="5">
        <f>DAY(Table1[[#This Row],[Date]])</f>
        <v>4</v>
      </c>
      <c r="M547" s="5" t="str">
        <f t="shared" si="17"/>
        <v>Sep</v>
      </c>
    </row>
    <row r="548" spans="1:13" x14ac:dyDescent="0.25">
      <c r="A548" s="2">
        <v>38838</v>
      </c>
      <c r="B548" t="s">
        <v>21</v>
      </c>
      <c r="C548" t="s">
        <v>27</v>
      </c>
      <c r="D548" t="s">
        <v>19</v>
      </c>
      <c r="E548" t="s">
        <v>25</v>
      </c>
      <c r="F548" s="3">
        <v>3297.05</v>
      </c>
      <c r="G548" s="3">
        <v>7326.77</v>
      </c>
      <c r="H548" s="3">
        <f>Table1[[#This Row],[Sale]]-Table1[[#This Row],[Cost]]</f>
        <v>4029.7200000000003</v>
      </c>
      <c r="I548" s="4">
        <f>Table1[[#This Row],[Profit]]/Table1[[#This Row],[Sale]]</f>
        <v>0.54999952229973104</v>
      </c>
      <c r="J548" s="5">
        <f t="shared" si="16"/>
        <v>2006</v>
      </c>
      <c r="K548" s="5">
        <f>MONTH(Table1[[#This Row],[Date]])</f>
        <v>5</v>
      </c>
      <c r="L548" s="5">
        <f>DAY(Table1[[#This Row],[Date]])</f>
        <v>1</v>
      </c>
      <c r="M548" s="5" t="str">
        <f t="shared" si="17"/>
        <v>May</v>
      </c>
    </row>
    <row r="549" spans="1:13" x14ac:dyDescent="0.25">
      <c r="A549" s="2">
        <v>38741</v>
      </c>
      <c r="B549" t="s">
        <v>17</v>
      </c>
      <c r="C549" t="s">
        <v>23</v>
      </c>
      <c r="D549" t="s">
        <v>19</v>
      </c>
      <c r="E549" t="s">
        <v>25</v>
      </c>
      <c r="F549" s="3">
        <v>8339.5499999999993</v>
      </c>
      <c r="G549" s="3">
        <v>9476.76</v>
      </c>
      <c r="H549" s="3">
        <f>Table1[[#This Row],[Sale]]-Table1[[#This Row],[Cost]]</f>
        <v>1137.2100000000009</v>
      </c>
      <c r="I549" s="4">
        <f>Table1[[#This Row],[Profit]]/Table1[[#This Row],[Sale]]</f>
        <v>0.11999987337444452</v>
      </c>
      <c r="J549" s="5">
        <f t="shared" si="16"/>
        <v>2006</v>
      </c>
      <c r="K549" s="5">
        <f>MONTH(Table1[[#This Row],[Date]])</f>
        <v>1</v>
      </c>
      <c r="L549" s="5">
        <f>DAY(Table1[[#This Row],[Date]])</f>
        <v>24</v>
      </c>
      <c r="M549" s="5" t="str">
        <f t="shared" si="17"/>
        <v>Jan</v>
      </c>
    </row>
    <row r="550" spans="1:13" x14ac:dyDescent="0.25">
      <c r="A550" s="2">
        <v>38301</v>
      </c>
      <c r="B550" t="s">
        <v>26</v>
      </c>
      <c r="C550" t="s">
        <v>27</v>
      </c>
      <c r="D550" t="s">
        <v>16</v>
      </c>
      <c r="E550" t="s">
        <v>20</v>
      </c>
      <c r="F550" s="3">
        <v>5467</v>
      </c>
      <c r="G550" s="3">
        <v>9266.11</v>
      </c>
      <c r="H550" s="3">
        <f>Table1[[#This Row],[Sale]]-Table1[[#This Row],[Cost]]</f>
        <v>3799.1100000000006</v>
      </c>
      <c r="I550" s="4">
        <f>Table1[[#This Row],[Profit]]/Table1[[#This Row],[Sale]]</f>
        <v>0.41000052880874505</v>
      </c>
      <c r="J550" s="5">
        <f t="shared" si="16"/>
        <v>2004</v>
      </c>
      <c r="K550" s="5">
        <f>MONTH(Table1[[#This Row],[Date]])</f>
        <v>11</v>
      </c>
      <c r="L550" s="5">
        <f>DAY(Table1[[#This Row],[Date]])</f>
        <v>10</v>
      </c>
      <c r="M550" s="5" t="str">
        <f t="shared" si="17"/>
        <v>Nov</v>
      </c>
    </row>
    <row r="551" spans="1:13" x14ac:dyDescent="0.25">
      <c r="A551" s="2">
        <v>38386</v>
      </c>
      <c r="B551" t="s">
        <v>15</v>
      </c>
      <c r="C551" t="s">
        <v>12</v>
      </c>
      <c r="D551" t="s">
        <v>13</v>
      </c>
      <c r="E551" t="s">
        <v>24</v>
      </c>
      <c r="F551" s="3">
        <v>862.86</v>
      </c>
      <c r="G551" s="3">
        <v>2006.65</v>
      </c>
      <c r="H551" s="3">
        <f>Table1[[#This Row],[Sale]]-Table1[[#This Row],[Cost]]</f>
        <v>1143.79</v>
      </c>
      <c r="I551" s="4">
        <f>Table1[[#This Row],[Profit]]/Table1[[#This Row],[Sale]]</f>
        <v>0.56999975082849519</v>
      </c>
      <c r="J551" s="5">
        <f t="shared" si="16"/>
        <v>2005</v>
      </c>
      <c r="K551" s="5">
        <f>MONTH(Table1[[#This Row],[Date]])</f>
        <v>2</v>
      </c>
      <c r="L551" s="5">
        <f>DAY(Table1[[#This Row],[Date]])</f>
        <v>3</v>
      </c>
      <c r="M551" s="5" t="str">
        <f t="shared" si="17"/>
        <v>Feb</v>
      </c>
    </row>
    <row r="552" spans="1:13" x14ac:dyDescent="0.25">
      <c r="A552" s="2">
        <v>38882</v>
      </c>
      <c r="B552" t="s">
        <v>21</v>
      </c>
      <c r="C552" t="s">
        <v>29</v>
      </c>
      <c r="D552" t="s">
        <v>16</v>
      </c>
      <c r="E552" t="s">
        <v>25</v>
      </c>
      <c r="F552" s="3">
        <v>1233.07</v>
      </c>
      <c r="G552" s="3">
        <v>2867.6</v>
      </c>
      <c r="H552" s="3">
        <f>Table1[[#This Row],[Sale]]-Table1[[#This Row],[Cost]]</f>
        <v>1634.53</v>
      </c>
      <c r="I552" s="4">
        <f>Table1[[#This Row],[Profit]]/Table1[[#This Row],[Sale]]</f>
        <v>0.56999930255265729</v>
      </c>
      <c r="J552" s="5">
        <f t="shared" si="16"/>
        <v>2006</v>
      </c>
      <c r="K552" s="5">
        <f>MONTH(Table1[[#This Row],[Date]])</f>
        <v>6</v>
      </c>
      <c r="L552" s="5">
        <f>DAY(Table1[[#This Row],[Date]])</f>
        <v>14</v>
      </c>
      <c r="M552" s="5" t="str">
        <f t="shared" si="17"/>
        <v>Jun</v>
      </c>
    </row>
    <row r="553" spans="1:13" x14ac:dyDescent="0.25">
      <c r="A553" s="2">
        <v>38429</v>
      </c>
      <c r="B553" t="s">
        <v>26</v>
      </c>
      <c r="C553" t="s">
        <v>18</v>
      </c>
      <c r="D553" t="s">
        <v>13</v>
      </c>
      <c r="E553" t="s">
        <v>25</v>
      </c>
      <c r="F553" s="3">
        <v>1759.9</v>
      </c>
      <c r="G553" s="3">
        <v>4092.78</v>
      </c>
      <c r="H553" s="3">
        <f>Table1[[#This Row],[Sale]]-Table1[[#This Row],[Cost]]</f>
        <v>2332.88</v>
      </c>
      <c r="I553" s="4">
        <f>Table1[[#This Row],[Profit]]/Table1[[#This Row],[Sale]]</f>
        <v>0.56999887606956645</v>
      </c>
      <c r="J553" s="5">
        <f t="shared" si="16"/>
        <v>2005</v>
      </c>
      <c r="K553" s="5">
        <f>MONTH(Table1[[#This Row],[Date]])</f>
        <v>3</v>
      </c>
      <c r="L553" s="5">
        <f>DAY(Table1[[#This Row],[Date]])</f>
        <v>18</v>
      </c>
      <c r="M553" s="5" t="str">
        <f t="shared" si="17"/>
        <v>Mar</v>
      </c>
    </row>
    <row r="554" spans="1:13" x14ac:dyDescent="0.25">
      <c r="A554" s="2">
        <v>38206</v>
      </c>
      <c r="B554" t="s">
        <v>21</v>
      </c>
      <c r="C554" t="s">
        <v>23</v>
      </c>
      <c r="D554" t="s">
        <v>28</v>
      </c>
      <c r="E554" t="s">
        <v>14</v>
      </c>
      <c r="F554" s="3">
        <v>799.45</v>
      </c>
      <c r="G554" s="3">
        <v>1378.37</v>
      </c>
      <c r="H554" s="3">
        <f>Table1[[#This Row],[Sale]]-Table1[[#This Row],[Cost]]</f>
        <v>578.91999999999985</v>
      </c>
      <c r="I554" s="4">
        <f>Table1[[#This Row],[Profit]]/Table1[[#This Row],[Sale]]</f>
        <v>0.42000333727518729</v>
      </c>
      <c r="J554" s="5">
        <f t="shared" si="16"/>
        <v>2004</v>
      </c>
      <c r="K554" s="5">
        <f>MONTH(Table1[[#This Row],[Date]])</f>
        <v>8</v>
      </c>
      <c r="L554" s="5">
        <f>DAY(Table1[[#This Row],[Date]])</f>
        <v>7</v>
      </c>
      <c r="M554" s="5" t="str">
        <f t="shared" si="17"/>
        <v>Aug</v>
      </c>
    </row>
    <row r="555" spans="1:13" x14ac:dyDescent="0.25">
      <c r="A555" s="2">
        <v>38392</v>
      </c>
      <c r="B555" t="s">
        <v>15</v>
      </c>
      <c r="C555" t="s">
        <v>18</v>
      </c>
      <c r="D555" t="s">
        <v>19</v>
      </c>
      <c r="E555" t="s">
        <v>25</v>
      </c>
      <c r="F555" s="3">
        <v>1835.65</v>
      </c>
      <c r="G555" s="3">
        <v>4268.96</v>
      </c>
      <c r="H555" s="3">
        <f>Table1[[#This Row],[Sale]]-Table1[[#This Row],[Cost]]</f>
        <v>2433.31</v>
      </c>
      <c r="I555" s="4">
        <f>Table1[[#This Row],[Profit]]/Table1[[#This Row],[Sale]]</f>
        <v>0.57000065589745508</v>
      </c>
      <c r="J555" s="5">
        <f t="shared" si="16"/>
        <v>2005</v>
      </c>
      <c r="K555" s="5">
        <f>MONTH(Table1[[#This Row],[Date]])</f>
        <v>2</v>
      </c>
      <c r="L555" s="5">
        <f>DAY(Table1[[#This Row],[Date]])</f>
        <v>9</v>
      </c>
      <c r="M555" s="5" t="str">
        <f t="shared" si="17"/>
        <v>Feb</v>
      </c>
    </row>
    <row r="556" spans="1:13" x14ac:dyDescent="0.25">
      <c r="A556" s="2">
        <v>38442</v>
      </c>
      <c r="B556" t="s">
        <v>26</v>
      </c>
      <c r="C556" t="s">
        <v>18</v>
      </c>
      <c r="D556" t="s">
        <v>13</v>
      </c>
      <c r="E556" t="s">
        <v>24</v>
      </c>
      <c r="F556" s="3">
        <v>2899.86</v>
      </c>
      <c r="G556" s="3">
        <v>3295.3</v>
      </c>
      <c r="H556" s="3">
        <f>Table1[[#This Row],[Sale]]-Table1[[#This Row],[Cost]]</f>
        <v>395.44000000000005</v>
      </c>
      <c r="I556" s="4">
        <f>Table1[[#This Row],[Profit]]/Table1[[#This Row],[Sale]]</f>
        <v>0.12000121385002883</v>
      </c>
      <c r="J556" s="5">
        <f t="shared" si="16"/>
        <v>2005</v>
      </c>
      <c r="K556" s="5">
        <f>MONTH(Table1[[#This Row],[Date]])</f>
        <v>3</v>
      </c>
      <c r="L556" s="5">
        <f>DAY(Table1[[#This Row],[Date]])</f>
        <v>31</v>
      </c>
      <c r="M556" s="5" t="str">
        <f t="shared" si="17"/>
        <v>Mar</v>
      </c>
    </row>
    <row r="557" spans="1:13" x14ac:dyDescent="0.25">
      <c r="A557" s="2">
        <v>38518</v>
      </c>
      <c r="B557" t="s">
        <v>21</v>
      </c>
      <c r="C557" t="s">
        <v>23</v>
      </c>
      <c r="D557" t="s">
        <v>28</v>
      </c>
      <c r="E557" t="s">
        <v>25</v>
      </c>
      <c r="F557" s="3">
        <v>3301.64</v>
      </c>
      <c r="G557" s="3">
        <v>4402.18</v>
      </c>
      <c r="H557" s="3">
        <f>Table1[[#This Row],[Sale]]-Table1[[#This Row],[Cost]]</f>
        <v>1100.5400000000004</v>
      </c>
      <c r="I557" s="4">
        <f>Table1[[#This Row],[Profit]]/Table1[[#This Row],[Sale]]</f>
        <v>0.24999886419910144</v>
      </c>
      <c r="J557" s="5">
        <f t="shared" si="16"/>
        <v>2005</v>
      </c>
      <c r="K557" s="5">
        <f>MONTH(Table1[[#This Row],[Date]])</f>
        <v>6</v>
      </c>
      <c r="L557" s="5">
        <f>DAY(Table1[[#This Row],[Date]])</f>
        <v>15</v>
      </c>
      <c r="M557" s="5" t="str">
        <f t="shared" si="17"/>
        <v>Jun</v>
      </c>
    </row>
    <row r="558" spans="1:13" x14ac:dyDescent="0.25">
      <c r="A558" s="2">
        <v>38236</v>
      </c>
      <c r="B558" t="s">
        <v>17</v>
      </c>
      <c r="C558" t="s">
        <v>18</v>
      </c>
      <c r="D558" t="s">
        <v>16</v>
      </c>
      <c r="E558" t="s">
        <v>20</v>
      </c>
      <c r="F558" s="3">
        <v>826.57</v>
      </c>
      <c r="G558" s="3">
        <v>884.03</v>
      </c>
      <c r="H558" s="3">
        <f>Table1[[#This Row],[Sale]]-Table1[[#This Row],[Cost]]</f>
        <v>57.459999999999923</v>
      </c>
      <c r="I558" s="4">
        <f>Table1[[#This Row],[Profit]]/Table1[[#This Row],[Sale]]</f>
        <v>6.499779419250469E-2</v>
      </c>
      <c r="J558" s="5">
        <f t="shared" si="16"/>
        <v>2004</v>
      </c>
      <c r="K558" s="5">
        <f>MONTH(Table1[[#This Row],[Date]])</f>
        <v>9</v>
      </c>
      <c r="L558" s="5">
        <f>DAY(Table1[[#This Row],[Date]])</f>
        <v>6</v>
      </c>
      <c r="M558" s="5" t="str">
        <f t="shared" si="17"/>
        <v>Sep</v>
      </c>
    </row>
    <row r="559" spans="1:13" x14ac:dyDescent="0.25">
      <c r="A559" s="2">
        <v>38823</v>
      </c>
      <c r="B559" t="s">
        <v>17</v>
      </c>
      <c r="C559" t="s">
        <v>27</v>
      </c>
      <c r="D559" t="s">
        <v>19</v>
      </c>
      <c r="E559" t="s">
        <v>25</v>
      </c>
      <c r="F559" s="3">
        <v>3494.59</v>
      </c>
      <c r="G559" s="3">
        <v>7765.76</v>
      </c>
      <c r="H559" s="3">
        <f>Table1[[#This Row],[Sale]]-Table1[[#This Row],[Cost]]</f>
        <v>4271.17</v>
      </c>
      <c r="I559" s="4">
        <f>Table1[[#This Row],[Profit]]/Table1[[#This Row],[Sale]]</f>
        <v>0.5500002575407944</v>
      </c>
      <c r="J559" s="5">
        <f t="shared" si="16"/>
        <v>2006</v>
      </c>
      <c r="K559" s="5">
        <f>MONTH(Table1[[#This Row],[Date]])</f>
        <v>4</v>
      </c>
      <c r="L559" s="5">
        <f>DAY(Table1[[#This Row],[Date]])</f>
        <v>16</v>
      </c>
      <c r="M559" s="5" t="str">
        <f t="shared" si="17"/>
        <v>Apr</v>
      </c>
    </row>
    <row r="560" spans="1:13" x14ac:dyDescent="0.25">
      <c r="A560" s="2">
        <v>38653</v>
      </c>
      <c r="B560" t="s">
        <v>26</v>
      </c>
      <c r="C560" t="s">
        <v>27</v>
      </c>
      <c r="D560" t="s">
        <v>28</v>
      </c>
      <c r="E560" t="s">
        <v>14</v>
      </c>
      <c r="F560" s="3">
        <v>2044.35</v>
      </c>
      <c r="G560" s="3">
        <v>2186.4699999999998</v>
      </c>
      <c r="H560" s="3">
        <f>Table1[[#This Row],[Sale]]-Table1[[#This Row],[Cost]]</f>
        <v>142.11999999999989</v>
      </c>
      <c r="I560" s="4">
        <f>Table1[[#This Row],[Profit]]/Table1[[#This Row],[Sale]]</f>
        <v>6.4999748452985825E-2</v>
      </c>
      <c r="J560" s="5">
        <f t="shared" si="16"/>
        <v>2005</v>
      </c>
      <c r="K560" s="5">
        <f>MONTH(Table1[[#This Row],[Date]])</f>
        <v>10</v>
      </c>
      <c r="L560" s="5">
        <f>DAY(Table1[[#This Row],[Date]])</f>
        <v>28</v>
      </c>
      <c r="M560" s="5" t="str">
        <f t="shared" si="17"/>
        <v>Oct</v>
      </c>
    </row>
    <row r="561" spans="1:13" x14ac:dyDescent="0.25">
      <c r="A561" s="2">
        <v>38406</v>
      </c>
      <c r="B561" t="s">
        <v>15</v>
      </c>
      <c r="C561" t="s">
        <v>12</v>
      </c>
      <c r="D561" t="s">
        <v>13</v>
      </c>
      <c r="E561" t="s">
        <v>20</v>
      </c>
      <c r="F561" s="3">
        <v>924.27</v>
      </c>
      <c r="G561" s="3">
        <v>2498.04</v>
      </c>
      <c r="H561" s="3">
        <f>Table1[[#This Row],[Sale]]-Table1[[#This Row],[Cost]]</f>
        <v>1573.77</v>
      </c>
      <c r="I561" s="4">
        <f>Table1[[#This Row],[Profit]]/Table1[[#This Row],[Sale]]</f>
        <v>0.63000192150646106</v>
      </c>
      <c r="J561" s="5">
        <f t="shared" si="16"/>
        <v>2005</v>
      </c>
      <c r="K561" s="5">
        <f>MONTH(Table1[[#This Row],[Date]])</f>
        <v>2</v>
      </c>
      <c r="L561" s="5">
        <f>DAY(Table1[[#This Row],[Date]])</f>
        <v>23</v>
      </c>
      <c r="M561" s="5" t="str">
        <f t="shared" si="17"/>
        <v>Feb</v>
      </c>
    </row>
    <row r="562" spans="1:13" x14ac:dyDescent="0.25">
      <c r="A562" s="2">
        <v>38440</v>
      </c>
      <c r="B562" t="s">
        <v>15</v>
      </c>
      <c r="C562" t="s">
        <v>12</v>
      </c>
      <c r="D562" t="s">
        <v>13</v>
      </c>
      <c r="E562" t="s">
        <v>24</v>
      </c>
      <c r="F562" s="3">
        <v>5290.05</v>
      </c>
      <c r="G562" s="3">
        <v>7053.4</v>
      </c>
      <c r="H562" s="3">
        <f>Table1[[#This Row],[Sale]]-Table1[[#This Row],[Cost]]</f>
        <v>1763.3499999999995</v>
      </c>
      <c r="I562" s="4">
        <f>Table1[[#This Row],[Profit]]/Table1[[#This Row],[Sale]]</f>
        <v>0.24999999999999994</v>
      </c>
      <c r="J562" s="5">
        <f t="shared" si="16"/>
        <v>2005</v>
      </c>
      <c r="K562" s="5">
        <f>MONTH(Table1[[#This Row],[Date]])</f>
        <v>3</v>
      </c>
      <c r="L562" s="5">
        <f>DAY(Table1[[#This Row],[Date]])</f>
        <v>29</v>
      </c>
      <c r="M562" s="5" t="str">
        <f t="shared" si="17"/>
        <v>Mar</v>
      </c>
    </row>
    <row r="563" spans="1:13" x14ac:dyDescent="0.25">
      <c r="A563" s="2">
        <v>38692</v>
      </c>
      <c r="B563" t="s">
        <v>17</v>
      </c>
      <c r="C563" t="s">
        <v>27</v>
      </c>
      <c r="D563" t="s">
        <v>19</v>
      </c>
      <c r="E563" t="s">
        <v>25</v>
      </c>
      <c r="F563" s="3">
        <v>1518.2</v>
      </c>
      <c r="G563" s="3">
        <v>2024.27</v>
      </c>
      <c r="H563" s="3">
        <f>Table1[[#This Row],[Sale]]-Table1[[#This Row],[Cost]]</f>
        <v>506.06999999999994</v>
      </c>
      <c r="I563" s="4">
        <f>Table1[[#This Row],[Profit]]/Table1[[#This Row],[Sale]]</f>
        <v>0.25000123501311583</v>
      </c>
      <c r="J563" s="5">
        <f t="shared" si="16"/>
        <v>2005</v>
      </c>
      <c r="K563" s="5">
        <f>MONTH(Table1[[#This Row],[Date]])</f>
        <v>12</v>
      </c>
      <c r="L563" s="5">
        <f>DAY(Table1[[#This Row],[Date]])</f>
        <v>6</v>
      </c>
      <c r="M563" s="5" t="str">
        <f t="shared" si="17"/>
        <v>Dec</v>
      </c>
    </row>
    <row r="564" spans="1:13" x14ac:dyDescent="0.25">
      <c r="A564" s="2">
        <v>38571</v>
      </c>
      <c r="B564" t="s">
        <v>11</v>
      </c>
      <c r="C564" t="s">
        <v>27</v>
      </c>
      <c r="D564" t="s">
        <v>19</v>
      </c>
      <c r="E564" t="s">
        <v>25</v>
      </c>
      <c r="F564" s="3">
        <v>4037.37</v>
      </c>
      <c r="G564" s="3">
        <v>9389.23</v>
      </c>
      <c r="H564" s="3">
        <f>Table1[[#This Row],[Sale]]-Table1[[#This Row],[Cost]]</f>
        <v>5351.86</v>
      </c>
      <c r="I564" s="4">
        <f>Table1[[#This Row],[Profit]]/Table1[[#This Row],[Sale]]</f>
        <v>0.5699998828444931</v>
      </c>
      <c r="J564" s="5">
        <f t="shared" si="16"/>
        <v>2005</v>
      </c>
      <c r="K564" s="5">
        <f>MONTH(Table1[[#This Row],[Date]])</f>
        <v>8</v>
      </c>
      <c r="L564" s="5">
        <f>DAY(Table1[[#This Row],[Date]])</f>
        <v>7</v>
      </c>
      <c r="M564" s="5" t="str">
        <f t="shared" si="17"/>
        <v>Aug</v>
      </c>
    </row>
    <row r="565" spans="1:13" x14ac:dyDescent="0.25">
      <c r="A565" s="2">
        <v>38796</v>
      </c>
      <c r="B565" t="s">
        <v>26</v>
      </c>
      <c r="C565" t="s">
        <v>27</v>
      </c>
      <c r="D565" t="s">
        <v>28</v>
      </c>
      <c r="E565" t="s">
        <v>20</v>
      </c>
      <c r="F565" s="3">
        <v>699.24</v>
      </c>
      <c r="G565" s="3">
        <v>1889.85</v>
      </c>
      <c r="H565" s="3">
        <f>Table1[[#This Row],[Sale]]-Table1[[#This Row],[Cost]]</f>
        <v>1190.6099999999999</v>
      </c>
      <c r="I565" s="4">
        <f>Table1[[#This Row],[Profit]]/Table1[[#This Row],[Sale]]</f>
        <v>0.63000238114136042</v>
      </c>
      <c r="J565" s="5">
        <f t="shared" si="16"/>
        <v>2006</v>
      </c>
      <c r="K565" s="5">
        <f>MONTH(Table1[[#This Row],[Date]])</f>
        <v>3</v>
      </c>
      <c r="L565" s="5">
        <f>DAY(Table1[[#This Row],[Date]])</f>
        <v>20</v>
      </c>
      <c r="M565" s="5" t="str">
        <f t="shared" si="17"/>
        <v>Mar</v>
      </c>
    </row>
    <row r="566" spans="1:13" x14ac:dyDescent="0.25">
      <c r="A566" s="2">
        <v>38625</v>
      </c>
      <c r="B566" t="s">
        <v>17</v>
      </c>
      <c r="C566" t="s">
        <v>29</v>
      </c>
      <c r="D566" t="s">
        <v>16</v>
      </c>
      <c r="E566" t="s">
        <v>24</v>
      </c>
      <c r="F566" s="3">
        <v>610.9</v>
      </c>
      <c r="G566" s="3">
        <v>898.38</v>
      </c>
      <c r="H566" s="3">
        <f>Table1[[#This Row],[Sale]]-Table1[[#This Row],[Cost]]</f>
        <v>287.48</v>
      </c>
      <c r="I566" s="4">
        <f>Table1[[#This Row],[Profit]]/Table1[[#This Row],[Sale]]</f>
        <v>0.31999821901645187</v>
      </c>
      <c r="J566" s="5">
        <f t="shared" si="16"/>
        <v>2005</v>
      </c>
      <c r="K566" s="5">
        <f>MONTH(Table1[[#This Row],[Date]])</f>
        <v>9</v>
      </c>
      <c r="L566" s="5">
        <f>DAY(Table1[[#This Row],[Date]])</f>
        <v>30</v>
      </c>
      <c r="M566" s="5" t="str">
        <f t="shared" si="17"/>
        <v>Sep</v>
      </c>
    </row>
    <row r="567" spans="1:13" x14ac:dyDescent="0.25">
      <c r="A567" s="2">
        <v>38877</v>
      </c>
      <c r="B567" t="s">
        <v>21</v>
      </c>
      <c r="C567" t="s">
        <v>18</v>
      </c>
      <c r="D567" t="s">
        <v>13</v>
      </c>
      <c r="E567" t="s">
        <v>24</v>
      </c>
      <c r="F567" s="3">
        <v>1381.68</v>
      </c>
      <c r="G567" s="3">
        <v>2382.1999999999998</v>
      </c>
      <c r="H567" s="3">
        <f>Table1[[#This Row],[Sale]]-Table1[[#This Row],[Cost]]</f>
        <v>1000.5199999999998</v>
      </c>
      <c r="I567" s="4">
        <f>Table1[[#This Row],[Profit]]/Table1[[#This Row],[Sale]]</f>
        <v>0.41999832087985889</v>
      </c>
      <c r="J567" s="5">
        <f t="shared" si="16"/>
        <v>2006</v>
      </c>
      <c r="K567" s="5">
        <f>MONTH(Table1[[#This Row],[Date]])</f>
        <v>6</v>
      </c>
      <c r="L567" s="5">
        <f>DAY(Table1[[#This Row],[Date]])</f>
        <v>9</v>
      </c>
      <c r="M567" s="5" t="str">
        <f t="shared" si="17"/>
        <v>Jun</v>
      </c>
    </row>
    <row r="568" spans="1:13" x14ac:dyDescent="0.25">
      <c r="A568" s="2">
        <v>38522</v>
      </c>
      <c r="B568" t="s">
        <v>21</v>
      </c>
      <c r="C568" t="s">
        <v>23</v>
      </c>
      <c r="D568" t="s">
        <v>16</v>
      </c>
      <c r="E568" t="s">
        <v>24</v>
      </c>
      <c r="F568" s="3">
        <v>1255.99</v>
      </c>
      <c r="G568" s="3">
        <v>2920.91</v>
      </c>
      <c r="H568" s="3">
        <f>Table1[[#This Row],[Sale]]-Table1[[#This Row],[Cost]]</f>
        <v>1664.9199999999998</v>
      </c>
      <c r="I568" s="4">
        <f>Table1[[#This Row],[Profit]]/Table1[[#This Row],[Sale]]</f>
        <v>0.57000044506677716</v>
      </c>
      <c r="J568" s="5">
        <f t="shared" si="16"/>
        <v>2005</v>
      </c>
      <c r="K568" s="5">
        <f>MONTH(Table1[[#This Row],[Date]])</f>
        <v>6</v>
      </c>
      <c r="L568" s="5">
        <f>DAY(Table1[[#This Row],[Date]])</f>
        <v>19</v>
      </c>
      <c r="M568" s="5" t="str">
        <f t="shared" si="17"/>
        <v>Jun</v>
      </c>
    </row>
    <row r="569" spans="1:13" x14ac:dyDescent="0.25">
      <c r="A569" s="2">
        <v>38741</v>
      </c>
      <c r="B569" t="s">
        <v>26</v>
      </c>
      <c r="C569" t="s">
        <v>18</v>
      </c>
      <c r="D569" t="s">
        <v>16</v>
      </c>
      <c r="E569" t="s">
        <v>20</v>
      </c>
      <c r="F569" s="3">
        <v>7774.05</v>
      </c>
      <c r="G569" s="3">
        <v>8314.49</v>
      </c>
      <c r="H569" s="3">
        <f>Table1[[#This Row],[Sale]]-Table1[[#This Row],[Cost]]</f>
        <v>540.4399999999996</v>
      </c>
      <c r="I569" s="4">
        <f>Table1[[#This Row],[Profit]]/Table1[[#This Row],[Sale]]</f>
        <v>6.4999777496875896E-2</v>
      </c>
      <c r="J569" s="5">
        <f t="shared" si="16"/>
        <v>2006</v>
      </c>
      <c r="K569" s="5">
        <f>MONTH(Table1[[#This Row],[Date]])</f>
        <v>1</v>
      </c>
      <c r="L569" s="5">
        <f>DAY(Table1[[#This Row],[Date]])</f>
        <v>24</v>
      </c>
      <c r="M569" s="5" t="str">
        <f t="shared" si="17"/>
        <v>Jan</v>
      </c>
    </row>
    <row r="570" spans="1:13" x14ac:dyDescent="0.25">
      <c r="A570" s="2">
        <v>38215</v>
      </c>
      <c r="B570" t="s">
        <v>21</v>
      </c>
      <c r="C570" t="s">
        <v>12</v>
      </c>
      <c r="D570" t="s">
        <v>16</v>
      </c>
      <c r="E570" t="s">
        <v>24</v>
      </c>
      <c r="F570" s="3">
        <v>4345.5600000000004</v>
      </c>
      <c r="G570" s="3">
        <v>5794.08</v>
      </c>
      <c r="H570" s="3">
        <f>Table1[[#This Row],[Sale]]-Table1[[#This Row],[Cost]]</f>
        <v>1448.5199999999995</v>
      </c>
      <c r="I570" s="4">
        <f>Table1[[#This Row],[Profit]]/Table1[[#This Row],[Sale]]</f>
        <v>0.24999999999999992</v>
      </c>
      <c r="J570" s="5">
        <f t="shared" si="16"/>
        <v>2004</v>
      </c>
      <c r="K570" s="5">
        <f>MONTH(Table1[[#This Row],[Date]])</f>
        <v>8</v>
      </c>
      <c r="L570" s="5">
        <f>DAY(Table1[[#This Row],[Date]])</f>
        <v>16</v>
      </c>
      <c r="M570" s="5" t="str">
        <f t="shared" si="17"/>
        <v>Aug</v>
      </c>
    </row>
    <row r="571" spans="1:13" x14ac:dyDescent="0.25">
      <c r="A571" s="2">
        <v>38269</v>
      </c>
      <c r="B571" t="s">
        <v>21</v>
      </c>
      <c r="C571" t="s">
        <v>18</v>
      </c>
      <c r="D571" t="s">
        <v>19</v>
      </c>
      <c r="E571" t="s">
        <v>24</v>
      </c>
      <c r="F571" s="3">
        <v>1742.92</v>
      </c>
      <c r="G571" s="3">
        <v>2323.9</v>
      </c>
      <c r="H571" s="3">
        <f>Table1[[#This Row],[Sale]]-Table1[[#This Row],[Cost]]</f>
        <v>580.98</v>
      </c>
      <c r="I571" s="4">
        <f>Table1[[#This Row],[Profit]]/Table1[[#This Row],[Sale]]</f>
        <v>0.2500021515555747</v>
      </c>
      <c r="J571" s="5">
        <f t="shared" si="16"/>
        <v>2004</v>
      </c>
      <c r="K571" s="5">
        <f>MONTH(Table1[[#This Row],[Date]])</f>
        <v>10</v>
      </c>
      <c r="L571" s="5">
        <f>DAY(Table1[[#This Row],[Date]])</f>
        <v>9</v>
      </c>
      <c r="M571" s="5" t="str">
        <f t="shared" si="17"/>
        <v>Oct</v>
      </c>
    </row>
    <row r="572" spans="1:13" x14ac:dyDescent="0.25">
      <c r="A572" s="2">
        <v>38579</v>
      </c>
      <c r="B572" t="s">
        <v>17</v>
      </c>
      <c r="C572" t="s">
        <v>23</v>
      </c>
      <c r="D572" t="s">
        <v>13</v>
      </c>
      <c r="E572" t="s">
        <v>25</v>
      </c>
      <c r="F572" s="3">
        <v>3745.99</v>
      </c>
      <c r="G572" s="3">
        <v>8711.61</v>
      </c>
      <c r="H572" s="3">
        <f>Table1[[#This Row],[Sale]]-Table1[[#This Row],[Cost]]</f>
        <v>4965.6200000000008</v>
      </c>
      <c r="I572" s="4">
        <f>Table1[[#This Row],[Profit]]/Table1[[#This Row],[Sale]]</f>
        <v>0.57000026401549198</v>
      </c>
      <c r="J572" s="5">
        <f t="shared" si="16"/>
        <v>2005</v>
      </c>
      <c r="K572" s="5">
        <f>MONTH(Table1[[#This Row],[Date]])</f>
        <v>8</v>
      </c>
      <c r="L572" s="5">
        <f>DAY(Table1[[#This Row],[Date]])</f>
        <v>15</v>
      </c>
      <c r="M572" s="5" t="str">
        <f t="shared" si="17"/>
        <v>Aug</v>
      </c>
    </row>
    <row r="573" spans="1:13" x14ac:dyDescent="0.25">
      <c r="A573" s="2">
        <v>38475</v>
      </c>
      <c r="B573" t="s">
        <v>11</v>
      </c>
      <c r="C573" t="s">
        <v>18</v>
      </c>
      <c r="D573" t="s">
        <v>16</v>
      </c>
      <c r="E573" t="s">
        <v>25</v>
      </c>
      <c r="F573" s="3">
        <v>1675.51</v>
      </c>
      <c r="G573" s="3">
        <v>3046.38</v>
      </c>
      <c r="H573" s="3">
        <f>Table1[[#This Row],[Sale]]-Table1[[#This Row],[Cost]]</f>
        <v>1370.8700000000001</v>
      </c>
      <c r="I573" s="4">
        <f>Table1[[#This Row],[Profit]]/Table1[[#This Row],[Sale]]</f>
        <v>0.44999967174154243</v>
      </c>
      <c r="J573" s="5">
        <f t="shared" si="16"/>
        <v>2005</v>
      </c>
      <c r="K573" s="5">
        <f>MONTH(Table1[[#This Row],[Date]])</f>
        <v>5</v>
      </c>
      <c r="L573" s="5">
        <f>DAY(Table1[[#This Row],[Date]])</f>
        <v>3</v>
      </c>
      <c r="M573" s="5" t="str">
        <f t="shared" si="17"/>
        <v>May</v>
      </c>
    </row>
    <row r="574" spans="1:13" x14ac:dyDescent="0.25">
      <c r="A574" s="2">
        <v>38467</v>
      </c>
      <c r="B574" t="s">
        <v>15</v>
      </c>
      <c r="C574" t="s">
        <v>27</v>
      </c>
      <c r="D574" t="s">
        <v>16</v>
      </c>
      <c r="E574" t="s">
        <v>24</v>
      </c>
      <c r="F574" s="3">
        <v>3292.36</v>
      </c>
      <c r="G574" s="3">
        <v>4841.71</v>
      </c>
      <c r="H574" s="3">
        <f>Table1[[#This Row],[Sale]]-Table1[[#This Row],[Cost]]</f>
        <v>1549.35</v>
      </c>
      <c r="I574" s="4">
        <f>Table1[[#This Row],[Profit]]/Table1[[#This Row],[Sale]]</f>
        <v>0.3200005783080771</v>
      </c>
      <c r="J574" s="5">
        <f t="shared" si="16"/>
        <v>2005</v>
      </c>
      <c r="K574" s="5">
        <f>MONTH(Table1[[#This Row],[Date]])</f>
        <v>4</v>
      </c>
      <c r="L574" s="5">
        <f>DAY(Table1[[#This Row],[Date]])</f>
        <v>25</v>
      </c>
      <c r="M574" s="5" t="str">
        <f t="shared" si="17"/>
        <v>Apr</v>
      </c>
    </row>
    <row r="575" spans="1:13" x14ac:dyDescent="0.25">
      <c r="A575" s="2">
        <v>38508</v>
      </c>
      <c r="B575" t="s">
        <v>26</v>
      </c>
      <c r="C575" t="s">
        <v>27</v>
      </c>
      <c r="D575" t="s">
        <v>19</v>
      </c>
      <c r="E575" t="s">
        <v>25</v>
      </c>
      <c r="F575" s="3">
        <v>246.18</v>
      </c>
      <c r="G575" s="3">
        <v>572.52</v>
      </c>
      <c r="H575" s="3">
        <f>Table1[[#This Row],[Sale]]-Table1[[#This Row],[Cost]]</f>
        <v>326.33999999999997</v>
      </c>
      <c r="I575" s="4">
        <f>Table1[[#This Row],[Profit]]/Table1[[#This Row],[Sale]]</f>
        <v>0.57000628798993924</v>
      </c>
      <c r="J575" s="5">
        <f t="shared" si="16"/>
        <v>2005</v>
      </c>
      <c r="K575" s="5">
        <f>MONTH(Table1[[#This Row],[Date]])</f>
        <v>6</v>
      </c>
      <c r="L575" s="5">
        <f>DAY(Table1[[#This Row],[Date]])</f>
        <v>5</v>
      </c>
      <c r="M575" s="5" t="str">
        <f t="shared" si="17"/>
        <v>Jun</v>
      </c>
    </row>
    <row r="576" spans="1:13" x14ac:dyDescent="0.25">
      <c r="A576" s="2">
        <v>38157</v>
      </c>
      <c r="B576" t="s">
        <v>15</v>
      </c>
      <c r="C576" t="s">
        <v>12</v>
      </c>
      <c r="D576" t="s">
        <v>16</v>
      </c>
      <c r="E576" t="s">
        <v>25</v>
      </c>
      <c r="F576" s="3">
        <v>1517.28</v>
      </c>
      <c r="G576" s="3">
        <v>2231.3000000000002</v>
      </c>
      <c r="H576" s="3">
        <f>Table1[[#This Row],[Sale]]-Table1[[#This Row],[Cost]]</f>
        <v>714.02000000000021</v>
      </c>
      <c r="I576" s="4">
        <f>Table1[[#This Row],[Profit]]/Table1[[#This Row],[Sale]]</f>
        <v>0.32000179267691486</v>
      </c>
      <c r="J576" s="5">
        <f t="shared" si="16"/>
        <v>2004</v>
      </c>
      <c r="K576" s="5">
        <f>MONTH(Table1[[#This Row],[Date]])</f>
        <v>6</v>
      </c>
      <c r="L576" s="5">
        <f>DAY(Table1[[#This Row],[Date]])</f>
        <v>19</v>
      </c>
      <c r="M576" s="5" t="str">
        <f t="shared" si="17"/>
        <v>Jun</v>
      </c>
    </row>
    <row r="577" spans="1:13" x14ac:dyDescent="0.25">
      <c r="A577" s="2">
        <v>38474</v>
      </c>
      <c r="B577" t="s">
        <v>22</v>
      </c>
      <c r="C577" t="s">
        <v>27</v>
      </c>
      <c r="D577" t="s">
        <v>13</v>
      </c>
      <c r="E577" t="s">
        <v>20</v>
      </c>
      <c r="F577" s="3">
        <v>4067.19</v>
      </c>
      <c r="G577" s="3">
        <v>7012.39</v>
      </c>
      <c r="H577" s="3">
        <f>Table1[[#This Row],[Sale]]-Table1[[#This Row],[Cost]]</f>
        <v>2945.2000000000003</v>
      </c>
      <c r="I577" s="4">
        <f>Table1[[#This Row],[Profit]]/Table1[[#This Row],[Sale]]</f>
        <v>0.41999945810201661</v>
      </c>
      <c r="J577" s="5">
        <f t="shared" si="16"/>
        <v>2005</v>
      </c>
      <c r="K577" s="5">
        <f>MONTH(Table1[[#This Row],[Date]])</f>
        <v>5</v>
      </c>
      <c r="L577" s="5">
        <f>DAY(Table1[[#This Row],[Date]])</f>
        <v>2</v>
      </c>
      <c r="M577" s="5" t="str">
        <f t="shared" si="17"/>
        <v>May</v>
      </c>
    </row>
    <row r="578" spans="1:13" x14ac:dyDescent="0.25">
      <c r="A578" s="2">
        <v>38217</v>
      </c>
      <c r="B578" t="s">
        <v>17</v>
      </c>
      <c r="C578" t="s">
        <v>18</v>
      </c>
      <c r="D578" t="s">
        <v>16</v>
      </c>
      <c r="E578" t="s">
        <v>14</v>
      </c>
      <c r="F578" s="3">
        <v>4844.08</v>
      </c>
      <c r="G578" s="3">
        <v>7123.64</v>
      </c>
      <c r="H578" s="3">
        <f>Table1[[#This Row],[Sale]]-Table1[[#This Row],[Cost]]</f>
        <v>2279.5600000000004</v>
      </c>
      <c r="I578" s="4">
        <f>Table1[[#This Row],[Profit]]/Table1[[#This Row],[Sale]]</f>
        <v>0.31999932618717403</v>
      </c>
      <c r="J578" s="5">
        <f t="shared" ref="J578:J641" si="18">YEAR(A:A)</f>
        <v>2004</v>
      </c>
      <c r="K578" s="5">
        <f>MONTH(Table1[[#This Row],[Date]])</f>
        <v>8</v>
      </c>
      <c r="L578" s="5">
        <f>DAY(Table1[[#This Row],[Date]])</f>
        <v>18</v>
      </c>
      <c r="M578" s="5" t="str">
        <f t="shared" ref="M578:M641" si="19">CHOOSE(K578,"Jan", "Feb", "Mar", "Apr", "May", "Jun", "Jul", "Aug", "Sep", "Oct", "Nov", "Dec")</f>
        <v>Aug</v>
      </c>
    </row>
    <row r="579" spans="1:13" x14ac:dyDescent="0.25">
      <c r="A579" s="2">
        <v>38689</v>
      </c>
      <c r="B579" t="s">
        <v>26</v>
      </c>
      <c r="C579" t="s">
        <v>18</v>
      </c>
      <c r="D579" t="s">
        <v>28</v>
      </c>
      <c r="E579" t="s">
        <v>25</v>
      </c>
      <c r="F579" s="3">
        <v>2314.61</v>
      </c>
      <c r="G579" s="3">
        <v>5382.81</v>
      </c>
      <c r="H579" s="3">
        <f>Table1[[#This Row],[Sale]]-Table1[[#This Row],[Cost]]</f>
        <v>3068.2000000000003</v>
      </c>
      <c r="I579" s="4">
        <f>Table1[[#This Row],[Profit]]/Table1[[#This Row],[Sale]]</f>
        <v>0.56999968417982427</v>
      </c>
      <c r="J579" s="5">
        <f t="shared" si="18"/>
        <v>2005</v>
      </c>
      <c r="K579" s="5">
        <f>MONTH(Table1[[#This Row],[Date]])</f>
        <v>12</v>
      </c>
      <c r="L579" s="5">
        <f>DAY(Table1[[#This Row],[Date]])</f>
        <v>3</v>
      </c>
      <c r="M579" s="5" t="str">
        <f t="shared" si="19"/>
        <v>Dec</v>
      </c>
    </row>
    <row r="580" spans="1:13" x14ac:dyDescent="0.25">
      <c r="A580" s="2">
        <v>38410</v>
      </c>
      <c r="B580" t="s">
        <v>17</v>
      </c>
      <c r="C580" t="s">
        <v>29</v>
      </c>
      <c r="D580" t="s">
        <v>16</v>
      </c>
      <c r="E580" t="s">
        <v>25</v>
      </c>
      <c r="F580" s="3">
        <v>5707.82</v>
      </c>
      <c r="G580" s="3">
        <v>6486.16</v>
      </c>
      <c r="H580" s="3">
        <f>Table1[[#This Row],[Sale]]-Table1[[#This Row],[Cost]]</f>
        <v>778.34000000000015</v>
      </c>
      <c r="I580" s="4">
        <f>Table1[[#This Row],[Profit]]/Table1[[#This Row],[Sale]]</f>
        <v>0.12000012333954145</v>
      </c>
      <c r="J580" s="5">
        <f t="shared" si="18"/>
        <v>2005</v>
      </c>
      <c r="K580" s="5">
        <f>MONTH(Table1[[#This Row],[Date]])</f>
        <v>2</v>
      </c>
      <c r="L580" s="5">
        <f>DAY(Table1[[#This Row],[Date]])</f>
        <v>27</v>
      </c>
      <c r="M580" s="5" t="str">
        <f t="shared" si="19"/>
        <v>Feb</v>
      </c>
    </row>
    <row r="581" spans="1:13" x14ac:dyDescent="0.25">
      <c r="A581" s="2">
        <v>38596</v>
      </c>
      <c r="B581" t="s">
        <v>21</v>
      </c>
      <c r="C581" t="s">
        <v>29</v>
      </c>
      <c r="D581" t="s">
        <v>19</v>
      </c>
      <c r="E581" t="s">
        <v>20</v>
      </c>
      <c r="F581" s="3">
        <v>7327.08</v>
      </c>
      <c r="G581" s="3">
        <v>9769.44</v>
      </c>
      <c r="H581" s="3">
        <f>Table1[[#This Row],[Sale]]-Table1[[#This Row],[Cost]]</f>
        <v>2442.3600000000006</v>
      </c>
      <c r="I581" s="4">
        <f>Table1[[#This Row],[Profit]]/Table1[[#This Row],[Sale]]</f>
        <v>0.25000000000000006</v>
      </c>
      <c r="J581" s="5">
        <f t="shared" si="18"/>
        <v>2005</v>
      </c>
      <c r="K581" s="5">
        <f>MONTH(Table1[[#This Row],[Date]])</f>
        <v>9</v>
      </c>
      <c r="L581" s="5">
        <f>DAY(Table1[[#This Row],[Date]])</f>
        <v>1</v>
      </c>
      <c r="M581" s="5" t="str">
        <f t="shared" si="19"/>
        <v>Sep</v>
      </c>
    </row>
    <row r="582" spans="1:13" x14ac:dyDescent="0.25">
      <c r="A582" s="2">
        <v>38567</v>
      </c>
      <c r="B582" t="s">
        <v>15</v>
      </c>
      <c r="C582" t="s">
        <v>23</v>
      </c>
      <c r="D582" t="s">
        <v>13</v>
      </c>
      <c r="E582" t="s">
        <v>24</v>
      </c>
      <c r="F582" s="3">
        <v>2838.27</v>
      </c>
      <c r="G582" s="3">
        <v>4893.57</v>
      </c>
      <c r="H582" s="3">
        <f>Table1[[#This Row],[Sale]]-Table1[[#This Row],[Cost]]</f>
        <v>2055.2999999999997</v>
      </c>
      <c r="I582" s="4">
        <f>Table1[[#This Row],[Profit]]/Table1[[#This Row],[Sale]]</f>
        <v>0.42000012260987374</v>
      </c>
      <c r="J582" s="5">
        <f t="shared" si="18"/>
        <v>2005</v>
      </c>
      <c r="K582" s="5">
        <f>MONTH(Table1[[#This Row],[Date]])</f>
        <v>8</v>
      </c>
      <c r="L582" s="5">
        <f>DAY(Table1[[#This Row],[Date]])</f>
        <v>3</v>
      </c>
      <c r="M582" s="5" t="str">
        <f t="shared" si="19"/>
        <v>Aug</v>
      </c>
    </row>
    <row r="583" spans="1:13" x14ac:dyDescent="0.25">
      <c r="A583" s="2">
        <v>38878</v>
      </c>
      <c r="B583" t="s">
        <v>15</v>
      </c>
      <c r="C583" t="s">
        <v>27</v>
      </c>
      <c r="D583" t="s">
        <v>19</v>
      </c>
      <c r="E583" t="s">
        <v>24</v>
      </c>
      <c r="F583" s="3">
        <v>3411.56</v>
      </c>
      <c r="G583" s="3">
        <v>3648.73</v>
      </c>
      <c r="H583" s="3">
        <f>Table1[[#This Row],[Sale]]-Table1[[#This Row],[Cost]]</f>
        <v>237.17000000000007</v>
      </c>
      <c r="I583" s="4">
        <f>Table1[[#This Row],[Profit]]/Table1[[#This Row],[Sale]]</f>
        <v>6.5000698873306617E-2</v>
      </c>
      <c r="J583" s="5">
        <f t="shared" si="18"/>
        <v>2006</v>
      </c>
      <c r="K583" s="5">
        <f>MONTH(Table1[[#This Row],[Date]])</f>
        <v>6</v>
      </c>
      <c r="L583" s="5">
        <f>DAY(Table1[[#This Row],[Date]])</f>
        <v>10</v>
      </c>
      <c r="M583" s="5" t="str">
        <f t="shared" si="19"/>
        <v>Jun</v>
      </c>
    </row>
    <row r="584" spans="1:13" x14ac:dyDescent="0.25">
      <c r="A584" s="2">
        <v>38773</v>
      </c>
      <c r="B584" t="s">
        <v>22</v>
      </c>
      <c r="C584" t="s">
        <v>23</v>
      </c>
      <c r="D584" t="s">
        <v>19</v>
      </c>
      <c r="E584" t="s">
        <v>20</v>
      </c>
      <c r="F584" s="3">
        <v>4071.83</v>
      </c>
      <c r="G584" s="3">
        <v>6901.41</v>
      </c>
      <c r="H584" s="3">
        <f>Table1[[#This Row],[Sale]]-Table1[[#This Row],[Cost]]</f>
        <v>2829.58</v>
      </c>
      <c r="I584" s="4">
        <f>Table1[[#This Row],[Profit]]/Table1[[#This Row],[Sale]]</f>
        <v>0.41000027530606065</v>
      </c>
      <c r="J584" s="5">
        <f t="shared" si="18"/>
        <v>2006</v>
      </c>
      <c r="K584" s="5">
        <f>MONTH(Table1[[#This Row],[Date]])</f>
        <v>2</v>
      </c>
      <c r="L584" s="5">
        <f>DAY(Table1[[#This Row],[Date]])</f>
        <v>25</v>
      </c>
      <c r="M584" s="5" t="str">
        <f t="shared" si="19"/>
        <v>Feb</v>
      </c>
    </row>
    <row r="585" spans="1:13" x14ac:dyDescent="0.25">
      <c r="A585" s="2">
        <v>38839</v>
      </c>
      <c r="B585" t="s">
        <v>17</v>
      </c>
      <c r="C585" t="s">
        <v>23</v>
      </c>
      <c r="D585" t="s">
        <v>13</v>
      </c>
      <c r="E585" t="s">
        <v>25</v>
      </c>
      <c r="F585" s="3">
        <v>1775.08</v>
      </c>
      <c r="G585" s="3">
        <v>4797.5</v>
      </c>
      <c r="H585" s="3">
        <f>Table1[[#This Row],[Sale]]-Table1[[#This Row],[Cost]]</f>
        <v>3022.42</v>
      </c>
      <c r="I585" s="4">
        <f>Table1[[#This Row],[Profit]]/Table1[[#This Row],[Sale]]</f>
        <v>0.62999895779051596</v>
      </c>
      <c r="J585" s="5">
        <f t="shared" si="18"/>
        <v>2006</v>
      </c>
      <c r="K585" s="5">
        <f>MONTH(Table1[[#This Row],[Date]])</f>
        <v>5</v>
      </c>
      <c r="L585" s="5">
        <f>DAY(Table1[[#This Row],[Date]])</f>
        <v>2</v>
      </c>
      <c r="M585" s="5" t="str">
        <f t="shared" si="19"/>
        <v>May</v>
      </c>
    </row>
    <row r="586" spans="1:13" x14ac:dyDescent="0.25">
      <c r="A586" s="2">
        <v>38195</v>
      </c>
      <c r="B586" t="s">
        <v>26</v>
      </c>
      <c r="C586" t="s">
        <v>29</v>
      </c>
      <c r="D586" t="s">
        <v>28</v>
      </c>
      <c r="E586" t="s">
        <v>24</v>
      </c>
      <c r="F586" s="3">
        <v>7078.85</v>
      </c>
      <c r="G586" s="3">
        <v>7570.96</v>
      </c>
      <c r="H586" s="3">
        <f>Table1[[#This Row],[Sale]]-Table1[[#This Row],[Cost]]</f>
        <v>492.10999999999967</v>
      </c>
      <c r="I586" s="4">
        <f>Table1[[#This Row],[Profit]]/Table1[[#This Row],[Sale]]</f>
        <v>6.4999682999249728E-2</v>
      </c>
      <c r="J586" s="5">
        <f t="shared" si="18"/>
        <v>2004</v>
      </c>
      <c r="K586" s="5">
        <f>MONTH(Table1[[#This Row],[Date]])</f>
        <v>7</v>
      </c>
      <c r="L586" s="5">
        <f>DAY(Table1[[#This Row],[Date]])</f>
        <v>27</v>
      </c>
      <c r="M586" s="5" t="str">
        <f t="shared" si="19"/>
        <v>Jul</v>
      </c>
    </row>
    <row r="587" spans="1:13" x14ac:dyDescent="0.25">
      <c r="A587" s="2">
        <v>38690</v>
      </c>
      <c r="B587" t="s">
        <v>21</v>
      </c>
      <c r="C587" t="s">
        <v>27</v>
      </c>
      <c r="D587" t="s">
        <v>28</v>
      </c>
      <c r="E587" t="s">
        <v>24</v>
      </c>
      <c r="F587" s="3">
        <v>5219.7299999999996</v>
      </c>
      <c r="G587" s="3">
        <v>5582.6</v>
      </c>
      <c r="H587" s="3">
        <f>Table1[[#This Row],[Sale]]-Table1[[#This Row],[Cost]]</f>
        <v>362.8700000000008</v>
      </c>
      <c r="I587" s="4">
        <f>Table1[[#This Row],[Profit]]/Table1[[#This Row],[Sale]]</f>
        <v>6.5000179128005015E-2</v>
      </c>
      <c r="J587" s="5">
        <f t="shared" si="18"/>
        <v>2005</v>
      </c>
      <c r="K587" s="5">
        <f>MONTH(Table1[[#This Row],[Date]])</f>
        <v>12</v>
      </c>
      <c r="L587" s="5">
        <f>DAY(Table1[[#This Row],[Date]])</f>
        <v>4</v>
      </c>
      <c r="M587" s="5" t="str">
        <f t="shared" si="19"/>
        <v>Dec</v>
      </c>
    </row>
    <row r="588" spans="1:13" x14ac:dyDescent="0.25">
      <c r="A588" s="2">
        <v>38375</v>
      </c>
      <c r="B588" t="s">
        <v>17</v>
      </c>
      <c r="C588" t="s">
        <v>18</v>
      </c>
      <c r="D588" t="s">
        <v>19</v>
      </c>
      <c r="E588" t="s">
        <v>25</v>
      </c>
      <c r="F588" s="3">
        <v>1700.54</v>
      </c>
      <c r="G588" s="3">
        <v>1932.43</v>
      </c>
      <c r="H588" s="3">
        <f>Table1[[#This Row],[Sale]]-Table1[[#This Row],[Cost]]</f>
        <v>231.8900000000001</v>
      </c>
      <c r="I588" s="4">
        <f>Table1[[#This Row],[Profit]]/Table1[[#This Row],[Sale]]</f>
        <v>0.11999917202692988</v>
      </c>
      <c r="J588" s="5">
        <f t="shared" si="18"/>
        <v>2005</v>
      </c>
      <c r="K588" s="5">
        <f>MONTH(Table1[[#This Row],[Date]])</f>
        <v>1</v>
      </c>
      <c r="L588" s="5">
        <f>DAY(Table1[[#This Row],[Date]])</f>
        <v>23</v>
      </c>
      <c r="M588" s="5" t="str">
        <f t="shared" si="19"/>
        <v>Jan</v>
      </c>
    </row>
    <row r="589" spans="1:13" x14ac:dyDescent="0.25">
      <c r="A589" s="2">
        <v>38294</v>
      </c>
      <c r="B589" t="s">
        <v>21</v>
      </c>
      <c r="C589" t="s">
        <v>29</v>
      </c>
      <c r="D589" t="s">
        <v>28</v>
      </c>
      <c r="E589" t="s">
        <v>14</v>
      </c>
      <c r="F589" s="3">
        <v>1971.55</v>
      </c>
      <c r="G589" s="3">
        <v>2628.73</v>
      </c>
      <c r="H589" s="3">
        <f>Table1[[#This Row],[Sale]]-Table1[[#This Row],[Cost]]</f>
        <v>657.18000000000006</v>
      </c>
      <c r="I589" s="4">
        <f>Table1[[#This Row],[Profit]]/Table1[[#This Row],[Sale]]</f>
        <v>0.24999904897041539</v>
      </c>
      <c r="J589" s="5">
        <f t="shared" si="18"/>
        <v>2004</v>
      </c>
      <c r="K589" s="5">
        <f>MONTH(Table1[[#This Row],[Date]])</f>
        <v>11</v>
      </c>
      <c r="L589" s="5">
        <f>DAY(Table1[[#This Row],[Date]])</f>
        <v>3</v>
      </c>
      <c r="M589" s="5" t="str">
        <f t="shared" si="19"/>
        <v>Nov</v>
      </c>
    </row>
    <row r="590" spans="1:13" x14ac:dyDescent="0.25">
      <c r="A590" s="2">
        <v>38717</v>
      </c>
      <c r="B590" t="s">
        <v>22</v>
      </c>
      <c r="C590" t="s">
        <v>18</v>
      </c>
      <c r="D590" t="s">
        <v>28</v>
      </c>
      <c r="E590" t="s">
        <v>25</v>
      </c>
      <c r="F590" s="3">
        <v>6969.47</v>
      </c>
      <c r="G590" s="3">
        <v>7453.98</v>
      </c>
      <c r="H590" s="3">
        <f>Table1[[#This Row],[Sale]]-Table1[[#This Row],[Cost]]</f>
        <v>484.50999999999931</v>
      </c>
      <c r="I590" s="4">
        <f>Table1[[#This Row],[Profit]]/Table1[[#This Row],[Sale]]</f>
        <v>6.5000174403472957E-2</v>
      </c>
      <c r="J590" s="5">
        <f t="shared" si="18"/>
        <v>2005</v>
      </c>
      <c r="K590" s="5">
        <f>MONTH(Table1[[#This Row],[Date]])</f>
        <v>12</v>
      </c>
      <c r="L590" s="5">
        <f>DAY(Table1[[#This Row],[Date]])</f>
        <v>31</v>
      </c>
      <c r="M590" s="5" t="str">
        <f t="shared" si="19"/>
        <v>Dec</v>
      </c>
    </row>
    <row r="591" spans="1:13" x14ac:dyDescent="0.25">
      <c r="A591" s="2">
        <v>38877</v>
      </c>
      <c r="B591" t="s">
        <v>15</v>
      </c>
      <c r="C591" t="s">
        <v>18</v>
      </c>
      <c r="D591" t="s">
        <v>19</v>
      </c>
      <c r="E591" t="s">
        <v>25</v>
      </c>
      <c r="F591" s="3">
        <v>2478.71</v>
      </c>
      <c r="G591" s="3">
        <v>4201.2</v>
      </c>
      <c r="H591" s="3">
        <f>Table1[[#This Row],[Sale]]-Table1[[#This Row],[Cost]]</f>
        <v>1722.4899999999998</v>
      </c>
      <c r="I591" s="4">
        <f>Table1[[#This Row],[Profit]]/Table1[[#This Row],[Sale]]</f>
        <v>0.40999952394553935</v>
      </c>
      <c r="J591" s="5">
        <f t="shared" si="18"/>
        <v>2006</v>
      </c>
      <c r="K591" s="5">
        <f>MONTH(Table1[[#This Row],[Date]])</f>
        <v>6</v>
      </c>
      <c r="L591" s="5">
        <f>DAY(Table1[[#This Row],[Date]])</f>
        <v>9</v>
      </c>
      <c r="M591" s="5" t="str">
        <f t="shared" si="19"/>
        <v>Jun</v>
      </c>
    </row>
    <row r="592" spans="1:13" x14ac:dyDescent="0.25">
      <c r="A592" s="2">
        <v>38170</v>
      </c>
      <c r="B592" t="s">
        <v>17</v>
      </c>
      <c r="C592" t="s">
        <v>12</v>
      </c>
      <c r="D592" t="s">
        <v>13</v>
      </c>
      <c r="E592" t="s">
        <v>14</v>
      </c>
      <c r="F592" s="3">
        <v>899.6</v>
      </c>
      <c r="G592" s="3">
        <v>1551.03</v>
      </c>
      <c r="H592" s="3">
        <f>Table1[[#This Row],[Sale]]-Table1[[#This Row],[Cost]]</f>
        <v>651.42999999999995</v>
      </c>
      <c r="I592" s="4">
        <f>Table1[[#This Row],[Profit]]/Table1[[#This Row],[Sale]]</f>
        <v>0.41999832369457712</v>
      </c>
      <c r="J592" s="5">
        <f t="shared" si="18"/>
        <v>2004</v>
      </c>
      <c r="K592" s="5">
        <f>MONTH(Table1[[#This Row],[Date]])</f>
        <v>7</v>
      </c>
      <c r="L592" s="5">
        <f>DAY(Table1[[#This Row],[Date]])</f>
        <v>2</v>
      </c>
      <c r="M592" s="5" t="str">
        <f t="shared" si="19"/>
        <v>Jul</v>
      </c>
    </row>
    <row r="593" spans="1:13" x14ac:dyDescent="0.25">
      <c r="A593" s="2">
        <v>38491</v>
      </c>
      <c r="B593" t="s">
        <v>15</v>
      </c>
      <c r="C593" t="s">
        <v>29</v>
      </c>
      <c r="D593" t="s">
        <v>13</v>
      </c>
      <c r="E593" t="s">
        <v>20</v>
      </c>
      <c r="F593" s="3">
        <v>4965.82</v>
      </c>
      <c r="G593" s="3">
        <v>7302.67</v>
      </c>
      <c r="H593" s="3">
        <f>Table1[[#This Row],[Sale]]-Table1[[#This Row],[Cost]]</f>
        <v>2336.8500000000004</v>
      </c>
      <c r="I593" s="4">
        <f>Table1[[#This Row],[Profit]]/Table1[[#This Row],[Sale]]</f>
        <v>0.31999939748064754</v>
      </c>
      <c r="J593" s="5">
        <f t="shared" si="18"/>
        <v>2005</v>
      </c>
      <c r="K593" s="5">
        <f>MONTH(Table1[[#This Row],[Date]])</f>
        <v>5</v>
      </c>
      <c r="L593" s="5">
        <f>DAY(Table1[[#This Row],[Date]])</f>
        <v>19</v>
      </c>
      <c r="M593" s="5" t="str">
        <f t="shared" si="19"/>
        <v>May</v>
      </c>
    </row>
    <row r="594" spans="1:13" x14ac:dyDescent="0.25">
      <c r="A594" s="2">
        <v>38224</v>
      </c>
      <c r="B594" t="s">
        <v>22</v>
      </c>
      <c r="C594" t="s">
        <v>27</v>
      </c>
      <c r="D594" t="s">
        <v>16</v>
      </c>
      <c r="E594" t="s">
        <v>24</v>
      </c>
      <c r="F594" s="3">
        <v>2637.42</v>
      </c>
      <c r="G594" s="3">
        <v>2820.77</v>
      </c>
      <c r="H594" s="3">
        <f>Table1[[#This Row],[Sale]]-Table1[[#This Row],[Cost]]</f>
        <v>183.34999999999991</v>
      </c>
      <c r="I594" s="4">
        <f>Table1[[#This Row],[Profit]]/Table1[[#This Row],[Sale]]</f>
        <v>6.4999982274343504E-2</v>
      </c>
      <c r="J594" s="5">
        <f t="shared" si="18"/>
        <v>2004</v>
      </c>
      <c r="K594" s="5">
        <f>MONTH(Table1[[#This Row],[Date]])</f>
        <v>8</v>
      </c>
      <c r="L594" s="5">
        <f>DAY(Table1[[#This Row],[Date]])</f>
        <v>25</v>
      </c>
      <c r="M594" s="5" t="str">
        <f t="shared" si="19"/>
        <v>Aug</v>
      </c>
    </row>
    <row r="595" spans="1:13" x14ac:dyDescent="0.25">
      <c r="A595" s="2">
        <v>38660</v>
      </c>
      <c r="B595" t="s">
        <v>21</v>
      </c>
      <c r="C595" t="s">
        <v>18</v>
      </c>
      <c r="D595" t="s">
        <v>19</v>
      </c>
      <c r="E595" t="s">
        <v>14</v>
      </c>
      <c r="F595" s="3">
        <v>2878.68</v>
      </c>
      <c r="G595" s="3">
        <v>6397.07</v>
      </c>
      <c r="H595" s="3">
        <f>Table1[[#This Row],[Sale]]-Table1[[#This Row],[Cost]]</f>
        <v>3518.39</v>
      </c>
      <c r="I595" s="4">
        <f>Table1[[#This Row],[Profit]]/Table1[[#This Row],[Sale]]</f>
        <v>0.55000023448234892</v>
      </c>
      <c r="J595" s="5">
        <f t="shared" si="18"/>
        <v>2005</v>
      </c>
      <c r="K595" s="5">
        <f>MONTH(Table1[[#This Row],[Date]])</f>
        <v>11</v>
      </c>
      <c r="L595" s="5">
        <f>DAY(Table1[[#This Row],[Date]])</f>
        <v>4</v>
      </c>
      <c r="M595" s="5" t="str">
        <f t="shared" si="19"/>
        <v>Nov</v>
      </c>
    </row>
    <row r="596" spans="1:13" x14ac:dyDescent="0.25">
      <c r="A596" s="2">
        <v>38412</v>
      </c>
      <c r="B596" t="s">
        <v>26</v>
      </c>
      <c r="C596" t="s">
        <v>27</v>
      </c>
      <c r="D596" t="s">
        <v>13</v>
      </c>
      <c r="E596" t="s">
        <v>25</v>
      </c>
      <c r="F596" s="3">
        <v>1363.14</v>
      </c>
      <c r="G596" s="3">
        <v>2004.62</v>
      </c>
      <c r="H596" s="3">
        <f>Table1[[#This Row],[Sale]]-Table1[[#This Row],[Cost]]</f>
        <v>641.47999999999979</v>
      </c>
      <c r="I596" s="4">
        <f>Table1[[#This Row],[Profit]]/Table1[[#This Row],[Sale]]</f>
        <v>0.32000079815625898</v>
      </c>
      <c r="J596" s="5">
        <f t="shared" si="18"/>
        <v>2005</v>
      </c>
      <c r="K596" s="5">
        <f>MONTH(Table1[[#This Row],[Date]])</f>
        <v>3</v>
      </c>
      <c r="L596" s="5">
        <f>DAY(Table1[[#This Row],[Date]])</f>
        <v>1</v>
      </c>
      <c r="M596" s="5" t="str">
        <f t="shared" si="19"/>
        <v>Mar</v>
      </c>
    </row>
    <row r="597" spans="1:13" x14ac:dyDescent="0.25">
      <c r="A597" s="2">
        <v>38374</v>
      </c>
      <c r="B597" t="s">
        <v>11</v>
      </c>
      <c r="C597" t="s">
        <v>12</v>
      </c>
      <c r="D597" t="s">
        <v>19</v>
      </c>
      <c r="E597" t="s">
        <v>14</v>
      </c>
      <c r="F597" s="3">
        <v>2673.24</v>
      </c>
      <c r="G597" s="3">
        <v>6216.84</v>
      </c>
      <c r="H597" s="3">
        <f>Table1[[#This Row],[Sale]]-Table1[[#This Row],[Cost]]</f>
        <v>3543.6000000000004</v>
      </c>
      <c r="I597" s="4">
        <f>Table1[[#This Row],[Profit]]/Table1[[#This Row],[Sale]]</f>
        <v>0.57000019302410876</v>
      </c>
      <c r="J597" s="5">
        <f t="shared" si="18"/>
        <v>2005</v>
      </c>
      <c r="K597" s="5">
        <f>MONTH(Table1[[#This Row],[Date]])</f>
        <v>1</v>
      </c>
      <c r="L597" s="5">
        <f>DAY(Table1[[#This Row],[Date]])</f>
        <v>22</v>
      </c>
      <c r="M597" s="5" t="str">
        <f t="shared" si="19"/>
        <v>Jan</v>
      </c>
    </row>
    <row r="598" spans="1:13" x14ac:dyDescent="0.25">
      <c r="A598" s="2">
        <v>38627</v>
      </c>
      <c r="B598" t="s">
        <v>26</v>
      </c>
      <c r="C598" t="s">
        <v>23</v>
      </c>
      <c r="D598" t="s">
        <v>16</v>
      </c>
      <c r="E598" t="s">
        <v>25</v>
      </c>
      <c r="F598" s="3">
        <v>4428.51</v>
      </c>
      <c r="G598" s="3">
        <v>8051.84</v>
      </c>
      <c r="H598" s="3">
        <f>Table1[[#This Row],[Sale]]-Table1[[#This Row],[Cost]]</f>
        <v>3623.33</v>
      </c>
      <c r="I598" s="4">
        <f>Table1[[#This Row],[Profit]]/Table1[[#This Row],[Sale]]</f>
        <v>0.45000024839043001</v>
      </c>
      <c r="J598" s="5">
        <f t="shared" si="18"/>
        <v>2005</v>
      </c>
      <c r="K598" s="5">
        <f>MONTH(Table1[[#This Row],[Date]])</f>
        <v>10</v>
      </c>
      <c r="L598" s="5">
        <f>DAY(Table1[[#This Row],[Date]])</f>
        <v>2</v>
      </c>
      <c r="M598" s="5" t="str">
        <f t="shared" si="19"/>
        <v>Oct</v>
      </c>
    </row>
    <row r="599" spans="1:13" x14ac:dyDescent="0.25">
      <c r="A599" s="2">
        <v>38878</v>
      </c>
      <c r="B599" t="s">
        <v>26</v>
      </c>
      <c r="C599" t="s">
        <v>23</v>
      </c>
      <c r="D599" t="s">
        <v>19</v>
      </c>
      <c r="E599" t="s">
        <v>20</v>
      </c>
      <c r="F599" s="3">
        <v>2336.4</v>
      </c>
      <c r="G599" s="3">
        <v>5433.48</v>
      </c>
      <c r="H599" s="3">
        <f>Table1[[#This Row],[Sale]]-Table1[[#This Row],[Cost]]</f>
        <v>3097.0799999999995</v>
      </c>
      <c r="I599" s="4">
        <f>Table1[[#This Row],[Profit]]/Table1[[#This Row],[Sale]]</f>
        <v>0.56999933744119791</v>
      </c>
      <c r="J599" s="5">
        <f t="shared" si="18"/>
        <v>2006</v>
      </c>
      <c r="K599" s="5">
        <f>MONTH(Table1[[#This Row],[Date]])</f>
        <v>6</v>
      </c>
      <c r="L599" s="5">
        <f>DAY(Table1[[#This Row],[Date]])</f>
        <v>10</v>
      </c>
      <c r="M599" s="5" t="str">
        <f t="shared" si="19"/>
        <v>Jun</v>
      </c>
    </row>
    <row r="600" spans="1:13" x14ac:dyDescent="0.25">
      <c r="A600" s="2">
        <v>38599</v>
      </c>
      <c r="B600" t="s">
        <v>22</v>
      </c>
      <c r="C600" t="s">
        <v>18</v>
      </c>
      <c r="D600" t="s">
        <v>13</v>
      </c>
      <c r="E600" t="s">
        <v>25</v>
      </c>
      <c r="F600" s="3">
        <v>2886.32</v>
      </c>
      <c r="G600" s="3">
        <v>4976.42</v>
      </c>
      <c r="H600" s="3">
        <f>Table1[[#This Row],[Sale]]-Table1[[#This Row],[Cost]]</f>
        <v>2090.1</v>
      </c>
      <c r="I600" s="4">
        <f>Table1[[#This Row],[Profit]]/Table1[[#This Row],[Sale]]</f>
        <v>0.4200007234116091</v>
      </c>
      <c r="J600" s="5">
        <f t="shared" si="18"/>
        <v>2005</v>
      </c>
      <c r="K600" s="5">
        <f>MONTH(Table1[[#This Row],[Date]])</f>
        <v>9</v>
      </c>
      <c r="L600" s="5">
        <f>DAY(Table1[[#This Row],[Date]])</f>
        <v>4</v>
      </c>
      <c r="M600" s="5" t="str">
        <f t="shared" si="19"/>
        <v>Sep</v>
      </c>
    </row>
    <row r="601" spans="1:13" x14ac:dyDescent="0.25">
      <c r="A601" s="2">
        <v>38676</v>
      </c>
      <c r="B601" t="s">
        <v>26</v>
      </c>
      <c r="C601" t="s">
        <v>29</v>
      </c>
      <c r="D601" t="s">
        <v>28</v>
      </c>
      <c r="E601" t="s">
        <v>20</v>
      </c>
      <c r="F601" s="3">
        <v>1531.21</v>
      </c>
      <c r="G601" s="3">
        <v>3560.96</v>
      </c>
      <c r="H601" s="3">
        <f>Table1[[#This Row],[Sale]]-Table1[[#This Row],[Cost]]</f>
        <v>2029.75</v>
      </c>
      <c r="I601" s="4">
        <f>Table1[[#This Row],[Profit]]/Table1[[#This Row],[Sale]]</f>
        <v>0.57000078630481665</v>
      </c>
      <c r="J601" s="5">
        <f t="shared" si="18"/>
        <v>2005</v>
      </c>
      <c r="K601" s="5">
        <f>MONTH(Table1[[#This Row],[Date]])</f>
        <v>11</v>
      </c>
      <c r="L601" s="5">
        <f>DAY(Table1[[#This Row],[Date]])</f>
        <v>20</v>
      </c>
      <c r="M601" s="5" t="str">
        <f t="shared" si="19"/>
        <v>Nov</v>
      </c>
    </row>
    <row r="602" spans="1:13" x14ac:dyDescent="0.25">
      <c r="A602" s="2">
        <v>38170</v>
      </c>
      <c r="B602" t="s">
        <v>17</v>
      </c>
      <c r="C602" t="s">
        <v>12</v>
      </c>
      <c r="D602" t="s">
        <v>28</v>
      </c>
      <c r="E602" t="s">
        <v>14</v>
      </c>
      <c r="F602" s="3">
        <v>4467.46</v>
      </c>
      <c r="G602" s="3">
        <v>8122.65</v>
      </c>
      <c r="H602" s="3">
        <f>Table1[[#This Row],[Sale]]-Table1[[#This Row],[Cost]]</f>
        <v>3655.1899999999996</v>
      </c>
      <c r="I602" s="4">
        <f>Table1[[#This Row],[Profit]]/Table1[[#This Row],[Sale]]</f>
        <v>0.44999969221867248</v>
      </c>
      <c r="J602" s="5">
        <f t="shared" si="18"/>
        <v>2004</v>
      </c>
      <c r="K602" s="5">
        <f>MONTH(Table1[[#This Row],[Date]])</f>
        <v>7</v>
      </c>
      <c r="L602" s="5">
        <f>DAY(Table1[[#This Row],[Date]])</f>
        <v>2</v>
      </c>
      <c r="M602" s="5" t="str">
        <f t="shared" si="19"/>
        <v>Jul</v>
      </c>
    </row>
    <row r="603" spans="1:13" x14ac:dyDescent="0.25">
      <c r="A603" s="2">
        <v>38217</v>
      </c>
      <c r="B603" t="s">
        <v>15</v>
      </c>
      <c r="C603" t="s">
        <v>18</v>
      </c>
      <c r="D603" t="s">
        <v>19</v>
      </c>
      <c r="E603" t="s">
        <v>20</v>
      </c>
      <c r="F603" s="3">
        <v>2575.34</v>
      </c>
      <c r="G603" s="3">
        <v>4682.43</v>
      </c>
      <c r="H603" s="3">
        <f>Table1[[#This Row],[Sale]]-Table1[[#This Row],[Cost]]</f>
        <v>2107.09</v>
      </c>
      <c r="I603" s="4">
        <f>Table1[[#This Row],[Profit]]/Table1[[#This Row],[Sale]]</f>
        <v>0.44999925252486422</v>
      </c>
      <c r="J603" s="5">
        <f t="shared" si="18"/>
        <v>2004</v>
      </c>
      <c r="K603" s="5">
        <f>MONTH(Table1[[#This Row],[Date]])</f>
        <v>8</v>
      </c>
      <c r="L603" s="5">
        <f>DAY(Table1[[#This Row],[Date]])</f>
        <v>18</v>
      </c>
      <c r="M603" s="5" t="str">
        <f t="shared" si="19"/>
        <v>Aug</v>
      </c>
    </row>
    <row r="604" spans="1:13" x14ac:dyDescent="0.25">
      <c r="A604" s="2">
        <v>38465</v>
      </c>
      <c r="B604" t="s">
        <v>26</v>
      </c>
      <c r="C604" t="s">
        <v>12</v>
      </c>
      <c r="D604" t="s">
        <v>19</v>
      </c>
      <c r="E604" t="s">
        <v>14</v>
      </c>
      <c r="F604" s="3">
        <v>207.47</v>
      </c>
      <c r="G604" s="3">
        <v>305.10000000000002</v>
      </c>
      <c r="H604" s="3">
        <f>Table1[[#This Row],[Sale]]-Table1[[#This Row],[Cost]]</f>
        <v>97.630000000000024</v>
      </c>
      <c r="I604" s="4">
        <f>Table1[[#This Row],[Profit]]/Table1[[#This Row],[Sale]]</f>
        <v>0.31999344477220587</v>
      </c>
      <c r="J604" s="5">
        <f t="shared" si="18"/>
        <v>2005</v>
      </c>
      <c r="K604" s="5">
        <f>MONTH(Table1[[#This Row],[Date]])</f>
        <v>4</v>
      </c>
      <c r="L604" s="5">
        <f>DAY(Table1[[#This Row],[Date]])</f>
        <v>23</v>
      </c>
      <c r="M604" s="5" t="str">
        <f t="shared" si="19"/>
        <v>Apr</v>
      </c>
    </row>
    <row r="605" spans="1:13" x14ac:dyDescent="0.25">
      <c r="A605" s="2">
        <v>38547</v>
      </c>
      <c r="B605" t="s">
        <v>11</v>
      </c>
      <c r="C605" t="s">
        <v>12</v>
      </c>
      <c r="D605" t="s">
        <v>16</v>
      </c>
      <c r="E605" t="s">
        <v>20</v>
      </c>
      <c r="F605" s="3">
        <v>4235.53</v>
      </c>
      <c r="G605" s="3">
        <v>7700.97</v>
      </c>
      <c r="H605" s="3">
        <f>Table1[[#This Row],[Sale]]-Table1[[#This Row],[Cost]]</f>
        <v>3465.4400000000005</v>
      </c>
      <c r="I605" s="4">
        <f>Table1[[#This Row],[Profit]]/Table1[[#This Row],[Sale]]</f>
        <v>0.45000045448820086</v>
      </c>
      <c r="J605" s="5">
        <f t="shared" si="18"/>
        <v>2005</v>
      </c>
      <c r="K605" s="5">
        <f>MONTH(Table1[[#This Row],[Date]])</f>
        <v>7</v>
      </c>
      <c r="L605" s="5">
        <f>DAY(Table1[[#This Row],[Date]])</f>
        <v>14</v>
      </c>
      <c r="M605" s="5" t="str">
        <f t="shared" si="19"/>
        <v>Jul</v>
      </c>
    </row>
    <row r="606" spans="1:13" x14ac:dyDescent="0.25">
      <c r="A606" s="2">
        <v>38412</v>
      </c>
      <c r="B606" t="s">
        <v>17</v>
      </c>
      <c r="C606" t="s">
        <v>23</v>
      </c>
      <c r="D606" t="s">
        <v>28</v>
      </c>
      <c r="E606" t="s">
        <v>20</v>
      </c>
      <c r="F606" s="3">
        <v>2741.96</v>
      </c>
      <c r="G606" s="3">
        <v>6093.24</v>
      </c>
      <c r="H606" s="3">
        <f>Table1[[#This Row],[Sale]]-Table1[[#This Row],[Cost]]</f>
        <v>3351.2799999999997</v>
      </c>
      <c r="I606" s="4">
        <f>Table1[[#This Row],[Profit]]/Table1[[#This Row],[Sale]]</f>
        <v>0.54999967176740128</v>
      </c>
      <c r="J606" s="5">
        <f t="shared" si="18"/>
        <v>2005</v>
      </c>
      <c r="K606" s="5">
        <f>MONTH(Table1[[#This Row],[Date]])</f>
        <v>3</v>
      </c>
      <c r="L606" s="5">
        <f>DAY(Table1[[#This Row],[Date]])</f>
        <v>1</v>
      </c>
      <c r="M606" s="5" t="str">
        <f t="shared" si="19"/>
        <v>Mar</v>
      </c>
    </row>
    <row r="607" spans="1:13" x14ac:dyDescent="0.25">
      <c r="A607" s="2">
        <v>38715</v>
      </c>
      <c r="B607" t="s">
        <v>17</v>
      </c>
      <c r="C607" t="s">
        <v>12</v>
      </c>
      <c r="D607" t="s">
        <v>28</v>
      </c>
      <c r="E607" t="s">
        <v>20</v>
      </c>
      <c r="F607" s="3">
        <v>3964.51</v>
      </c>
      <c r="G607" s="3">
        <v>6835.37</v>
      </c>
      <c r="H607" s="3">
        <f>Table1[[#This Row],[Sale]]-Table1[[#This Row],[Cost]]</f>
        <v>2870.8599999999997</v>
      </c>
      <c r="I607" s="4">
        <f>Table1[[#This Row],[Profit]]/Table1[[#This Row],[Sale]]</f>
        <v>0.42000067297015375</v>
      </c>
      <c r="J607" s="5">
        <f t="shared" si="18"/>
        <v>2005</v>
      </c>
      <c r="K607" s="5">
        <f>MONTH(Table1[[#This Row],[Date]])</f>
        <v>12</v>
      </c>
      <c r="L607" s="5">
        <f>DAY(Table1[[#This Row],[Date]])</f>
        <v>29</v>
      </c>
      <c r="M607" s="5" t="str">
        <f t="shared" si="19"/>
        <v>Dec</v>
      </c>
    </row>
    <row r="608" spans="1:13" x14ac:dyDescent="0.25">
      <c r="A608" s="2">
        <v>38471</v>
      </c>
      <c r="B608" t="s">
        <v>17</v>
      </c>
      <c r="C608" t="s">
        <v>29</v>
      </c>
      <c r="D608" t="s">
        <v>19</v>
      </c>
      <c r="E608" t="s">
        <v>25</v>
      </c>
      <c r="F608" s="3">
        <v>2259.79</v>
      </c>
      <c r="G608" s="3">
        <v>3830.15</v>
      </c>
      <c r="H608" s="3">
        <f>Table1[[#This Row],[Sale]]-Table1[[#This Row],[Cost]]</f>
        <v>1570.3600000000001</v>
      </c>
      <c r="I608" s="4">
        <f>Table1[[#This Row],[Profit]]/Table1[[#This Row],[Sale]]</f>
        <v>0.40999960837042937</v>
      </c>
      <c r="J608" s="5">
        <f t="shared" si="18"/>
        <v>2005</v>
      </c>
      <c r="K608" s="5">
        <f>MONTH(Table1[[#This Row],[Date]])</f>
        <v>4</v>
      </c>
      <c r="L608" s="5">
        <f>DAY(Table1[[#This Row],[Date]])</f>
        <v>29</v>
      </c>
      <c r="M608" s="5" t="str">
        <f t="shared" si="19"/>
        <v>Apr</v>
      </c>
    </row>
    <row r="609" spans="1:13" x14ac:dyDescent="0.25">
      <c r="A609" s="2">
        <v>38743</v>
      </c>
      <c r="B609" t="s">
        <v>21</v>
      </c>
      <c r="C609" t="s">
        <v>29</v>
      </c>
      <c r="D609" t="s">
        <v>13</v>
      </c>
      <c r="E609" t="s">
        <v>24</v>
      </c>
      <c r="F609" s="3">
        <v>6225.63</v>
      </c>
      <c r="G609" s="3">
        <v>9155.34</v>
      </c>
      <c r="H609" s="3">
        <f>Table1[[#This Row],[Sale]]-Table1[[#This Row],[Cost]]</f>
        <v>2929.71</v>
      </c>
      <c r="I609" s="4">
        <f>Table1[[#This Row],[Profit]]/Table1[[#This Row],[Sale]]</f>
        <v>0.32000013107104708</v>
      </c>
      <c r="J609" s="5">
        <f t="shared" si="18"/>
        <v>2006</v>
      </c>
      <c r="K609" s="5">
        <f>MONTH(Table1[[#This Row],[Date]])</f>
        <v>1</v>
      </c>
      <c r="L609" s="5">
        <f>DAY(Table1[[#This Row],[Date]])</f>
        <v>26</v>
      </c>
      <c r="M609" s="5" t="str">
        <f t="shared" si="19"/>
        <v>Jan</v>
      </c>
    </row>
    <row r="610" spans="1:13" x14ac:dyDescent="0.25">
      <c r="A610" s="2">
        <v>38265</v>
      </c>
      <c r="B610" t="s">
        <v>11</v>
      </c>
      <c r="C610" t="s">
        <v>12</v>
      </c>
      <c r="D610" t="s">
        <v>13</v>
      </c>
      <c r="E610" t="s">
        <v>20</v>
      </c>
      <c r="F610" s="3">
        <v>851.53</v>
      </c>
      <c r="G610" s="3">
        <v>1135.3699999999999</v>
      </c>
      <c r="H610" s="3">
        <f>Table1[[#This Row],[Sale]]-Table1[[#This Row],[Cost]]</f>
        <v>283.83999999999992</v>
      </c>
      <c r="I610" s="4">
        <f>Table1[[#This Row],[Profit]]/Table1[[#This Row],[Sale]]</f>
        <v>0.2499977980746364</v>
      </c>
      <c r="J610" s="5">
        <f t="shared" si="18"/>
        <v>2004</v>
      </c>
      <c r="K610" s="5">
        <f>MONTH(Table1[[#This Row],[Date]])</f>
        <v>10</v>
      </c>
      <c r="L610" s="5">
        <f>DAY(Table1[[#This Row],[Date]])</f>
        <v>5</v>
      </c>
      <c r="M610" s="5" t="str">
        <f t="shared" si="19"/>
        <v>Oct</v>
      </c>
    </row>
    <row r="611" spans="1:13" x14ac:dyDescent="0.25">
      <c r="A611" s="2">
        <v>38814</v>
      </c>
      <c r="B611" t="s">
        <v>17</v>
      </c>
      <c r="C611" t="s">
        <v>12</v>
      </c>
      <c r="D611" t="s">
        <v>19</v>
      </c>
      <c r="E611" t="s">
        <v>14</v>
      </c>
      <c r="F611" s="3">
        <v>3150.28</v>
      </c>
      <c r="G611" s="3">
        <v>8514.27</v>
      </c>
      <c r="H611" s="3">
        <f>Table1[[#This Row],[Sale]]-Table1[[#This Row],[Cost]]</f>
        <v>5363.99</v>
      </c>
      <c r="I611" s="4">
        <f>Table1[[#This Row],[Profit]]/Table1[[#This Row],[Sale]]</f>
        <v>0.6299999882550118</v>
      </c>
      <c r="J611" s="5">
        <f t="shared" si="18"/>
        <v>2006</v>
      </c>
      <c r="K611" s="5">
        <f>MONTH(Table1[[#This Row],[Date]])</f>
        <v>4</v>
      </c>
      <c r="L611" s="5">
        <f>DAY(Table1[[#This Row],[Date]])</f>
        <v>7</v>
      </c>
      <c r="M611" s="5" t="str">
        <f t="shared" si="19"/>
        <v>Apr</v>
      </c>
    </row>
    <row r="612" spans="1:13" x14ac:dyDescent="0.25">
      <c r="A612" s="2">
        <v>38551</v>
      </c>
      <c r="B612" t="s">
        <v>22</v>
      </c>
      <c r="C612" t="s">
        <v>29</v>
      </c>
      <c r="D612" t="s">
        <v>28</v>
      </c>
      <c r="E612" t="s">
        <v>25</v>
      </c>
      <c r="F612" s="3">
        <v>3885.48</v>
      </c>
      <c r="G612" s="3">
        <v>7064.5</v>
      </c>
      <c r="H612" s="3">
        <f>Table1[[#This Row],[Sale]]-Table1[[#This Row],[Cost]]</f>
        <v>3179.02</v>
      </c>
      <c r="I612" s="4">
        <f>Table1[[#This Row],[Profit]]/Table1[[#This Row],[Sale]]</f>
        <v>0.44999929223582702</v>
      </c>
      <c r="J612" s="5">
        <f t="shared" si="18"/>
        <v>2005</v>
      </c>
      <c r="K612" s="5">
        <f>MONTH(Table1[[#This Row],[Date]])</f>
        <v>7</v>
      </c>
      <c r="L612" s="5">
        <f>DAY(Table1[[#This Row],[Date]])</f>
        <v>18</v>
      </c>
      <c r="M612" s="5" t="str">
        <f t="shared" si="19"/>
        <v>Jul</v>
      </c>
    </row>
    <row r="613" spans="1:13" x14ac:dyDescent="0.25">
      <c r="A613" s="2">
        <v>38844</v>
      </c>
      <c r="B613" t="s">
        <v>22</v>
      </c>
      <c r="C613" t="s">
        <v>29</v>
      </c>
      <c r="D613" t="s">
        <v>13</v>
      </c>
      <c r="E613" t="s">
        <v>14</v>
      </c>
      <c r="F613" s="3">
        <v>5026.51</v>
      </c>
      <c r="G613" s="3">
        <v>8519.51</v>
      </c>
      <c r="H613" s="3">
        <f>Table1[[#This Row],[Sale]]-Table1[[#This Row],[Cost]]</f>
        <v>3493</v>
      </c>
      <c r="I613" s="4">
        <f>Table1[[#This Row],[Profit]]/Table1[[#This Row],[Sale]]</f>
        <v>0.41000010563987832</v>
      </c>
      <c r="J613" s="5">
        <f t="shared" si="18"/>
        <v>2006</v>
      </c>
      <c r="K613" s="5">
        <f>MONTH(Table1[[#This Row],[Date]])</f>
        <v>5</v>
      </c>
      <c r="L613" s="5">
        <f>DAY(Table1[[#This Row],[Date]])</f>
        <v>7</v>
      </c>
      <c r="M613" s="5" t="str">
        <f t="shared" si="19"/>
        <v>May</v>
      </c>
    </row>
    <row r="614" spans="1:13" x14ac:dyDescent="0.25">
      <c r="A614" s="2">
        <v>38826</v>
      </c>
      <c r="B614" t="s">
        <v>22</v>
      </c>
      <c r="C614" t="s">
        <v>29</v>
      </c>
      <c r="D614" t="s">
        <v>28</v>
      </c>
      <c r="E614" t="s">
        <v>24</v>
      </c>
      <c r="F614" s="3">
        <v>2382.9499999999998</v>
      </c>
      <c r="G614" s="3">
        <v>3177.26</v>
      </c>
      <c r="H614" s="3">
        <f>Table1[[#This Row],[Sale]]-Table1[[#This Row],[Cost]]</f>
        <v>794.3100000000004</v>
      </c>
      <c r="I614" s="4">
        <f>Table1[[#This Row],[Profit]]/Table1[[#This Row],[Sale]]</f>
        <v>0.24999842631701541</v>
      </c>
      <c r="J614" s="5">
        <f t="shared" si="18"/>
        <v>2006</v>
      </c>
      <c r="K614" s="5">
        <f>MONTH(Table1[[#This Row],[Date]])</f>
        <v>4</v>
      </c>
      <c r="L614" s="5">
        <f>DAY(Table1[[#This Row],[Date]])</f>
        <v>19</v>
      </c>
      <c r="M614" s="5" t="str">
        <f t="shared" si="19"/>
        <v>Apr</v>
      </c>
    </row>
    <row r="615" spans="1:13" x14ac:dyDescent="0.25">
      <c r="A615" s="2">
        <v>38624</v>
      </c>
      <c r="B615" t="s">
        <v>21</v>
      </c>
      <c r="C615" t="s">
        <v>29</v>
      </c>
      <c r="D615" t="s">
        <v>13</v>
      </c>
      <c r="E615" t="s">
        <v>14</v>
      </c>
      <c r="F615" s="3">
        <v>3030.52</v>
      </c>
      <c r="G615" s="3">
        <v>5225.03</v>
      </c>
      <c r="H615" s="3">
        <f>Table1[[#This Row],[Sale]]-Table1[[#This Row],[Cost]]</f>
        <v>2194.5099999999998</v>
      </c>
      <c r="I615" s="4">
        <f>Table1[[#This Row],[Profit]]/Table1[[#This Row],[Sale]]</f>
        <v>0.41999950239520151</v>
      </c>
      <c r="J615" s="5">
        <f t="shared" si="18"/>
        <v>2005</v>
      </c>
      <c r="K615" s="5">
        <f>MONTH(Table1[[#This Row],[Date]])</f>
        <v>9</v>
      </c>
      <c r="L615" s="5">
        <f>DAY(Table1[[#This Row],[Date]])</f>
        <v>29</v>
      </c>
      <c r="M615" s="5" t="str">
        <f t="shared" si="19"/>
        <v>Sep</v>
      </c>
    </row>
    <row r="616" spans="1:13" x14ac:dyDescent="0.25">
      <c r="A616" s="2">
        <v>38375</v>
      </c>
      <c r="B616" t="s">
        <v>17</v>
      </c>
      <c r="C616" t="s">
        <v>29</v>
      </c>
      <c r="D616" t="s">
        <v>28</v>
      </c>
      <c r="E616" t="s">
        <v>14</v>
      </c>
      <c r="F616" s="3">
        <v>3497.48</v>
      </c>
      <c r="G616" s="3">
        <v>9452.66</v>
      </c>
      <c r="H616" s="3">
        <f>Table1[[#This Row],[Sale]]-Table1[[#This Row],[Cost]]</f>
        <v>5955.18</v>
      </c>
      <c r="I616" s="4">
        <f>Table1[[#This Row],[Profit]]/Table1[[#This Row],[Sale]]</f>
        <v>0.63000044431937685</v>
      </c>
      <c r="J616" s="5">
        <f t="shared" si="18"/>
        <v>2005</v>
      </c>
      <c r="K616" s="5">
        <f>MONTH(Table1[[#This Row],[Date]])</f>
        <v>1</v>
      </c>
      <c r="L616" s="5">
        <f>DAY(Table1[[#This Row],[Date]])</f>
        <v>23</v>
      </c>
      <c r="M616" s="5" t="str">
        <f t="shared" si="19"/>
        <v>Jan</v>
      </c>
    </row>
    <row r="617" spans="1:13" x14ac:dyDescent="0.25">
      <c r="A617" s="2">
        <v>38543</v>
      </c>
      <c r="B617" t="s">
        <v>17</v>
      </c>
      <c r="C617" t="s">
        <v>12</v>
      </c>
      <c r="D617" t="s">
        <v>13</v>
      </c>
      <c r="E617" t="s">
        <v>14</v>
      </c>
      <c r="F617" s="3">
        <v>5686.06</v>
      </c>
      <c r="G617" s="3">
        <v>8361.86</v>
      </c>
      <c r="H617" s="3">
        <f>Table1[[#This Row],[Sale]]-Table1[[#This Row],[Cost]]</f>
        <v>2675.8</v>
      </c>
      <c r="I617" s="4">
        <f>Table1[[#This Row],[Profit]]/Table1[[#This Row],[Sale]]</f>
        <v>0.32000057403496351</v>
      </c>
      <c r="J617" s="5">
        <f t="shared" si="18"/>
        <v>2005</v>
      </c>
      <c r="K617" s="5">
        <f>MONTH(Table1[[#This Row],[Date]])</f>
        <v>7</v>
      </c>
      <c r="L617" s="5">
        <f>DAY(Table1[[#This Row],[Date]])</f>
        <v>10</v>
      </c>
      <c r="M617" s="5" t="str">
        <f t="shared" si="19"/>
        <v>Jul</v>
      </c>
    </row>
    <row r="618" spans="1:13" x14ac:dyDescent="0.25">
      <c r="A618" s="2">
        <v>38361</v>
      </c>
      <c r="B618" t="s">
        <v>17</v>
      </c>
      <c r="C618" t="s">
        <v>18</v>
      </c>
      <c r="D618" t="s">
        <v>16</v>
      </c>
      <c r="E618" t="s">
        <v>20</v>
      </c>
      <c r="F618" s="3">
        <v>1205.08</v>
      </c>
      <c r="G618" s="3">
        <v>1772.17</v>
      </c>
      <c r="H618" s="3">
        <f>Table1[[#This Row],[Sale]]-Table1[[#This Row],[Cost]]</f>
        <v>567.09000000000015</v>
      </c>
      <c r="I618" s="4">
        <f>Table1[[#This Row],[Profit]]/Table1[[#This Row],[Sale]]</f>
        <v>0.31999751716821756</v>
      </c>
      <c r="J618" s="5">
        <f t="shared" si="18"/>
        <v>2005</v>
      </c>
      <c r="K618" s="5">
        <f>MONTH(Table1[[#This Row],[Date]])</f>
        <v>1</v>
      </c>
      <c r="L618" s="5">
        <f>DAY(Table1[[#This Row],[Date]])</f>
        <v>9</v>
      </c>
      <c r="M618" s="5" t="str">
        <f t="shared" si="19"/>
        <v>Jan</v>
      </c>
    </row>
    <row r="619" spans="1:13" x14ac:dyDescent="0.25">
      <c r="A619" s="2">
        <v>38184</v>
      </c>
      <c r="B619" t="s">
        <v>15</v>
      </c>
      <c r="C619" t="s">
        <v>23</v>
      </c>
      <c r="D619" t="s">
        <v>16</v>
      </c>
      <c r="E619" t="s">
        <v>14</v>
      </c>
      <c r="F619" s="3">
        <v>858.46</v>
      </c>
      <c r="G619" s="3">
        <v>1480.11</v>
      </c>
      <c r="H619" s="3">
        <f>Table1[[#This Row],[Sale]]-Table1[[#This Row],[Cost]]</f>
        <v>621.64999999999986</v>
      </c>
      <c r="I619" s="4">
        <f>Table1[[#This Row],[Profit]]/Table1[[#This Row],[Sale]]</f>
        <v>0.42000256737674896</v>
      </c>
      <c r="J619" s="5">
        <f t="shared" si="18"/>
        <v>2004</v>
      </c>
      <c r="K619" s="5">
        <f>MONTH(Table1[[#This Row],[Date]])</f>
        <v>7</v>
      </c>
      <c r="L619" s="5">
        <f>DAY(Table1[[#This Row],[Date]])</f>
        <v>16</v>
      </c>
      <c r="M619" s="5" t="str">
        <f t="shared" si="19"/>
        <v>Jul</v>
      </c>
    </row>
    <row r="620" spans="1:13" x14ac:dyDescent="0.25">
      <c r="A620" s="2">
        <v>38501</v>
      </c>
      <c r="B620" t="s">
        <v>15</v>
      </c>
      <c r="C620" t="s">
        <v>29</v>
      </c>
      <c r="D620" t="s">
        <v>28</v>
      </c>
      <c r="E620" t="s">
        <v>20</v>
      </c>
      <c r="F620" s="3">
        <v>3938.1</v>
      </c>
      <c r="G620" s="3">
        <v>4211.87</v>
      </c>
      <c r="H620" s="3">
        <f>Table1[[#This Row],[Sale]]-Table1[[#This Row],[Cost]]</f>
        <v>273.77</v>
      </c>
      <c r="I620" s="4">
        <f>Table1[[#This Row],[Profit]]/Table1[[#This Row],[Sale]]</f>
        <v>6.499963199244041E-2</v>
      </c>
      <c r="J620" s="5">
        <f t="shared" si="18"/>
        <v>2005</v>
      </c>
      <c r="K620" s="5">
        <f>MONTH(Table1[[#This Row],[Date]])</f>
        <v>5</v>
      </c>
      <c r="L620" s="5">
        <f>DAY(Table1[[#This Row],[Date]])</f>
        <v>29</v>
      </c>
      <c r="M620" s="5" t="str">
        <f t="shared" si="19"/>
        <v>May</v>
      </c>
    </row>
    <row r="621" spans="1:13" x14ac:dyDescent="0.25">
      <c r="A621" s="2">
        <v>38707</v>
      </c>
      <c r="B621" t="s">
        <v>21</v>
      </c>
      <c r="C621" t="s">
        <v>18</v>
      </c>
      <c r="D621" t="s">
        <v>28</v>
      </c>
      <c r="E621" t="s">
        <v>24</v>
      </c>
      <c r="F621" s="3">
        <v>189.27</v>
      </c>
      <c r="G621" s="3">
        <v>511.55</v>
      </c>
      <c r="H621" s="3">
        <f>Table1[[#This Row],[Sale]]-Table1[[#This Row],[Cost]]</f>
        <v>322.27999999999997</v>
      </c>
      <c r="I621" s="4">
        <f>Table1[[#This Row],[Profit]]/Table1[[#This Row],[Sale]]</f>
        <v>0.63000684195093337</v>
      </c>
      <c r="J621" s="5">
        <f t="shared" si="18"/>
        <v>2005</v>
      </c>
      <c r="K621" s="5">
        <f>MONTH(Table1[[#This Row],[Date]])</f>
        <v>12</v>
      </c>
      <c r="L621" s="5">
        <f>DAY(Table1[[#This Row],[Date]])</f>
        <v>21</v>
      </c>
      <c r="M621" s="5" t="str">
        <f t="shared" si="19"/>
        <v>Dec</v>
      </c>
    </row>
    <row r="622" spans="1:13" x14ac:dyDescent="0.25">
      <c r="A622" s="2">
        <v>38320</v>
      </c>
      <c r="B622" t="s">
        <v>17</v>
      </c>
      <c r="C622" t="s">
        <v>23</v>
      </c>
      <c r="D622" t="s">
        <v>16</v>
      </c>
      <c r="E622" t="s">
        <v>14</v>
      </c>
      <c r="F622" s="3">
        <v>2682.03</v>
      </c>
      <c r="G622" s="3">
        <v>6237.27</v>
      </c>
      <c r="H622" s="3">
        <f>Table1[[#This Row],[Sale]]-Table1[[#This Row],[Cost]]</f>
        <v>3555.2400000000002</v>
      </c>
      <c r="I622" s="4">
        <f>Table1[[#This Row],[Profit]]/Table1[[#This Row],[Sale]]</f>
        <v>0.5699993747264428</v>
      </c>
      <c r="J622" s="5">
        <f t="shared" si="18"/>
        <v>2004</v>
      </c>
      <c r="K622" s="5">
        <f>MONTH(Table1[[#This Row],[Date]])</f>
        <v>11</v>
      </c>
      <c r="L622" s="5">
        <f>DAY(Table1[[#This Row],[Date]])</f>
        <v>29</v>
      </c>
      <c r="M622" s="5" t="str">
        <f t="shared" si="19"/>
        <v>Nov</v>
      </c>
    </row>
    <row r="623" spans="1:13" x14ac:dyDescent="0.25">
      <c r="A623" s="2">
        <v>38586</v>
      </c>
      <c r="B623" t="s">
        <v>21</v>
      </c>
      <c r="C623" t="s">
        <v>18</v>
      </c>
      <c r="D623" t="s">
        <v>16</v>
      </c>
      <c r="E623" t="s">
        <v>14</v>
      </c>
      <c r="F623" s="3">
        <v>4442.32</v>
      </c>
      <c r="G623" s="3">
        <v>5923.09</v>
      </c>
      <c r="H623" s="3">
        <f>Table1[[#This Row],[Sale]]-Table1[[#This Row],[Cost]]</f>
        <v>1480.7700000000004</v>
      </c>
      <c r="I623" s="4">
        <f>Table1[[#This Row],[Profit]]/Table1[[#This Row],[Sale]]</f>
        <v>0.24999957792300984</v>
      </c>
      <c r="J623" s="5">
        <f t="shared" si="18"/>
        <v>2005</v>
      </c>
      <c r="K623" s="5">
        <f>MONTH(Table1[[#This Row],[Date]])</f>
        <v>8</v>
      </c>
      <c r="L623" s="5">
        <f>DAY(Table1[[#This Row],[Date]])</f>
        <v>22</v>
      </c>
      <c r="M623" s="5" t="str">
        <f t="shared" si="19"/>
        <v>Aug</v>
      </c>
    </row>
    <row r="624" spans="1:13" x14ac:dyDescent="0.25">
      <c r="A624" s="2">
        <v>38327</v>
      </c>
      <c r="B624" t="s">
        <v>22</v>
      </c>
      <c r="C624" t="s">
        <v>27</v>
      </c>
      <c r="D624" t="s">
        <v>13</v>
      </c>
      <c r="E624" t="s">
        <v>14</v>
      </c>
      <c r="F624" s="3">
        <v>54.29</v>
      </c>
      <c r="G624" s="3">
        <v>126.25</v>
      </c>
      <c r="H624" s="3">
        <f>Table1[[#This Row],[Sale]]-Table1[[#This Row],[Cost]]</f>
        <v>71.960000000000008</v>
      </c>
      <c r="I624" s="4">
        <f>Table1[[#This Row],[Profit]]/Table1[[#This Row],[Sale]]</f>
        <v>0.56998019801980204</v>
      </c>
      <c r="J624" s="5">
        <f t="shared" si="18"/>
        <v>2004</v>
      </c>
      <c r="K624" s="5">
        <f>MONTH(Table1[[#This Row],[Date]])</f>
        <v>12</v>
      </c>
      <c r="L624" s="5">
        <f>DAY(Table1[[#This Row],[Date]])</f>
        <v>6</v>
      </c>
      <c r="M624" s="5" t="str">
        <f t="shared" si="19"/>
        <v>Dec</v>
      </c>
    </row>
    <row r="625" spans="1:13" x14ac:dyDescent="0.25">
      <c r="A625" s="2">
        <v>38843</v>
      </c>
      <c r="B625" t="s">
        <v>11</v>
      </c>
      <c r="C625" t="s">
        <v>27</v>
      </c>
      <c r="D625" t="s">
        <v>16</v>
      </c>
      <c r="E625" t="s">
        <v>25</v>
      </c>
      <c r="F625" s="3">
        <v>1558.41</v>
      </c>
      <c r="G625" s="3">
        <v>3463.14</v>
      </c>
      <c r="H625" s="3">
        <f>Table1[[#This Row],[Sale]]-Table1[[#This Row],[Cost]]</f>
        <v>1904.7299999999998</v>
      </c>
      <c r="I625" s="4">
        <f>Table1[[#This Row],[Profit]]/Table1[[#This Row],[Sale]]</f>
        <v>0.5500008662658743</v>
      </c>
      <c r="J625" s="5">
        <f t="shared" si="18"/>
        <v>2006</v>
      </c>
      <c r="K625" s="5">
        <f>MONTH(Table1[[#This Row],[Date]])</f>
        <v>5</v>
      </c>
      <c r="L625" s="5">
        <f>DAY(Table1[[#This Row],[Date]])</f>
        <v>6</v>
      </c>
      <c r="M625" s="5" t="str">
        <f t="shared" si="19"/>
        <v>May</v>
      </c>
    </row>
    <row r="626" spans="1:13" x14ac:dyDescent="0.25">
      <c r="A626" s="2">
        <v>38697</v>
      </c>
      <c r="B626" t="s">
        <v>15</v>
      </c>
      <c r="C626" t="s">
        <v>27</v>
      </c>
      <c r="D626" t="s">
        <v>28</v>
      </c>
      <c r="E626" t="s">
        <v>25</v>
      </c>
      <c r="F626" s="3">
        <v>3140.58</v>
      </c>
      <c r="G626" s="3">
        <v>5414.79</v>
      </c>
      <c r="H626" s="3">
        <f>Table1[[#This Row],[Sale]]-Table1[[#This Row],[Cost]]</f>
        <v>2274.21</v>
      </c>
      <c r="I626" s="4">
        <f>Table1[[#This Row],[Profit]]/Table1[[#This Row],[Sale]]</f>
        <v>0.41999966757713597</v>
      </c>
      <c r="J626" s="5">
        <f t="shared" si="18"/>
        <v>2005</v>
      </c>
      <c r="K626" s="5">
        <f>MONTH(Table1[[#This Row],[Date]])</f>
        <v>12</v>
      </c>
      <c r="L626" s="5">
        <f>DAY(Table1[[#This Row],[Date]])</f>
        <v>11</v>
      </c>
      <c r="M626" s="5" t="str">
        <f t="shared" si="19"/>
        <v>Dec</v>
      </c>
    </row>
    <row r="627" spans="1:13" x14ac:dyDescent="0.25">
      <c r="A627" s="2">
        <v>38209</v>
      </c>
      <c r="B627" t="s">
        <v>26</v>
      </c>
      <c r="C627" t="s">
        <v>18</v>
      </c>
      <c r="D627" t="s">
        <v>13</v>
      </c>
      <c r="E627" t="s">
        <v>24</v>
      </c>
      <c r="F627" s="3">
        <v>5710.99</v>
      </c>
      <c r="G627" s="3">
        <v>9846.5300000000007</v>
      </c>
      <c r="H627" s="3">
        <f>Table1[[#This Row],[Sale]]-Table1[[#This Row],[Cost]]</f>
        <v>4135.5400000000009</v>
      </c>
      <c r="I627" s="4">
        <f>Table1[[#This Row],[Profit]]/Table1[[#This Row],[Sale]]</f>
        <v>0.41999973594758772</v>
      </c>
      <c r="J627" s="5">
        <f t="shared" si="18"/>
        <v>2004</v>
      </c>
      <c r="K627" s="5">
        <f>MONTH(Table1[[#This Row],[Date]])</f>
        <v>8</v>
      </c>
      <c r="L627" s="5">
        <f>DAY(Table1[[#This Row],[Date]])</f>
        <v>10</v>
      </c>
      <c r="M627" s="5" t="str">
        <f t="shared" si="19"/>
        <v>Aug</v>
      </c>
    </row>
    <row r="628" spans="1:13" x14ac:dyDescent="0.25">
      <c r="A628" s="2">
        <v>38347</v>
      </c>
      <c r="B628" t="s">
        <v>17</v>
      </c>
      <c r="C628" t="s">
        <v>18</v>
      </c>
      <c r="D628" t="s">
        <v>13</v>
      </c>
      <c r="E628" t="s">
        <v>20</v>
      </c>
      <c r="F628" s="3">
        <v>5923.06</v>
      </c>
      <c r="G628" s="3">
        <v>6334.82</v>
      </c>
      <c r="H628" s="3">
        <f>Table1[[#This Row],[Sale]]-Table1[[#This Row],[Cost]]</f>
        <v>411.75999999999931</v>
      </c>
      <c r="I628" s="4">
        <f>Table1[[#This Row],[Profit]]/Table1[[#This Row],[Sale]]</f>
        <v>6.4999479069649854E-2</v>
      </c>
      <c r="J628" s="5">
        <f t="shared" si="18"/>
        <v>2004</v>
      </c>
      <c r="K628" s="5">
        <f>MONTH(Table1[[#This Row],[Date]])</f>
        <v>12</v>
      </c>
      <c r="L628" s="5">
        <f>DAY(Table1[[#This Row],[Date]])</f>
        <v>26</v>
      </c>
      <c r="M628" s="5" t="str">
        <f t="shared" si="19"/>
        <v>Dec</v>
      </c>
    </row>
    <row r="629" spans="1:13" x14ac:dyDescent="0.25">
      <c r="A629" s="2">
        <v>38774</v>
      </c>
      <c r="B629" t="s">
        <v>15</v>
      </c>
      <c r="C629" t="s">
        <v>12</v>
      </c>
      <c r="D629" t="s">
        <v>28</v>
      </c>
      <c r="E629" t="s">
        <v>25</v>
      </c>
      <c r="F629" s="3">
        <v>15.06</v>
      </c>
      <c r="G629" s="3">
        <v>22.15</v>
      </c>
      <c r="H629" s="3">
        <f>Table1[[#This Row],[Sale]]-Table1[[#This Row],[Cost]]</f>
        <v>7.0899999999999981</v>
      </c>
      <c r="I629" s="4">
        <f>Table1[[#This Row],[Profit]]/Table1[[#This Row],[Sale]]</f>
        <v>0.32009029345372453</v>
      </c>
      <c r="J629" s="5">
        <f t="shared" si="18"/>
        <v>2006</v>
      </c>
      <c r="K629" s="5">
        <f>MONTH(Table1[[#This Row],[Date]])</f>
        <v>2</v>
      </c>
      <c r="L629" s="5">
        <f>DAY(Table1[[#This Row],[Date]])</f>
        <v>26</v>
      </c>
      <c r="M629" s="5" t="str">
        <f t="shared" si="19"/>
        <v>Feb</v>
      </c>
    </row>
    <row r="630" spans="1:13" x14ac:dyDescent="0.25">
      <c r="A630" s="2">
        <v>38283</v>
      </c>
      <c r="B630" t="s">
        <v>15</v>
      </c>
      <c r="C630" t="s">
        <v>23</v>
      </c>
      <c r="D630" t="s">
        <v>28</v>
      </c>
      <c r="E630" t="s">
        <v>24</v>
      </c>
      <c r="F630" s="3">
        <v>4923.04</v>
      </c>
      <c r="G630" s="3">
        <v>8344.14</v>
      </c>
      <c r="H630" s="3">
        <f>Table1[[#This Row],[Sale]]-Table1[[#This Row],[Cost]]</f>
        <v>3421.0999999999995</v>
      </c>
      <c r="I630" s="4">
        <f>Table1[[#This Row],[Profit]]/Table1[[#This Row],[Sale]]</f>
        <v>0.41000031159592237</v>
      </c>
      <c r="J630" s="5">
        <f t="shared" si="18"/>
        <v>2004</v>
      </c>
      <c r="K630" s="5">
        <f>MONTH(Table1[[#This Row],[Date]])</f>
        <v>10</v>
      </c>
      <c r="L630" s="5">
        <f>DAY(Table1[[#This Row],[Date]])</f>
        <v>23</v>
      </c>
      <c r="M630" s="5" t="str">
        <f t="shared" si="19"/>
        <v>Oct</v>
      </c>
    </row>
    <row r="631" spans="1:13" x14ac:dyDescent="0.25">
      <c r="A631" s="2">
        <v>38232</v>
      </c>
      <c r="B631" t="s">
        <v>17</v>
      </c>
      <c r="C631" t="s">
        <v>27</v>
      </c>
      <c r="D631" t="s">
        <v>16</v>
      </c>
      <c r="E631" t="s">
        <v>14</v>
      </c>
      <c r="F631" s="3">
        <v>3759.94</v>
      </c>
      <c r="G631" s="3">
        <v>8744.0499999999993</v>
      </c>
      <c r="H631" s="3">
        <f>Table1[[#This Row],[Sale]]-Table1[[#This Row],[Cost]]</f>
        <v>4984.1099999999988</v>
      </c>
      <c r="I631" s="4">
        <f>Table1[[#This Row],[Profit]]/Table1[[#This Row],[Sale]]</f>
        <v>0.57000017154522209</v>
      </c>
      <c r="J631" s="5">
        <f t="shared" si="18"/>
        <v>2004</v>
      </c>
      <c r="K631" s="5">
        <f>MONTH(Table1[[#This Row],[Date]])</f>
        <v>9</v>
      </c>
      <c r="L631" s="5">
        <f>DAY(Table1[[#This Row],[Date]])</f>
        <v>2</v>
      </c>
      <c r="M631" s="5" t="str">
        <f t="shared" si="19"/>
        <v>Sep</v>
      </c>
    </row>
    <row r="632" spans="1:13" x14ac:dyDescent="0.25">
      <c r="A632" s="2">
        <v>38407</v>
      </c>
      <c r="B632" t="s">
        <v>11</v>
      </c>
      <c r="C632" t="s">
        <v>27</v>
      </c>
      <c r="D632" t="s">
        <v>16</v>
      </c>
      <c r="E632" t="s">
        <v>20</v>
      </c>
      <c r="F632" s="3">
        <v>1636.94</v>
      </c>
      <c r="G632" s="3">
        <v>4424.1499999999996</v>
      </c>
      <c r="H632" s="3">
        <f>Table1[[#This Row],[Sale]]-Table1[[#This Row],[Cost]]</f>
        <v>2787.2099999999996</v>
      </c>
      <c r="I632" s="4">
        <f>Table1[[#This Row],[Profit]]/Table1[[#This Row],[Sale]]</f>
        <v>0.62999898285546374</v>
      </c>
      <c r="J632" s="5">
        <f t="shared" si="18"/>
        <v>2005</v>
      </c>
      <c r="K632" s="5">
        <f>MONTH(Table1[[#This Row],[Date]])</f>
        <v>2</v>
      </c>
      <c r="L632" s="5">
        <f>DAY(Table1[[#This Row],[Date]])</f>
        <v>24</v>
      </c>
      <c r="M632" s="5" t="str">
        <f t="shared" si="19"/>
        <v>Feb</v>
      </c>
    </row>
    <row r="633" spans="1:13" x14ac:dyDescent="0.25">
      <c r="A633" s="2">
        <v>38210</v>
      </c>
      <c r="B633" t="s">
        <v>22</v>
      </c>
      <c r="C633" t="s">
        <v>27</v>
      </c>
      <c r="D633" t="s">
        <v>13</v>
      </c>
      <c r="E633" t="s">
        <v>25</v>
      </c>
      <c r="F633" s="3">
        <v>748.44</v>
      </c>
      <c r="G633" s="3">
        <v>1740.56</v>
      </c>
      <c r="H633" s="3">
        <f>Table1[[#This Row],[Sale]]-Table1[[#This Row],[Cost]]</f>
        <v>992.11999999999989</v>
      </c>
      <c r="I633" s="4">
        <f>Table1[[#This Row],[Profit]]/Table1[[#This Row],[Sale]]</f>
        <v>0.57000045962219048</v>
      </c>
      <c r="J633" s="5">
        <f t="shared" si="18"/>
        <v>2004</v>
      </c>
      <c r="K633" s="5">
        <f>MONTH(Table1[[#This Row],[Date]])</f>
        <v>8</v>
      </c>
      <c r="L633" s="5">
        <f>DAY(Table1[[#This Row],[Date]])</f>
        <v>11</v>
      </c>
      <c r="M633" s="5" t="str">
        <f t="shared" si="19"/>
        <v>Aug</v>
      </c>
    </row>
    <row r="634" spans="1:13" x14ac:dyDescent="0.25">
      <c r="A634" s="2">
        <v>38356</v>
      </c>
      <c r="B634" t="s">
        <v>17</v>
      </c>
      <c r="C634" t="s">
        <v>12</v>
      </c>
      <c r="D634" t="s">
        <v>19</v>
      </c>
      <c r="E634" t="s">
        <v>24</v>
      </c>
      <c r="F634" s="3">
        <v>3442.17</v>
      </c>
      <c r="G634" s="3">
        <v>8005.05</v>
      </c>
      <c r="H634" s="3">
        <f>Table1[[#This Row],[Sale]]-Table1[[#This Row],[Cost]]</f>
        <v>4562.88</v>
      </c>
      <c r="I634" s="4">
        <f>Table1[[#This Row],[Profit]]/Table1[[#This Row],[Sale]]</f>
        <v>0.57000018738171532</v>
      </c>
      <c r="J634" s="5">
        <f t="shared" si="18"/>
        <v>2005</v>
      </c>
      <c r="K634" s="5">
        <f>MONTH(Table1[[#This Row],[Date]])</f>
        <v>1</v>
      </c>
      <c r="L634" s="5">
        <f>DAY(Table1[[#This Row],[Date]])</f>
        <v>4</v>
      </c>
      <c r="M634" s="5" t="str">
        <f t="shared" si="19"/>
        <v>Jan</v>
      </c>
    </row>
    <row r="635" spans="1:13" x14ac:dyDescent="0.25">
      <c r="A635" s="2">
        <v>38755</v>
      </c>
      <c r="B635" t="s">
        <v>15</v>
      </c>
      <c r="C635" t="s">
        <v>27</v>
      </c>
      <c r="D635" t="s">
        <v>13</v>
      </c>
      <c r="E635" t="s">
        <v>20</v>
      </c>
      <c r="F635" s="3">
        <v>2895.18</v>
      </c>
      <c r="G635" s="3">
        <v>3096.45</v>
      </c>
      <c r="H635" s="3">
        <f>Table1[[#This Row],[Sale]]-Table1[[#This Row],[Cost]]</f>
        <v>201.26999999999998</v>
      </c>
      <c r="I635" s="4">
        <f>Table1[[#This Row],[Profit]]/Table1[[#This Row],[Sale]]</f>
        <v>6.5000242212856663E-2</v>
      </c>
      <c r="J635" s="5">
        <f t="shared" si="18"/>
        <v>2006</v>
      </c>
      <c r="K635" s="5">
        <f>MONTH(Table1[[#This Row],[Date]])</f>
        <v>2</v>
      </c>
      <c r="L635" s="5">
        <f>DAY(Table1[[#This Row],[Date]])</f>
        <v>7</v>
      </c>
      <c r="M635" s="5" t="str">
        <f t="shared" si="19"/>
        <v>Feb</v>
      </c>
    </row>
    <row r="636" spans="1:13" x14ac:dyDescent="0.25">
      <c r="A636" s="2">
        <v>38439</v>
      </c>
      <c r="B636" t="s">
        <v>17</v>
      </c>
      <c r="C636" t="s">
        <v>18</v>
      </c>
      <c r="D636" t="s">
        <v>28</v>
      </c>
      <c r="E636" t="s">
        <v>20</v>
      </c>
      <c r="F636" s="3">
        <v>5369.48</v>
      </c>
      <c r="G636" s="3">
        <v>9762.69</v>
      </c>
      <c r="H636" s="3">
        <f>Table1[[#This Row],[Sale]]-Table1[[#This Row],[Cost]]</f>
        <v>4393.2100000000009</v>
      </c>
      <c r="I636" s="4">
        <f>Table1[[#This Row],[Profit]]/Table1[[#This Row],[Sale]]</f>
        <v>0.44999994878460758</v>
      </c>
      <c r="J636" s="5">
        <f t="shared" si="18"/>
        <v>2005</v>
      </c>
      <c r="K636" s="5">
        <f>MONTH(Table1[[#This Row],[Date]])</f>
        <v>3</v>
      </c>
      <c r="L636" s="5">
        <f>DAY(Table1[[#This Row],[Date]])</f>
        <v>28</v>
      </c>
      <c r="M636" s="5" t="str">
        <f t="shared" si="19"/>
        <v>Mar</v>
      </c>
    </row>
    <row r="637" spans="1:13" x14ac:dyDescent="0.25">
      <c r="A637" s="2">
        <v>38680</v>
      </c>
      <c r="B637" t="s">
        <v>15</v>
      </c>
      <c r="C637" t="s">
        <v>29</v>
      </c>
      <c r="D637" t="s">
        <v>13</v>
      </c>
      <c r="E637" t="s">
        <v>14</v>
      </c>
      <c r="F637" s="3">
        <v>8476.7199999999993</v>
      </c>
      <c r="G637" s="3">
        <v>9632.64</v>
      </c>
      <c r="H637" s="3">
        <f>Table1[[#This Row],[Sale]]-Table1[[#This Row],[Cost]]</f>
        <v>1155.92</v>
      </c>
      <c r="I637" s="4">
        <f>Table1[[#This Row],[Profit]]/Table1[[#This Row],[Sale]]</f>
        <v>0.12000033220384029</v>
      </c>
      <c r="J637" s="5">
        <f t="shared" si="18"/>
        <v>2005</v>
      </c>
      <c r="K637" s="5">
        <f>MONTH(Table1[[#This Row],[Date]])</f>
        <v>11</v>
      </c>
      <c r="L637" s="5">
        <f>DAY(Table1[[#This Row],[Date]])</f>
        <v>24</v>
      </c>
      <c r="M637" s="5" t="str">
        <f t="shared" si="19"/>
        <v>Nov</v>
      </c>
    </row>
    <row r="638" spans="1:13" x14ac:dyDescent="0.25">
      <c r="A638" s="2">
        <v>38227</v>
      </c>
      <c r="B638" t="s">
        <v>15</v>
      </c>
      <c r="C638" t="s">
        <v>23</v>
      </c>
      <c r="D638" t="s">
        <v>19</v>
      </c>
      <c r="E638" t="s">
        <v>25</v>
      </c>
      <c r="F638" s="3">
        <v>5363.15</v>
      </c>
      <c r="G638" s="3">
        <v>7886.99</v>
      </c>
      <c r="H638" s="3">
        <f>Table1[[#This Row],[Sale]]-Table1[[#This Row],[Cost]]</f>
        <v>2523.84</v>
      </c>
      <c r="I638" s="4">
        <f>Table1[[#This Row],[Profit]]/Table1[[#This Row],[Sale]]</f>
        <v>0.3200004057314641</v>
      </c>
      <c r="J638" s="5">
        <f t="shared" si="18"/>
        <v>2004</v>
      </c>
      <c r="K638" s="5">
        <f>MONTH(Table1[[#This Row],[Date]])</f>
        <v>8</v>
      </c>
      <c r="L638" s="5">
        <f>DAY(Table1[[#This Row],[Date]])</f>
        <v>28</v>
      </c>
      <c r="M638" s="5" t="str">
        <f t="shared" si="19"/>
        <v>Aug</v>
      </c>
    </row>
    <row r="639" spans="1:13" x14ac:dyDescent="0.25">
      <c r="A639" s="2">
        <v>38500</v>
      </c>
      <c r="B639" t="s">
        <v>26</v>
      </c>
      <c r="C639" t="s">
        <v>29</v>
      </c>
      <c r="D639" t="s">
        <v>16</v>
      </c>
      <c r="E639" t="s">
        <v>14</v>
      </c>
      <c r="F639" s="3">
        <v>2445.42</v>
      </c>
      <c r="G639" s="3">
        <v>6609.23</v>
      </c>
      <c r="H639" s="3">
        <f>Table1[[#This Row],[Sale]]-Table1[[#This Row],[Cost]]</f>
        <v>4163.8099999999995</v>
      </c>
      <c r="I639" s="4">
        <f>Table1[[#This Row],[Profit]]/Table1[[#This Row],[Sale]]</f>
        <v>0.62999925861257666</v>
      </c>
      <c r="J639" s="5">
        <f t="shared" si="18"/>
        <v>2005</v>
      </c>
      <c r="K639" s="5">
        <f>MONTH(Table1[[#This Row],[Date]])</f>
        <v>5</v>
      </c>
      <c r="L639" s="5">
        <f>DAY(Table1[[#This Row],[Date]])</f>
        <v>28</v>
      </c>
      <c r="M639" s="5" t="str">
        <f t="shared" si="19"/>
        <v>May</v>
      </c>
    </row>
    <row r="640" spans="1:13" x14ac:dyDescent="0.25">
      <c r="A640" s="2">
        <v>38663</v>
      </c>
      <c r="B640" t="s">
        <v>21</v>
      </c>
      <c r="C640" t="s">
        <v>29</v>
      </c>
      <c r="D640" t="s">
        <v>19</v>
      </c>
      <c r="E640" t="s">
        <v>25</v>
      </c>
      <c r="F640" s="3">
        <v>5885.69</v>
      </c>
      <c r="G640" s="3">
        <v>9975.75</v>
      </c>
      <c r="H640" s="3">
        <f>Table1[[#This Row],[Sale]]-Table1[[#This Row],[Cost]]</f>
        <v>4090.0600000000004</v>
      </c>
      <c r="I640" s="4">
        <f>Table1[[#This Row],[Profit]]/Table1[[#This Row],[Sale]]</f>
        <v>0.41000025060772377</v>
      </c>
      <c r="J640" s="5">
        <f t="shared" si="18"/>
        <v>2005</v>
      </c>
      <c r="K640" s="5">
        <f>MONTH(Table1[[#This Row],[Date]])</f>
        <v>11</v>
      </c>
      <c r="L640" s="5">
        <f>DAY(Table1[[#This Row],[Date]])</f>
        <v>7</v>
      </c>
      <c r="M640" s="5" t="str">
        <f t="shared" si="19"/>
        <v>Nov</v>
      </c>
    </row>
    <row r="641" spans="1:13" x14ac:dyDescent="0.25">
      <c r="A641" s="2">
        <v>38310</v>
      </c>
      <c r="B641" t="s">
        <v>22</v>
      </c>
      <c r="C641" t="s">
        <v>12</v>
      </c>
      <c r="D641" t="s">
        <v>16</v>
      </c>
      <c r="E641" t="s">
        <v>24</v>
      </c>
      <c r="F641" s="3">
        <v>4198.0200000000004</v>
      </c>
      <c r="G641" s="3">
        <v>7115.29</v>
      </c>
      <c r="H641" s="3">
        <f>Table1[[#This Row],[Sale]]-Table1[[#This Row],[Cost]]</f>
        <v>2917.2699999999995</v>
      </c>
      <c r="I641" s="4">
        <f>Table1[[#This Row],[Profit]]/Table1[[#This Row],[Sale]]</f>
        <v>0.41000015459665023</v>
      </c>
      <c r="J641" s="5">
        <f t="shared" si="18"/>
        <v>2004</v>
      </c>
      <c r="K641" s="5">
        <f>MONTH(Table1[[#This Row],[Date]])</f>
        <v>11</v>
      </c>
      <c r="L641" s="5">
        <f>DAY(Table1[[#This Row],[Date]])</f>
        <v>19</v>
      </c>
      <c r="M641" s="5" t="str">
        <f t="shared" si="19"/>
        <v>Nov</v>
      </c>
    </row>
    <row r="642" spans="1:13" x14ac:dyDescent="0.25">
      <c r="A642" s="2">
        <v>38199</v>
      </c>
      <c r="B642" t="s">
        <v>15</v>
      </c>
      <c r="C642" t="s">
        <v>12</v>
      </c>
      <c r="D642" t="s">
        <v>16</v>
      </c>
      <c r="E642" t="s">
        <v>14</v>
      </c>
      <c r="F642" s="3">
        <v>6526.04</v>
      </c>
      <c r="G642" s="3">
        <v>7415.96</v>
      </c>
      <c r="H642" s="3">
        <f>Table1[[#This Row],[Sale]]-Table1[[#This Row],[Cost]]</f>
        <v>889.92000000000007</v>
      </c>
      <c r="I642" s="4">
        <f>Table1[[#This Row],[Profit]]/Table1[[#This Row],[Sale]]</f>
        <v>0.12000064725268206</v>
      </c>
      <c r="J642" s="5">
        <f t="shared" ref="J642:J705" si="20">YEAR(A:A)</f>
        <v>2004</v>
      </c>
      <c r="K642" s="5">
        <f>MONTH(Table1[[#This Row],[Date]])</f>
        <v>7</v>
      </c>
      <c r="L642" s="5">
        <f>DAY(Table1[[#This Row],[Date]])</f>
        <v>31</v>
      </c>
      <c r="M642" s="5" t="str">
        <f t="shared" ref="M642:M705" si="21">CHOOSE(K642,"Jan", "Feb", "Mar", "Apr", "May", "Jun", "Jul", "Aug", "Sep", "Oct", "Nov", "Dec")</f>
        <v>Jul</v>
      </c>
    </row>
    <row r="643" spans="1:13" x14ac:dyDescent="0.25">
      <c r="A643" s="2">
        <v>38237</v>
      </c>
      <c r="B643" t="s">
        <v>26</v>
      </c>
      <c r="C643" t="s">
        <v>18</v>
      </c>
      <c r="D643" t="s">
        <v>19</v>
      </c>
      <c r="E643" t="s">
        <v>25</v>
      </c>
      <c r="F643" s="3">
        <v>1465.88</v>
      </c>
      <c r="G643" s="3">
        <v>3257.5</v>
      </c>
      <c r="H643" s="3">
        <f>Table1[[#This Row],[Sale]]-Table1[[#This Row],[Cost]]</f>
        <v>1791.62</v>
      </c>
      <c r="I643" s="4">
        <f>Table1[[#This Row],[Profit]]/Table1[[#This Row],[Sale]]</f>
        <v>0.54999846508058325</v>
      </c>
      <c r="J643" s="5">
        <f t="shared" si="20"/>
        <v>2004</v>
      </c>
      <c r="K643" s="5">
        <f>MONTH(Table1[[#This Row],[Date]])</f>
        <v>9</v>
      </c>
      <c r="L643" s="5">
        <f>DAY(Table1[[#This Row],[Date]])</f>
        <v>7</v>
      </c>
      <c r="M643" s="5" t="str">
        <f t="shared" si="21"/>
        <v>Sep</v>
      </c>
    </row>
    <row r="644" spans="1:13" x14ac:dyDescent="0.25">
      <c r="A644" s="2">
        <v>38454</v>
      </c>
      <c r="B644" t="s">
        <v>21</v>
      </c>
      <c r="C644" t="s">
        <v>12</v>
      </c>
      <c r="D644" t="s">
        <v>19</v>
      </c>
      <c r="E644" t="s">
        <v>24</v>
      </c>
      <c r="F644" s="3">
        <v>4296.41</v>
      </c>
      <c r="G644" s="3">
        <v>7407.61</v>
      </c>
      <c r="H644" s="3">
        <f>Table1[[#This Row],[Sale]]-Table1[[#This Row],[Cost]]</f>
        <v>3111.2</v>
      </c>
      <c r="I644" s="4">
        <f>Table1[[#This Row],[Profit]]/Table1[[#This Row],[Sale]]</f>
        <v>0.42000051298596985</v>
      </c>
      <c r="J644" s="5">
        <f t="shared" si="20"/>
        <v>2005</v>
      </c>
      <c r="K644" s="5">
        <f>MONTH(Table1[[#This Row],[Date]])</f>
        <v>4</v>
      </c>
      <c r="L644" s="5">
        <f>DAY(Table1[[#This Row],[Date]])</f>
        <v>12</v>
      </c>
      <c r="M644" s="5" t="str">
        <f t="shared" si="21"/>
        <v>Apr</v>
      </c>
    </row>
    <row r="645" spans="1:13" x14ac:dyDescent="0.25">
      <c r="A645" s="2">
        <v>38858</v>
      </c>
      <c r="B645" t="s">
        <v>15</v>
      </c>
      <c r="C645" t="s">
        <v>12</v>
      </c>
      <c r="D645" t="s">
        <v>28</v>
      </c>
      <c r="E645" t="s">
        <v>25</v>
      </c>
      <c r="F645" s="3">
        <v>3569.89</v>
      </c>
      <c r="G645" s="3">
        <v>4056.69</v>
      </c>
      <c r="H645" s="3">
        <f>Table1[[#This Row],[Sale]]-Table1[[#This Row],[Cost]]</f>
        <v>486.80000000000018</v>
      </c>
      <c r="I645" s="4">
        <f>Table1[[#This Row],[Profit]]/Table1[[#This Row],[Sale]]</f>
        <v>0.11999930978211305</v>
      </c>
      <c r="J645" s="5">
        <f t="shared" si="20"/>
        <v>2006</v>
      </c>
      <c r="K645" s="5">
        <f>MONTH(Table1[[#This Row],[Date]])</f>
        <v>5</v>
      </c>
      <c r="L645" s="5">
        <f>DAY(Table1[[#This Row],[Date]])</f>
        <v>21</v>
      </c>
      <c r="M645" s="5" t="str">
        <f t="shared" si="21"/>
        <v>May</v>
      </c>
    </row>
    <row r="646" spans="1:13" x14ac:dyDescent="0.25">
      <c r="A646" s="2">
        <v>38340</v>
      </c>
      <c r="B646" t="s">
        <v>22</v>
      </c>
      <c r="C646" t="s">
        <v>18</v>
      </c>
      <c r="D646" t="s">
        <v>19</v>
      </c>
      <c r="E646" t="s">
        <v>20</v>
      </c>
      <c r="F646" s="3">
        <v>766.9</v>
      </c>
      <c r="G646" s="3">
        <v>1322.24</v>
      </c>
      <c r="H646" s="3">
        <f>Table1[[#This Row],[Sale]]-Table1[[#This Row],[Cost]]</f>
        <v>555.34</v>
      </c>
      <c r="I646" s="4">
        <f>Table1[[#This Row],[Profit]]/Table1[[#This Row],[Sale]]</f>
        <v>0.4199993949661181</v>
      </c>
      <c r="J646" s="5">
        <f t="shared" si="20"/>
        <v>2004</v>
      </c>
      <c r="K646" s="5">
        <f>MONTH(Table1[[#This Row],[Date]])</f>
        <v>12</v>
      </c>
      <c r="L646" s="5">
        <f>DAY(Table1[[#This Row],[Date]])</f>
        <v>19</v>
      </c>
      <c r="M646" s="5" t="str">
        <f t="shared" si="21"/>
        <v>Dec</v>
      </c>
    </row>
    <row r="647" spans="1:13" x14ac:dyDescent="0.25">
      <c r="A647" s="2">
        <v>38838</v>
      </c>
      <c r="B647" t="s">
        <v>26</v>
      </c>
      <c r="C647" t="s">
        <v>27</v>
      </c>
      <c r="D647" t="s">
        <v>19</v>
      </c>
      <c r="E647" t="s">
        <v>20</v>
      </c>
      <c r="F647" s="3">
        <v>2081.3000000000002</v>
      </c>
      <c r="G647" s="3">
        <v>4840.24</v>
      </c>
      <c r="H647" s="3">
        <f>Table1[[#This Row],[Sale]]-Table1[[#This Row],[Cost]]</f>
        <v>2758.9399999999996</v>
      </c>
      <c r="I647" s="4">
        <f>Table1[[#This Row],[Profit]]/Table1[[#This Row],[Sale]]</f>
        <v>0.57000066112424175</v>
      </c>
      <c r="J647" s="5">
        <f t="shared" si="20"/>
        <v>2006</v>
      </c>
      <c r="K647" s="5">
        <f>MONTH(Table1[[#This Row],[Date]])</f>
        <v>5</v>
      </c>
      <c r="L647" s="5">
        <f>DAY(Table1[[#This Row],[Date]])</f>
        <v>1</v>
      </c>
      <c r="M647" s="5" t="str">
        <f t="shared" si="21"/>
        <v>May</v>
      </c>
    </row>
    <row r="648" spans="1:13" x14ac:dyDescent="0.25">
      <c r="A648" s="2">
        <v>38480</v>
      </c>
      <c r="B648" t="s">
        <v>21</v>
      </c>
      <c r="C648" t="s">
        <v>12</v>
      </c>
      <c r="D648" t="s">
        <v>28</v>
      </c>
      <c r="E648" t="s">
        <v>25</v>
      </c>
      <c r="F648" s="3">
        <v>4109.13</v>
      </c>
      <c r="G648" s="3">
        <v>9556.1200000000008</v>
      </c>
      <c r="H648" s="3">
        <f>Table1[[#This Row],[Sale]]-Table1[[#This Row],[Cost]]</f>
        <v>5446.9900000000007</v>
      </c>
      <c r="I648" s="4">
        <f>Table1[[#This Row],[Profit]]/Table1[[#This Row],[Sale]]</f>
        <v>0.57000016743197035</v>
      </c>
      <c r="J648" s="5">
        <f t="shared" si="20"/>
        <v>2005</v>
      </c>
      <c r="K648" s="5">
        <f>MONTH(Table1[[#This Row],[Date]])</f>
        <v>5</v>
      </c>
      <c r="L648" s="5">
        <f>DAY(Table1[[#This Row],[Date]])</f>
        <v>8</v>
      </c>
      <c r="M648" s="5" t="str">
        <f t="shared" si="21"/>
        <v>May</v>
      </c>
    </row>
    <row r="649" spans="1:13" x14ac:dyDescent="0.25">
      <c r="A649" s="2">
        <v>38339</v>
      </c>
      <c r="B649" t="s">
        <v>21</v>
      </c>
      <c r="C649" t="s">
        <v>27</v>
      </c>
      <c r="D649" t="s">
        <v>19</v>
      </c>
      <c r="E649" t="s">
        <v>14</v>
      </c>
      <c r="F649" s="3">
        <v>2692.71</v>
      </c>
      <c r="G649" s="3">
        <v>7277.59</v>
      </c>
      <c r="H649" s="3">
        <f>Table1[[#This Row],[Sale]]-Table1[[#This Row],[Cost]]</f>
        <v>4584.88</v>
      </c>
      <c r="I649" s="4">
        <f>Table1[[#This Row],[Profit]]/Table1[[#This Row],[Sale]]</f>
        <v>0.62999976640618671</v>
      </c>
      <c r="J649" s="5">
        <f t="shared" si="20"/>
        <v>2004</v>
      </c>
      <c r="K649" s="5">
        <f>MONTH(Table1[[#This Row],[Date]])</f>
        <v>12</v>
      </c>
      <c r="L649" s="5">
        <f>DAY(Table1[[#This Row],[Date]])</f>
        <v>18</v>
      </c>
      <c r="M649" s="5" t="str">
        <f t="shared" si="21"/>
        <v>Dec</v>
      </c>
    </row>
    <row r="650" spans="1:13" x14ac:dyDescent="0.25">
      <c r="A650" s="2">
        <v>38598</v>
      </c>
      <c r="B650" t="s">
        <v>17</v>
      </c>
      <c r="C650" t="s">
        <v>29</v>
      </c>
      <c r="D650" t="s">
        <v>28</v>
      </c>
      <c r="E650" t="s">
        <v>14</v>
      </c>
      <c r="F650" s="3">
        <v>5831.89</v>
      </c>
      <c r="G650" s="3">
        <v>9884.56</v>
      </c>
      <c r="H650" s="3">
        <f>Table1[[#This Row],[Sale]]-Table1[[#This Row],[Cost]]</f>
        <v>4052.6699999999992</v>
      </c>
      <c r="I650" s="4">
        <f>Table1[[#This Row],[Profit]]/Table1[[#This Row],[Sale]]</f>
        <v>0.41000004046715277</v>
      </c>
      <c r="J650" s="5">
        <f t="shared" si="20"/>
        <v>2005</v>
      </c>
      <c r="K650" s="5">
        <f>MONTH(Table1[[#This Row],[Date]])</f>
        <v>9</v>
      </c>
      <c r="L650" s="5">
        <f>DAY(Table1[[#This Row],[Date]])</f>
        <v>3</v>
      </c>
      <c r="M650" s="5" t="str">
        <f t="shared" si="21"/>
        <v>Sep</v>
      </c>
    </row>
    <row r="651" spans="1:13" x14ac:dyDescent="0.25">
      <c r="A651" s="2">
        <v>38346</v>
      </c>
      <c r="B651" t="s">
        <v>26</v>
      </c>
      <c r="C651" t="s">
        <v>29</v>
      </c>
      <c r="D651" t="s">
        <v>16</v>
      </c>
      <c r="E651" t="s">
        <v>24</v>
      </c>
      <c r="F651" s="3">
        <v>2184.31</v>
      </c>
      <c r="G651" s="3">
        <v>5903.53</v>
      </c>
      <c r="H651" s="3">
        <f>Table1[[#This Row],[Sale]]-Table1[[#This Row],[Cost]]</f>
        <v>3719.22</v>
      </c>
      <c r="I651" s="4">
        <f>Table1[[#This Row],[Profit]]/Table1[[#This Row],[Sale]]</f>
        <v>0.62999933937830421</v>
      </c>
      <c r="J651" s="5">
        <f t="shared" si="20"/>
        <v>2004</v>
      </c>
      <c r="K651" s="5">
        <f>MONTH(Table1[[#This Row],[Date]])</f>
        <v>12</v>
      </c>
      <c r="L651" s="5">
        <f>DAY(Table1[[#This Row],[Date]])</f>
        <v>25</v>
      </c>
      <c r="M651" s="5" t="str">
        <f t="shared" si="21"/>
        <v>Dec</v>
      </c>
    </row>
    <row r="652" spans="1:13" x14ac:dyDescent="0.25">
      <c r="A652" s="2">
        <v>38846</v>
      </c>
      <c r="B652" t="s">
        <v>26</v>
      </c>
      <c r="C652" t="s">
        <v>23</v>
      </c>
      <c r="D652" t="s">
        <v>16</v>
      </c>
      <c r="E652" t="s">
        <v>25</v>
      </c>
      <c r="F652" s="3">
        <v>4285.18</v>
      </c>
      <c r="G652" s="3">
        <v>5713.57</v>
      </c>
      <c r="H652" s="3">
        <f>Table1[[#This Row],[Sale]]-Table1[[#This Row],[Cost]]</f>
        <v>1428.3899999999994</v>
      </c>
      <c r="I652" s="4">
        <f>Table1[[#This Row],[Profit]]/Table1[[#This Row],[Sale]]</f>
        <v>0.24999956244519617</v>
      </c>
      <c r="J652" s="5">
        <f t="shared" si="20"/>
        <v>2006</v>
      </c>
      <c r="K652" s="5">
        <f>MONTH(Table1[[#This Row],[Date]])</f>
        <v>5</v>
      </c>
      <c r="L652" s="5">
        <f>DAY(Table1[[#This Row],[Date]])</f>
        <v>9</v>
      </c>
      <c r="M652" s="5" t="str">
        <f t="shared" si="21"/>
        <v>May</v>
      </c>
    </row>
    <row r="653" spans="1:13" x14ac:dyDescent="0.25">
      <c r="A653" s="2">
        <v>38479</v>
      </c>
      <c r="B653" t="s">
        <v>26</v>
      </c>
      <c r="C653" t="s">
        <v>18</v>
      </c>
      <c r="D653" t="s">
        <v>16</v>
      </c>
      <c r="E653" t="s">
        <v>24</v>
      </c>
      <c r="F653" s="3">
        <v>2608.94</v>
      </c>
      <c r="G653" s="3">
        <v>2964.7</v>
      </c>
      <c r="H653" s="3">
        <f>Table1[[#This Row],[Sale]]-Table1[[#This Row],[Cost]]</f>
        <v>355.75999999999976</v>
      </c>
      <c r="I653" s="4">
        <f>Table1[[#This Row],[Profit]]/Table1[[#This Row],[Sale]]</f>
        <v>0.11999865079097372</v>
      </c>
      <c r="J653" s="5">
        <f t="shared" si="20"/>
        <v>2005</v>
      </c>
      <c r="K653" s="5">
        <f>MONTH(Table1[[#This Row],[Date]])</f>
        <v>5</v>
      </c>
      <c r="L653" s="5">
        <f>DAY(Table1[[#This Row],[Date]])</f>
        <v>7</v>
      </c>
      <c r="M653" s="5" t="str">
        <f t="shared" si="21"/>
        <v>May</v>
      </c>
    </row>
    <row r="654" spans="1:13" x14ac:dyDescent="0.25">
      <c r="A654" s="2">
        <v>38216</v>
      </c>
      <c r="B654" t="s">
        <v>11</v>
      </c>
      <c r="C654" t="s">
        <v>18</v>
      </c>
      <c r="D654" t="s">
        <v>19</v>
      </c>
      <c r="E654" t="s">
        <v>20</v>
      </c>
      <c r="F654" s="3">
        <v>3418.54</v>
      </c>
      <c r="G654" s="3">
        <v>6215.52</v>
      </c>
      <c r="H654" s="3">
        <f>Table1[[#This Row],[Sale]]-Table1[[#This Row],[Cost]]</f>
        <v>2796.9800000000005</v>
      </c>
      <c r="I654" s="4">
        <f>Table1[[#This Row],[Profit]]/Table1[[#This Row],[Sale]]</f>
        <v>0.44999935644966155</v>
      </c>
      <c r="J654" s="5">
        <f t="shared" si="20"/>
        <v>2004</v>
      </c>
      <c r="K654" s="5">
        <f>MONTH(Table1[[#This Row],[Date]])</f>
        <v>8</v>
      </c>
      <c r="L654" s="5">
        <f>DAY(Table1[[#This Row],[Date]])</f>
        <v>17</v>
      </c>
      <c r="M654" s="5" t="str">
        <f t="shared" si="21"/>
        <v>Aug</v>
      </c>
    </row>
    <row r="655" spans="1:13" x14ac:dyDescent="0.25">
      <c r="A655" s="2">
        <v>38507</v>
      </c>
      <c r="B655" t="s">
        <v>22</v>
      </c>
      <c r="C655" t="s">
        <v>27</v>
      </c>
      <c r="D655" t="s">
        <v>16</v>
      </c>
      <c r="E655" t="s">
        <v>24</v>
      </c>
      <c r="F655" s="3">
        <v>1895.99</v>
      </c>
      <c r="G655" s="3">
        <v>3447.26</v>
      </c>
      <c r="H655" s="3">
        <f>Table1[[#This Row],[Sale]]-Table1[[#This Row],[Cost]]</f>
        <v>1551.2700000000002</v>
      </c>
      <c r="I655" s="4">
        <f>Table1[[#This Row],[Profit]]/Table1[[#This Row],[Sale]]</f>
        <v>0.45000087025637758</v>
      </c>
      <c r="J655" s="5">
        <f t="shared" si="20"/>
        <v>2005</v>
      </c>
      <c r="K655" s="5">
        <f>MONTH(Table1[[#This Row],[Date]])</f>
        <v>6</v>
      </c>
      <c r="L655" s="5">
        <f>DAY(Table1[[#This Row],[Date]])</f>
        <v>4</v>
      </c>
      <c r="M655" s="5" t="str">
        <f t="shared" si="21"/>
        <v>Jun</v>
      </c>
    </row>
    <row r="656" spans="1:13" x14ac:dyDescent="0.25">
      <c r="A656" s="2">
        <v>38332</v>
      </c>
      <c r="B656" t="s">
        <v>17</v>
      </c>
      <c r="C656" t="s">
        <v>12</v>
      </c>
      <c r="D656" t="s">
        <v>13</v>
      </c>
      <c r="E656" t="s">
        <v>14</v>
      </c>
      <c r="F656" s="3">
        <v>3413.63</v>
      </c>
      <c r="G656" s="3">
        <v>9226.02</v>
      </c>
      <c r="H656" s="3">
        <f>Table1[[#This Row],[Sale]]-Table1[[#This Row],[Cost]]</f>
        <v>5812.39</v>
      </c>
      <c r="I656" s="4">
        <f>Table1[[#This Row],[Profit]]/Table1[[#This Row],[Sale]]</f>
        <v>0.62999971818834122</v>
      </c>
      <c r="J656" s="5">
        <f t="shared" si="20"/>
        <v>2004</v>
      </c>
      <c r="K656" s="5">
        <f>MONTH(Table1[[#This Row],[Date]])</f>
        <v>12</v>
      </c>
      <c r="L656" s="5">
        <f>DAY(Table1[[#This Row],[Date]])</f>
        <v>11</v>
      </c>
      <c r="M656" s="5" t="str">
        <f t="shared" si="21"/>
        <v>Dec</v>
      </c>
    </row>
    <row r="657" spans="1:13" x14ac:dyDescent="0.25">
      <c r="A657" s="2">
        <v>38221</v>
      </c>
      <c r="B657" t="s">
        <v>17</v>
      </c>
      <c r="C657" t="s">
        <v>27</v>
      </c>
      <c r="D657" t="s">
        <v>13</v>
      </c>
      <c r="E657" t="s">
        <v>24</v>
      </c>
      <c r="F657" s="3">
        <v>3448.96</v>
      </c>
      <c r="G657" s="3">
        <v>9321.51</v>
      </c>
      <c r="H657" s="3">
        <f>Table1[[#This Row],[Sale]]-Table1[[#This Row],[Cost]]</f>
        <v>5872.55</v>
      </c>
      <c r="I657" s="4">
        <f>Table1[[#This Row],[Profit]]/Table1[[#This Row],[Sale]]</f>
        <v>0.62999986053761681</v>
      </c>
      <c r="J657" s="5">
        <f t="shared" si="20"/>
        <v>2004</v>
      </c>
      <c r="K657" s="5">
        <f>MONTH(Table1[[#This Row],[Date]])</f>
        <v>8</v>
      </c>
      <c r="L657" s="5">
        <f>DAY(Table1[[#This Row],[Date]])</f>
        <v>22</v>
      </c>
      <c r="M657" s="5" t="str">
        <f t="shared" si="21"/>
        <v>Aug</v>
      </c>
    </row>
    <row r="658" spans="1:13" x14ac:dyDescent="0.25">
      <c r="A658" s="2">
        <v>38521</v>
      </c>
      <c r="B658" t="s">
        <v>26</v>
      </c>
      <c r="C658" t="s">
        <v>27</v>
      </c>
      <c r="D658" t="s">
        <v>16</v>
      </c>
      <c r="E658" t="s">
        <v>20</v>
      </c>
      <c r="F658" s="3">
        <v>1527.28</v>
      </c>
      <c r="G658" s="3">
        <v>3393.96</v>
      </c>
      <c r="H658" s="3">
        <f>Table1[[#This Row],[Sale]]-Table1[[#This Row],[Cost]]</f>
        <v>1866.68</v>
      </c>
      <c r="I658" s="4">
        <f>Table1[[#This Row],[Profit]]/Table1[[#This Row],[Sale]]</f>
        <v>0.55000058928213647</v>
      </c>
      <c r="J658" s="5">
        <f t="shared" si="20"/>
        <v>2005</v>
      </c>
      <c r="K658" s="5">
        <f>MONTH(Table1[[#This Row],[Date]])</f>
        <v>6</v>
      </c>
      <c r="L658" s="5">
        <f>DAY(Table1[[#This Row],[Date]])</f>
        <v>18</v>
      </c>
      <c r="M658" s="5" t="str">
        <f t="shared" si="21"/>
        <v>Jun</v>
      </c>
    </row>
    <row r="659" spans="1:13" x14ac:dyDescent="0.25">
      <c r="A659" s="2">
        <v>38835</v>
      </c>
      <c r="B659" t="s">
        <v>15</v>
      </c>
      <c r="C659" t="s">
        <v>12</v>
      </c>
      <c r="D659" t="s">
        <v>28</v>
      </c>
      <c r="E659" t="s">
        <v>25</v>
      </c>
      <c r="F659" s="3">
        <v>3290.58</v>
      </c>
      <c r="G659" s="3">
        <v>3739.3</v>
      </c>
      <c r="H659" s="3">
        <f>Table1[[#This Row],[Sale]]-Table1[[#This Row],[Cost]]</f>
        <v>448.72000000000025</v>
      </c>
      <c r="I659" s="4">
        <f>Table1[[#This Row],[Profit]]/Table1[[#This Row],[Sale]]</f>
        <v>0.12000106971893142</v>
      </c>
      <c r="J659" s="5">
        <f t="shared" si="20"/>
        <v>2006</v>
      </c>
      <c r="K659" s="5">
        <f>MONTH(Table1[[#This Row],[Date]])</f>
        <v>4</v>
      </c>
      <c r="L659" s="5">
        <f>DAY(Table1[[#This Row],[Date]])</f>
        <v>28</v>
      </c>
      <c r="M659" s="5" t="str">
        <f t="shared" si="21"/>
        <v>Apr</v>
      </c>
    </row>
    <row r="660" spans="1:13" x14ac:dyDescent="0.25">
      <c r="A660" s="2">
        <v>38576</v>
      </c>
      <c r="B660" t="s">
        <v>15</v>
      </c>
      <c r="C660" t="s">
        <v>18</v>
      </c>
      <c r="D660" t="s">
        <v>13</v>
      </c>
      <c r="E660" t="s">
        <v>14</v>
      </c>
      <c r="F660" s="3">
        <v>6141.74</v>
      </c>
      <c r="G660" s="3">
        <v>6979.25</v>
      </c>
      <c r="H660" s="3">
        <f>Table1[[#This Row],[Sale]]-Table1[[#This Row],[Cost]]</f>
        <v>837.51000000000022</v>
      </c>
      <c r="I660" s="4">
        <f>Table1[[#This Row],[Profit]]/Table1[[#This Row],[Sale]]</f>
        <v>0.12000000000000004</v>
      </c>
      <c r="J660" s="5">
        <f t="shared" si="20"/>
        <v>2005</v>
      </c>
      <c r="K660" s="5">
        <f>MONTH(Table1[[#This Row],[Date]])</f>
        <v>8</v>
      </c>
      <c r="L660" s="5">
        <f>DAY(Table1[[#This Row],[Date]])</f>
        <v>12</v>
      </c>
      <c r="M660" s="5" t="str">
        <f t="shared" si="21"/>
        <v>Aug</v>
      </c>
    </row>
    <row r="661" spans="1:13" x14ac:dyDescent="0.25">
      <c r="A661" s="2">
        <v>38807</v>
      </c>
      <c r="B661" t="s">
        <v>26</v>
      </c>
      <c r="C661" t="s">
        <v>18</v>
      </c>
      <c r="D661" t="s">
        <v>19</v>
      </c>
      <c r="E661" t="s">
        <v>24</v>
      </c>
      <c r="F661" s="3">
        <v>714.16</v>
      </c>
      <c r="G661" s="3">
        <v>1050.23</v>
      </c>
      <c r="H661" s="3">
        <f>Table1[[#This Row],[Sale]]-Table1[[#This Row],[Cost]]</f>
        <v>336.07000000000005</v>
      </c>
      <c r="I661" s="4">
        <f>Table1[[#This Row],[Profit]]/Table1[[#This Row],[Sale]]</f>
        <v>0.3199965721794274</v>
      </c>
      <c r="J661" s="5">
        <f t="shared" si="20"/>
        <v>2006</v>
      </c>
      <c r="K661" s="5">
        <f>MONTH(Table1[[#This Row],[Date]])</f>
        <v>3</v>
      </c>
      <c r="L661" s="5">
        <f>DAY(Table1[[#This Row],[Date]])</f>
        <v>31</v>
      </c>
      <c r="M661" s="5" t="str">
        <f t="shared" si="21"/>
        <v>Mar</v>
      </c>
    </row>
    <row r="662" spans="1:13" x14ac:dyDescent="0.25">
      <c r="A662" s="2">
        <v>38276</v>
      </c>
      <c r="B662" t="s">
        <v>11</v>
      </c>
      <c r="C662" t="s">
        <v>12</v>
      </c>
      <c r="D662" t="s">
        <v>16</v>
      </c>
      <c r="E662" t="s">
        <v>24</v>
      </c>
      <c r="F662" s="3">
        <v>3394.8</v>
      </c>
      <c r="G662" s="3">
        <v>7544.01</v>
      </c>
      <c r="H662" s="3">
        <f>Table1[[#This Row],[Sale]]-Table1[[#This Row],[Cost]]</f>
        <v>4149.21</v>
      </c>
      <c r="I662" s="4">
        <f>Table1[[#This Row],[Profit]]/Table1[[#This Row],[Sale]]</f>
        <v>0.55000059649973954</v>
      </c>
      <c r="J662" s="5">
        <f t="shared" si="20"/>
        <v>2004</v>
      </c>
      <c r="K662" s="5">
        <f>MONTH(Table1[[#This Row],[Date]])</f>
        <v>10</v>
      </c>
      <c r="L662" s="5">
        <f>DAY(Table1[[#This Row],[Date]])</f>
        <v>16</v>
      </c>
      <c r="M662" s="5" t="str">
        <f t="shared" si="21"/>
        <v>Oct</v>
      </c>
    </row>
    <row r="663" spans="1:13" x14ac:dyDescent="0.25">
      <c r="A663" s="2">
        <v>38649</v>
      </c>
      <c r="B663" t="s">
        <v>17</v>
      </c>
      <c r="C663" t="s">
        <v>27</v>
      </c>
      <c r="D663" t="s">
        <v>13</v>
      </c>
      <c r="E663" t="s">
        <v>24</v>
      </c>
      <c r="F663" s="3">
        <v>5543</v>
      </c>
      <c r="G663" s="3">
        <v>9556.9</v>
      </c>
      <c r="H663" s="3">
        <f>Table1[[#This Row],[Sale]]-Table1[[#This Row],[Cost]]</f>
        <v>4013.8999999999996</v>
      </c>
      <c r="I663" s="4">
        <f>Table1[[#This Row],[Profit]]/Table1[[#This Row],[Sale]]</f>
        <v>0.42000020927288134</v>
      </c>
      <c r="J663" s="5">
        <f t="shared" si="20"/>
        <v>2005</v>
      </c>
      <c r="K663" s="5">
        <f>MONTH(Table1[[#This Row],[Date]])</f>
        <v>10</v>
      </c>
      <c r="L663" s="5">
        <f>DAY(Table1[[#This Row],[Date]])</f>
        <v>24</v>
      </c>
      <c r="M663" s="5" t="str">
        <f t="shared" si="21"/>
        <v>Oct</v>
      </c>
    </row>
    <row r="664" spans="1:13" x14ac:dyDescent="0.25">
      <c r="A664" s="2">
        <v>38330</v>
      </c>
      <c r="B664" t="s">
        <v>11</v>
      </c>
      <c r="C664" t="s">
        <v>23</v>
      </c>
      <c r="D664" t="s">
        <v>13</v>
      </c>
      <c r="E664" t="s">
        <v>25</v>
      </c>
      <c r="F664" s="3">
        <v>2935.04</v>
      </c>
      <c r="G664" s="3">
        <v>4316.2299999999996</v>
      </c>
      <c r="H664" s="3">
        <f>Table1[[#This Row],[Sale]]-Table1[[#This Row],[Cost]]</f>
        <v>1381.1899999999996</v>
      </c>
      <c r="I664" s="4">
        <f>Table1[[#This Row],[Profit]]/Table1[[#This Row],[Sale]]</f>
        <v>0.31999916593879374</v>
      </c>
      <c r="J664" s="5">
        <f t="shared" si="20"/>
        <v>2004</v>
      </c>
      <c r="K664" s="5">
        <f>MONTH(Table1[[#This Row],[Date]])</f>
        <v>12</v>
      </c>
      <c r="L664" s="5">
        <f>DAY(Table1[[#This Row],[Date]])</f>
        <v>9</v>
      </c>
      <c r="M664" s="5" t="str">
        <f t="shared" si="21"/>
        <v>Dec</v>
      </c>
    </row>
    <row r="665" spans="1:13" x14ac:dyDescent="0.25">
      <c r="A665" s="2">
        <v>38243</v>
      </c>
      <c r="B665" t="s">
        <v>21</v>
      </c>
      <c r="C665" t="s">
        <v>29</v>
      </c>
      <c r="D665" t="s">
        <v>16</v>
      </c>
      <c r="E665" t="s">
        <v>24</v>
      </c>
      <c r="F665" s="3">
        <v>2811.8</v>
      </c>
      <c r="G665" s="3">
        <v>7599.45</v>
      </c>
      <c r="H665" s="3">
        <f>Table1[[#This Row],[Sale]]-Table1[[#This Row],[Cost]]</f>
        <v>4787.6499999999996</v>
      </c>
      <c r="I665" s="4">
        <f>Table1[[#This Row],[Profit]]/Table1[[#This Row],[Sale]]</f>
        <v>0.62999953944035425</v>
      </c>
      <c r="J665" s="5">
        <f t="shared" si="20"/>
        <v>2004</v>
      </c>
      <c r="K665" s="5">
        <f>MONTH(Table1[[#This Row],[Date]])</f>
        <v>9</v>
      </c>
      <c r="L665" s="5">
        <f>DAY(Table1[[#This Row],[Date]])</f>
        <v>13</v>
      </c>
      <c r="M665" s="5" t="str">
        <f t="shared" si="21"/>
        <v>Sep</v>
      </c>
    </row>
    <row r="666" spans="1:13" x14ac:dyDescent="0.25">
      <c r="A666" s="2">
        <v>38727</v>
      </c>
      <c r="B666" t="s">
        <v>11</v>
      </c>
      <c r="C666" t="s">
        <v>29</v>
      </c>
      <c r="D666" t="s">
        <v>28</v>
      </c>
      <c r="E666" t="s">
        <v>20</v>
      </c>
      <c r="F666" s="3">
        <v>4785.21</v>
      </c>
      <c r="G666" s="3">
        <v>8700.3799999999992</v>
      </c>
      <c r="H666" s="3">
        <f>Table1[[#This Row],[Sale]]-Table1[[#This Row],[Cost]]</f>
        <v>3915.1699999999992</v>
      </c>
      <c r="I666" s="4">
        <f>Table1[[#This Row],[Profit]]/Table1[[#This Row],[Sale]]</f>
        <v>0.44999988506249144</v>
      </c>
      <c r="J666" s="5">
        <f t="shared" si="20"/>
        <v>2006</v>
      </c>
      <c r="K666" s="5">
        <f>MONTH(Table1[[#This Row],[Date]])</f>
        <v>1</v>
      </c>
      <c r="L666" s="5">
        <f>DAY(Table1[[#This Row],[Date]])</f>
        <v>10</v>
      </c>
      <c r="M666" s="5" t="str">
        <f t="shared" si="21"/>
        <v>Jan</v>
      </c>
    </row>
    <row r="667" spans="1:13" x14ac:dyDescent="0.25">
      <c r="A667" s="2">
        <v>38727</v>
      </c>
      <c r="B667" t="s">
        <v>22</v>
      </c>
      <c r="C667" t="s">
        <v>29</v>
      </c>
      <c r="D667" t="s">
        <v>19</v>
      </c>
      <c r="E667" t="s">
        <v>25</v>
      </c>
      <c r="F667" s="3">
        <v>5931.35</v>
      </c>
      <c r="G667" s="3">
        <v>8722.58</v>
      </c>
      <c r="H667" s="3">
        <f>Table1[[#This Row],[Sale]]-Table1[[#This Row],[Cost]]</f>
        <v>2791.2299999999996</v>
      </c>
      <c r="I667" s="4">
        <f>Table1[[#This Row],[Profit]]/Table1[[#This Row],[Sale]]</f>
        <v>0.32000050443790706</v>
      </c>
      <c r="J667" s="5">
        <f t="shared" si="20"/>
        <v>2006</v>
      </c>
      <c r="K667" s="5">
        <f>MONTH(Table1[[#This Row],[Date]])</f>
        <v>1</v>
      </c>
      <c r="L667" s="5">
        <f>DAY(Table1[[#This Row],[Date]])</f>
        <v>10</v>
      </c>
      <c r="M667" s="5" t="str">
        <f t="shared" si="21"/>
        <v>Jan</v>
      </c>
    </row>
    <row r="668" spans="1:13" x14ac:dyDescent="0.25">
      <c r="A668" s="2">
        <v>38632</v>
      </c>
      <c r="B668" t="s">
        <v>11</v>
      </c>
      <c r="C668" t="s">
        <v>27</v>
      </c>
      <c r="D668" t="s">
        <v>16</v>
      </c>
      <c r="E668" t="s">
        <v>20</v>
      </c>
      <c r="F668" s="3">
        <v>5117.51</v>
      </c>
      <c r="G668" s="3">
        <v>8823.2999999999993</v>
      </c>
      <c r="H668" s="3">
        <f>Table1[[#This Row],[Sale]]-Table1[[#This Row],[Cost]]</f>
        <v>3705.7899999999991</v>
      </c>
      <c r="I668" s="4">
        <f>Table1[[#This Row],[Profit]]/Table1[[#This Row],[Sale]]</f>
        <v>0.42000045334512026</v>
      </c>
      <c r="J668" s="5">
        <f t="shared" si="20"/>
        <v>2005</v>
      </c>
      <c r="K668" s="5">
        <f>MONTH(Table1[[#This Row],[Date]])</f>
        <v>10</v>
      </c>
      <c r="L668" s="5">
        <f>DAY(Table1[[#This Row],[Date]])</f>
        <v>7</v>
      </c>
      <c r="M668" s="5" t="str">
        <f t="shared" si="21"/>
        <v>Oct</v>
      </c>
    </row>
    <row r="669" spans="1:13" x14ac:dyDescent="0.25">
      <c r="A669" s="2">
        <v>38758</v>
      </c>
      <c r="B669" t="s">
        <v>26</v>
      </c>
      <c r="C669" t="s">
        <v>12</v>
      </c>
      <c r="D669" t="s">
        <v>19</v>
      </c>
      <c r="E669" t="s">
        <v>25</v>
      </c>
      <c r="F669" s="3">
        <v>1088.69</v>
      </c>
      <c r="G669" s="3">
        <v>2531.84</v>
      </c>
      <c r="H669" s="3">
        <f>Table1[[#This Row],[Sale]]-Table1[[#This Row],[Cost]]</f>
        <v>1443.15</v>
      </c>
      <c r="I669" s="4">
        <f>Table1[[#This Row],[Profit]]/Table1[[#This Row],[Sale]]</f>
        <v>0.57000047396359965</v>
      </c>
      <c r="J669" s="5">
        <f t="shared" si="20"/>
        <v>2006</v>
      </c>
      <c r="K669" s="5">
        <f>MONTH(Table1[[#This Row],[Date]])</f>
        <v>2</v>
      </c>
      <c r="L669" s="5">
        <f>DAY(Table1[[#This Row],[Date]])</f>
        <v>10</v>
      </c>
      <c r="M669" s="5" t="str">
        <f t="shared" si="21"/>
        <v>Feb</v>
      </c>
    </row>
    <row r="670" spans="1:13" x14ac:dyDescent="0.25">
      <c r="A670" s="2">
        <v>38530</v>
      </c>
      <c r="B670" t="s">
        <v>26</v>
      </c>
      <c r="C670" t="s">
        <v>29</v>
      </c>
      <c r="D670" t="s">
        <v>28</v>
      </c>
      <c r="E670" t="s">
        <v>24</v>
      </c>
      <c r="F670" s="3">
        <v>1074.69</v>
      </c>
      <c r="G670" s="3">
        <v>2904.57</v>
      </c>
      <c r="H670" s="3">
        <f>Table1[[#This Row],[Sale]]-Table1[[#This Row],[Cost]]</f>
        <v>1829.88</v>
      </c>
      <c r="I670" s="4">
        <f>Table1[[#This Row],[Profit]]/Table1[[#This Row],[Sale]]</f>
        <v>0.63000030985653643</v>
      </c>
      <c r="J670" s="5">
        <f t="shared" si="20"/>
        <v>2005</v>
      </c>
      <c r="K670" s="5">
        <f>MONTH(Table1[[#This Row],[Date]])</f>
        <v>6</v>
      </c>
      <c r="L670" s="5">
        <f>DAY(Table1[[#This Row],[Date]])</f>
        <v>27</v>
      </c>
      <c r="M670" s="5" t="str">
        <f t="shared" si="21"/>
        <v>Jun</v>
      </c>
    </row>
    <row r="671" spans="1:13" x14ac:dyDescent="0.25">
      <c r="A671" s="2">
        <v>38178</v>
      </c>
      <c r="B671" t="s">
        <v>21</v>
      </c>
      <c r="C671" t="s">
        <v>23</v>
      </c>
      <c r="D671" t="s">
        <v>28</v>
      </c>
      <c r="E671" t="s">
        <v>24</v>
      </c>
      <c r="F671" s="3">
        <v>4456.28</v>
      </c>
      <c r="G671" s="3">
        <v>9902.84</v>
      </c>
      <c r="H671" s="3">
        <f>Table1[[#This Row],[Sale]]-Table1[[#This Row],[Cost]]</f>
        <v>5446.56</v>
      </c>
      <c r="I671" s="4">
        <f>Table1[[#This Row],[Profit]]/Table1[[#This Row],[Sale]]</f>
        <v>0.54999979803773469</v>
      </c>
      <c r="J671" s="5">
        <f t="shared" si="20"/>
        <v>2004</v>
      </c>
      <c r="K671" s="5">
        <f>MONTH(Table1[[#This Row],[Date]])</f>
        <v>7</v>
      </c>
      <c r="L671" s="5">
        <f>DAY(Table1[[#This Row],[Date]])</f>
        <v>10</v>
      </c>
      <c r="M671" s="5" t="str">
        <f t="shared" si="21"/>
        <v>Jul</v>
      </c>
    </row>
    <row r="672" spans="1:13" x14ac:dyDescent="0.25">
      <c r="A672" s="2">
        <v>38754</v>
      </c>
      <c r="B672" t="s">
        <v>26</v>
      </c>
      <c r="C672" t="s">
        <v>29</v>
      </c>
      <c r="D672" t="s">
        <v>16</v>
      </c>
      <c r="E672" t="s">
        <v>20</v>
      </c>
      <c r="F672" s="3">
        <v>1297.01</v>
      </c>
      <c r="G672" s="3">
        <v>2236.23</v>
      </c>
      <c r="H672" s="3">
        <f>Table1[[#This Row],[Sale]]-Table1[[#This Row],[Cost]]</f>
        <v>939.22</v>
      </c>
      <c r="I672" s="4">
        <f>Table1[[#This Row],[Profit]]/Table1[[#This Row],[Sale]]</f>
        <v>0.42000152041605737</v>
      </c>
      <c r="J672" s="5">
        <f t="shared" si="20"/>
        <v>2006</v>
      </c>
      <c r="K672" s="5">
        <f>MONTH(Table1[[#This Row],[Date]])</f>
        <v>2</v>
      </c>
      <c r="L672" s="5">
        <f>DAY(Table1[[#This Row],[Date]])</f>
        <v>6</v>
      </c>
      <c r="M672" s="5" t="str">
        <f t="shared" si="21"/>
        <v>Feb</v>
      </c>
    </row>
    <row r="673" spans="1:13" x14ac:dyDescent="0.25">
      <c r="A673" s="2">
        <v>38474</v>
      </c>
      <c r="B673" t="s">
        <v>15</v>
      </c>
      <c r="C673" t="s">
        <v>12</v>
      </c>
      <c r="D673" t="s">
        <v>28</v>
      </c>
      <c r="E673" t="s">
        <v>14</v>
      </c>
      <c r="F673" s="3">
        <v>4384.42</v>
      </c>
      <c r="G673" s="3">
        <v>9743.15</v>
      </c>
      <c r="H673" s="3">
        <f>Table1[[#This Row],[Sale]]-Table1[[#This Row],[Cost]]</f>
        <v>5358.73</v>
      </c>
      <c r="I673" s="4">
        <f>Table1[[#This Row],[Profit]]/Table1[[#This Row],[Sale]]</f>
        <v>0.54999974340947222</v>
      </c>
      <c r="J673" s="5">
        <f t="shared" si="20"/>
        <v>2005</v>
      </c>
      <c r="K673" s="5">
        <f>MONTH(Table1[[#This Row],[Date]])</f>
        <v>5</v>
      </c>
      <c r="L673" s="5">
        <f>DAY(Table1[[#This Row],[Date]])</f>
        <v>2</v>
      </c>
      <c r="M673" s="5" t="str">
        <f t="shared" si="21"/>
        <v>May</v>
      </c>
    </row>
    <row r="674" spans="1:13" x14ac:dyDescent="0.25">
      <c r="A674" s="2">
        <v>38408</v>
      </c>
      <c r="B674" t="s">
        <v>15</v>
      </c>
      <c r="C674" t="s">
        <v>29</v>
      </c>
      <c r="D674" t="s">
        <v>28</v>
      </c>
      <c r="E674" t="s">
        <v>20</v>
      </c>
      <c r="F674" s="3">
        <v>1515.24</v>
      </c>
      <c r="G674" s="3">
        <v>4095.25</v>
      </c>
      <c r="H674" s="3">
        <f>Table1[[#This Row],[Sale]]-Table1[[#This Row],[Cost]]</f>
        <v>2580.0100000000002</v>
      </c>
      <c r="I674" s="4">
        <f>Table1[[#This Row],[Profit]]/Table1[[#This Row],[Sale]]</f>
        <v>0.63000061046334177</v>
      </c>
      <c r="J674" s="5">
        <f t="shared" si="20"/>
        <v>2005</v>
      </c>
      <c r="K674" s="5">
        <f>MONTH(Table1[[#This Row],[Date]])</f>
        <v>2</v>
      </c>
      <c r="L674" s="5">
        <f>DAY(Table1[[#This Row],[Date]])</f>
        <v>25</v>
      </c>
      <c r="M674" s="5" t="str">
        <f t="shared" si="21"/>
        <v>Feb</v>
      </c>
    </row>
    <row r="675" spans="1:13" x14ac:dyDescent="0.25">
      <c r="A675" s="2">
        <v>38387</v>
      </c>
      <c r="B675" t="s">
        <v>21</v>
      </c>
      <c r="C675" t="s">
        <v>29</v>
      </c>
      <c r="D675" t="s">
        <v>16</v>
      </c>
      <c r="E675" t="s">
        <v>25</v>
      </c>
      <c r="F675" s="3">
        <v>2044.8</v>
      </c>
      <c r="G675" s="3">
        <v>3007.06</v>
      </c>
      <c r="H675" s="3">
        <f>Table1[[#This Row],[Sale]]-Table1[[#This Row],[Cost]]</f>
        <v>962.26</v>
      </c>
      <c r="I675" s="4">
        <f>Table1[[#This Row],[Profit]]/Table1[[#This Row],[Sale]]</f>
        <v>0.32000026604058451</v>
      </c>
      <c r="J675" s="5">
        <f t="shared" si="20"/>
        <v>2005</v>
      </c>
      <c r="K675" s="5">
        <f>MONTH(Table1[[#This Row],[Date]])</f>
        <v>2</v>
      </c>
      <c r="L675" s="5">
        <f>DAY(Table1[[#This Row],[Date]])</f>
        <v>4</v>
      </c>
      <c r="M675" s="5" t="str">
        <f t="shared" si="21"/>
        <v>Feb</v>
      </c>
    </row>
    <row r="676" spans="1:13" x14ac:dyDescent="0.25">
      <c r="A676" s="2">
        <v>38816</v>
      </c>
      <c r="B676" t="s">
        <v>26</v>
      </c>
      <c r="C676" t="s">
        <v>23</v>
      </c>
      <c r="D676" t="s">
        <v>16</v>
      </c>
      <c r="E676" t="s">
        <v>24</v>
      </c>
      <c r="F676" s="3">
        <v>1786.35</v>
      </c>
      <c r="G676" s="3">
        <v>2029.94</v>
      </c>
      <c r="H676" s="3">
        <f>Table1[[#This Row],[Sale]]-Table1[[#This Row],[Cost]]</f>
        <v>243.59000000000015</v>
      </c>
      <c r="I676" s="4">
        <f>Table1[[#This Row],[Profit]]/Table1[[#This Row],[Sale]]</f>
        <v>0.11999862064888624</v>
      </c>
      <c r="J676" s="5">
        <f t="shared" si="20"/>
        <v>2006</v>
      </c>
      <c r="K676" s="5">
        <f>MONTH(Table1[[#This Row],[Date]])</f>
        <v>4</v>
      </c>
      <c r="L676" s="5">
        <f>DAY(Table1[[#This Row],[Date]])</f>
        <v>9</v>
      </c>
      <c r="M676" s="5" t="str">
        <f t="shared" si="21"/>
        <v>Apr</v>
      </c>
    </row>
    <row r="677" spans="1:13" x14ac:dyDescent="0.25">
      <c r="A677" s="2">
        <v>38267</v>
      </c>
      <c r="B677" t="s">
        <v>22</v>
      </c>
      <c r="C677" t="s">
        <v>18</v>
      </c>
      <c r="D677" t="s">
        <v>19</v>
      </c>
      <c r="E677" t="s">
        <v>24</v>
      </c>
      <c r="F677" s="3">
        <v>3454.68</v>
      </c>
      <c r="G677" s="3">
        <v>9336.9699999999993</v>
      </c>
      <c r="H677" s="3">
        <f>Table1[[#This Row],[Sale]]-Table1[[#This Row],[Cost]]</f>
        <v>5882.2899999999991</v>
      </c>
      <c r="I677" s="4">
        <f>Table1[[#This Row],[Profit]]/Table1[[#This Row],[Sale]]</f>
        <v>0.62999988218876135</v>
      </c>
      <c r="J677" s="5">
        <f t="shared" si="20"/>
        <v>2004</v>
      </c>
      <c r="K677" s="5">
        <f>MONTH(Table1[[#This Row],[Date]])</f>
        <v>10</v>
      </c>
      <c r="L677" s="5">
        <f>DAY(Table1[[#This Row],[Date]])</f>
        <v>7</v>
      </c>
      <c r="M677" s="5" t="str">
        <f t="shared" si="21"/>
        <v>Oct</v>
      </c>
    </row>
    <row r="678" spans="1:13" x14ac:dyDescent="0.25">
      <c r="A678" s="2">
        <v>38357</v>
      </c>
      <c r="B678" t="s">
        <v>21</v>
      </c>
      <c r="C678" t="s">
        <v>18</v>
      </c>
      <c r="D678" t="s">
        <v>19</v>
      </c>
      <c r="E678" t="s">
        <v>25</v>
      </c>
      <c r="F678" s="3">
        <v>219.01</v>
      </c>
      <c r="G678" s="3">
        <v>322.07</v>
      </c>
      <c r="H678" s="3">
        <f>Table1[[#This Row],[Sale]]-Table1[[#This Row],[Cost]]</f>
        <v>103.06</v>
      </c>
      <c r="I678" s="4">
        <f>Table1[[#This Row],[Profit]]/Table1[[#This Row],[Sale]]</f>
        <v>0.31999254820380663</v>
      </c>
      <c r="J678" s="5">
        <f t="shared" si="20"/>
        <v>2005</v>
      </c>
      <c r="K678" s="5">
        <f>MONTH(Table1[[#This Row],[Date]])</f>
        <v>1</v>
      </c>
      <c r="L678" s="5">
        <f>DAY(Table1[[#This Row],[Date]])</f>
        <v>5</v>
      </c>
      <c r="M678" s="5" t="str">
        <f t="shared" si="21"/>
        <v>Jan</v>
      </c>
    </row>
    <row r="679" spans="1:13" x14ac:dyDescent="0.25">
      <c r="A679" s="2">
        <v>38467</v>
      </c>
      <c r="B679" t="s">
        <v>17</v>
      </c>
      <c r="C679" t="s">
        <v>23</v>
      </c>
      <c r="D679" t="s">
        <v>13</v>
      </c>
      <c r="E679" t="s">
        <v>25</v>
      </c>
      <c r="F679" s="3">
        <v>2700.31</v>
      </c>
      <c r="G679" s="3">
        <v>3971.04</v>
      </c>
      <c r="H679" s="3">
        <f>Table1[[#This Row],[Sale]]-Table1[[#This Row],[Cost]]</f>
        <v>1270.73</v>
      </c>
      <c r="I679" s="4">
        <f>Table1[[#This Row],[Profit]]/Table1[[#This Row],[Sale]]</f>
        <v>0.31999929489504009</v>
      </c>
      <c r="J679" s="5">
        <f t="shared" si="20"/>
        <v>2005</v>
      </c>
      <c r="K679" s="5">
        <f>MONTH(Table1[[#This Row],[Date]])</f>
        <v>4</v>
      </c>
      <c r="L679" s="5">
        <f>DAY(Table1[[#This Row],[Date]])</f>
        <v>25</v>
      </c>
      <c r="M679" s="5" t="str">
        <f t="shared" si="21"/>
        <v>Apr</v>
      </c>
    </row>
    <row r="680" spans="1:13" x14ac:dyDescent="0.25">
      <c r="A680" s="2">
        <v>38465</v>
      </c>
      <c r="B680" t="s">
        <v>11</v>
      </c>
      <c r="C680" t="s">
        <v>12</v>
      </c>
      <c r="D680" t="s">
        <v>28</v>
      </c>
      <c r="E680" t="s">
        <v>24</v>
      </c>
      <c r="F680" s="3">
        <v>3671.85</v>
      </c>
      <c r="G680" s="3">
        <v>9923.93</v>
      </c>
      <c r="H680" s="3">
        <f>Table1[[#This Row],[Sale]]-Table1[[#This Row],[Cost]]</f>
        <v>6252.08</v>
      </c>
      <c r="I680" s="4">
        <f>Table1[[#This Row],[Profit]]/Table1[[#This Row],[Sale]]</f>
        <v>0.6300004131427771</v>
      </c>
      <c r="J680" s="5">
        <f t="shared" si="20"/>
        <v>2005</v>
      </c>
      <c r="K680" s="5">
        <f>MONTH(Table1[[#This Row],[Date]])</f>
        <v>4</v>
      </c>
      <c r="L680" s="5">
        <f>DAY(Table1[[#This Row],[Date]])</f>
        <v>23</v>
      </c>
      <c r="M680" s="5" t="str">
        <f t="shared" si="21"/>
        <v>Apr</v>
      </c>
    </row>
    <row r="681" spans="1:13" x14ac:dyDescent="0.25">
      <c r="A681" s="2">
        <v>38277</v>
      </c>
      <c r="B681" t="s">
        <v>11</v>
      </c>
      <c r="C681" t="s">
        <v>27</v>
      </c>
      <c r="D681" t="s">
        <v>28</v>
      </c>
      <c r="E681" t="s">
        <v>14</v>
      </c>
      <c r="F681" s="3">
        <v>4014.81</v>
      </c>
      <c r="G681" s="3">
        <v>6922.09</v>
      </c>
      <c r="H681" s="3">
        <f>Table1[[#This Row],[Sale]]-Table1[[#This Row],[Cost]]</f>
        <v>2907.28</v>
      </c>
      <c r="I681" s="4">
        <f>Table1[[#This Row],[Profit]]/Table1[[#This Row],[Sale]]</f>
        <v>0.42000031782308522</v>
      </c>
      <c r="J681" s="5">
        <f t="shared" si="20"/>
        <v>2004</v>
      </c>
      <c r="K681" s="5">
        <f>MONTH(Table1[[#This Row],[Date]])</f>
        <v>10</v>
      </c>
      <c r="L681" s="5">
        <f>DAY(Table1[[#This Row],[Date]])</f>
        <v>17</v>
      </c>
      <c r="M681" s="5" t="str">
        <f t="shared" si="21"/>
        <v>Oct</v>
      </c>
    </row>
    <row r="682" spans="1:13" x14ac:dyDescent="0.25">
      <c r="A682" s="2">
        <v>38580</v>
      </c>
      <c r="B682" t="s">
        <v>11</v>
      </c>
      <c r="C682" t="s">
        <v>12</v>
      </c>
      <c r="D682" t="s">
        <v>16</v>
      </c>
      <c r="E682" t="s">
        <v>24</v>
      </c>
      <c r="F682" s="3">
        <v>2190.5300000000002</v>
      </c>
      <c r="G682" s="3">
        <v>5094.25</v>
      </c>
      <c r="H682" s="3">
        <f>Table1[[#This Row],[Sale]]-Table1[[#This Row],[Cost]]</f>
        <v>2903.72</v>
      </c>
      <c r="I682" s="4">
        <f>Table1[[#This Row],[Profit]]/Table1[[#This Row],[Sale]]</f>
        <v>0.5699995092506257</v>
      </c>
      <c r="J682" s="5">
        <f t="shared" si="20"/>
        <v>2005</v>
      </c>
      <c r="K682" s="5">
        <f>MONTH(Table1[[#This Row],[Date]])</f>
        <v>8</v>
      </c>
      <c r="L682" s="5">
        <f>DAY(Table1[[#This Row],[Date]])</f>
        <v>16</v>
      </c>
      <c r="M682" s="5" t="str">
        <f t="shared" si="21"/>
        <v>Aug</v>
      </c>
    </row>
    <row r="683" spans="1:13" x14ac:dyDescent="0.25">
      <c r="A683" s="2">
        <v>38411</v>
      </c>
      <c r="B683" t="s">
        <v>15</v>
      </c>
      <c r="C683" t="s">
        <v>29</v>
      </c>
      <c r="D683" t="s">
        <v>16</v>
      </c>
      <c r="E683" t="s">
        <v>25</v>
      </c>
      <c r="F683" s="3">
        <v>4939.54</v>
      </c>
      <c r="G683" s="3">
        <v>6586.05</v>
      </c>
      <c r="H683" s="3">
        <f>Table1[[#This Row],[Sale]]-Table1[[#This Row],[Cost]]</f>
        <v>1646.5100000000002</v>
      </c>
      <c r="I683" s="4">
        <f>Table1[[#This Row],[Profit]]/Table1[[#This Row],[Sale]]</f>
        <v>0.24999962040980561</v>
      </c>
      <c r="J683" s="5">
        <f t="shared" si="20"/>
        <v>2005</v>
      </c>
      <c r="K683" s="5">
        <f>MONTH(Table1[[#This Row],[Date]])</f>
        <v>2</v>
      </c>
      <c r="L683" s="5">
        <f>DAY(Table1[[#This Row],[Date]])</f>
        <v>28</v>
      </c>
      <c r="M683" s="5" t="str">
        <f t="shared" si="21"/>
        <v>Feb</v>
      </c>
    </row>
    <row r="684" spans="1:13" x14ac:dyDescent="0.25">
      <c r="A684" s="2">
        <v>38331</v>
      </c>
      <c r="B684" t="s">
        <v>22</v>
      </c>
      <c r="C684" t="s">
        <v>12</v>
      </c>
      <c r="D684" t="s">
        <v>13</v>
      </c>
      <c r="E684" t="s">
        <v>25</v>
      </c>
      <c r="F684" s="3">
        <v>3043.75</v>
      </c>
      <c r="G684" s="3">
        <v>3255.35</v>
      </c>
      <c r="H684" s="3">
        <f>Table1[[#This Row],[Sale]]-Table1[[#This Row],[Cost]]</f>
        <v>211.59999999999991</v>
      </c>
      <c r="I684" s="4">
        <f>Table1[[#This Row],[Profit]]/Table1[[#This Row],[Sale]]</f>
        <v>6.5000691169920258E-2</v>
      </c>
      <c r="J684" s="5">
        <f t="shared" si="20"/>
        <v>2004</v>
      </c>
      <c r="K684" s="5">
        <f>MONTH(Table1[[#This Row],[Date]])</f>
        <v>12</v>
      </c>
      <c r="L684" s="5">
        <f>DAY(Table1[[#This Row],[Date]])</f>
        <v>10</v>
      </c>
      <c r="M684" s="5" t="str">
        <f t="shared" si="21"/>
        <v>Dec</v>
      </c>
    </row>
    <row r="685" spans="1:13" x14ac:dyDescent="0.25">
      <c r="A685" s="2">
        <v>38419</v>
      </c>
      <c r="B685" t="s">
        <v>15</v>
      </c>
      <c r="C685" t="s">
        <v>18</v>
      </c>
      <c r="D685" t="s">
        <v>16</v>
      </c>
      <c r="E685" t="s">
        <v>24</v>
      </c>
      <c r="F685" s="3">
        <v>62.32</v>
      </c>
      <c r="G685" s="3">
        <v>83.1</v>
      </c>
      <c r="H685" s="3">
        <f>Table1[[#This Row],[Sale]]-Table1[[#This Row],[Cost]]</f>
        <v>20.779999999999994</v>
      </c>
      <c r="I685" s="4">
        <f>Table1[[#This Row],[Profit]]/Table1[[#This Row],[Sale]]</f>
        <v>0.25006016847172075</v>
      </c>
      <c r="J685" s="5">
        <f t="shared" si="20"/>
        <v>2005</v>
      </c>
      <c r="K685" s="5">
        <f>MONTH(Table1[[#This Row],[Date]])</f>
        <v>3</v>
      </c>
      <c r="L685" s="5">
        <f>DAY(Table1[[#This Row],[Date]])</f>
        <v>8</v>
      </c>
      <c r="M685" s="5" t="str">
        <f t="shared" si="21"/>
        <v>Mar</v>
      </c>
    </row>
    <row r="686" spans="1:13" x14ac:dyDescent="0.25">
      <c r="A686" s="2">
        <v>38322</v>
      </c>
      <c r="B686" t="s">
        <v>11</v>
      </c>
      <c r="C686" t="s">
        <v>18</v>
      </c>
      <c r="D686" t="s">
        <v>16</v>
      </c>
      <c r="E686" t="s">
        <v>20</v>
      </c>
      <c r="F686" s="3">
        <v>730.54</v>
      </c>
      <c r="G686" s="3">
        <v>1238.2</v>
      </c>
      <c r="H686" s="3">
        <f>Table1[[#This Row],[Sale]]-Table1[[#This Row],[Cost]]</f>
        <v>507.66000000000008</v>
      </c>
      <c r="I686" s="4">
        <f>Table1[[#This Row],[Profit]]/Table1[[#This Row],[Sale]]</f>
        <v>0.40999838475205952</v>
      </c>
      <c r="J686" s="5">
        <f t="shared" si="20"/>
        <v>2004</v>
      </c>
      <c r="K686" s="5">
        <f>MONTH(Table1[[#This Row],[Date]])</f>
        <v>12</v>
      </c>
      <c r="L686" s="5">
        <f>DAY(Table1[[#This Row],[Date]])</f>
        <v>1</v>
      </c>
      <c r="M686" s="5" t="str">
        <f t="shared" si="21"/>
        <v>Dec</v>
      </c>
    </row>
    <row r="687" spans="1:13" x14ac:dyDescent="0.25">
      <c r="A687" s="2">
        <v>38876</v>
      </c>
      <c r="B687" t="s">
        <v>11</v>
      </c>
      <c r="C687" t="s">
        <v>27</v>
      </c>
      <c r="D687" t="s">
        <v>13</v>
      </c>
      <c r="E687" t="s">
        <v>20</v>
      </c>
      <c r="F687" s="3">
        <v>2605.35</v>
      </c>
      <c r="G687" s="3">
        <v>5789.67</v>
      </c>
      <c r="H687" s="3">
        <f>Table1[[#This Row],[Sale]]-Table1[[#This Row],[Cost]]</f>
        <v>3184.32</v>
      </c>
      <c r="I687" s="4">
        <f>Table1[[#This Row],[Profit]]/Table1[[#This Row],[Sale]]</f>
        <v>0.55000025908212391</v>
      </c>
      <c r="J687" s="5">
        <f t="shared" si="20"/>
        <v>2006</v>
      </c>
      <c r="K687" s="5">
        <f>MONTH(Table1[[#This Row],[Date]])</f>
        <v>6</v>
      </c>
      <c r="L687" s="5">
        <f>DAY(Table1[[#This Row],[Date]])</f>
        <v>8</v>
      </c>
      <c r="M687" s="5" t="str">
        <f t="shared" si="21"/>
        <v>Jun</v>
      </c>
    </row>
    <row r="688" spans="1:13" x14ac:dyDescent="0.25">
      <c r="A688" s="2">
        <v>38849</v>
      </c>
      <c r="B688" t="s">
        <v>26</v>
      </c>
      <c r="C688" t="s">
        <v>23</v>
      </c>
      <c r="D688" t="s">
        <v>13</v>
      </c>
      <c r="E688" t="s">
        <v>14</v>
      </c>
      <c r="F688" s="3">
        <v>1122.26</v>
      </c>
      <c r="G688" s="3">
        <v>1902.13</v>
      </c>
      <c r="H688" s="3">
        <f>Table1[[#This Row],[Sale]]-Table1[[#This Row],[Cost]]</f>
        <v>779.87000000000012</v>
      </c>
      <c r="I688" s="4">
        <f>Table1[[#This Row],[Profit]]/Table1[[#This Row],[Sale]]</f>
        <v>0.40999826510280585</v>
      </c>
      <c r="J688" s="5">
        <f t="shared" si="20"/>
        <v>2006</v>
      </c>
      <c r="K688" s="5">
        <f>MONTH(Table1[[#This Row],[Date]])</f>
        <v>5</v>
      </c>
      <c r="L688" s="5">
        <f>DAY(Table1[[#This Row],[Date]])</f>
        <v>12</v>
      </c>
      <c r="M688" s="5" t="str">
        <f t="shared" si="21"/>
        <v>May</v>
      </c>
    </row>
    <row r="689" spans="1:13" x14ac:dyDescent="0.25">
      <c r="A689" s="2">
        <v>38492</v>
      </c>
      <c r="B689" t="s">
        <v>22</v>
      </c>
      <c r="C689" t="s">
        <v>23</v>
      </c>
      <c r="D689" t="s">
        <v>16</v>
      </c>
      <c r="E689" t="s">
        <v>14</v>
      </c>
      <c r="F689" s="3">
        <v>3636.08</v>
      </c>
      <c r="G689" s="3">
        <v>6269.11</v>
      </c>
      <c r="H689" s="3">
        <f>Table1[[#This Row],[Sale]]-Table1[[#This Row],[Cost]]</f>
        <v>2633.0299999999997</v>
      </c>
      <c r="I689" s="4">
        <f>Table1[[#This Row],[Profit]]/Table1[[#This Row],[Sale]]</f>
        <v>0.42000060614664597</v>
      </c>
      <c r="J689" s="5">
        <f t="shared" si="20"/>
        <v>2005</v>
      </c>
      <c r="K689" s="5">
        <f>MONTH(Table1[[#This Row],[Date]])</f>
        <v>5</v>
      </c>
      <c r="L689" s="5">
        <f>DAY(Table1[[#This Row],[Date]])</f>
        <v>20</v>
      </c>
      <c r="M689" s="5" t="str">
        <f t="shared" si="21"/>
        <v>May</v>
      </c>
    </row>
    <row r="690" spans="1:13" x14ac:dyDescent="0.25">
      <c r="A690" s="2">
        <v>38738</v>
      </c>
      <c r="B690" t="s">
        <v>11</v>
      </c>
      <c r="C690" t="s">
        <v>29</v>
      </c>
      <c r="D690" t="s">
        <v>28</v>
      </c>
      <c r="E690" t="s">
        <v>14</v>
      </c>
      <c r="F690" s="3">
        <v>1438.4</v>
      </c>
      <c r="G690" s="3">
        <v>2615.2800000000002</v>
      </c>
      <c r="H690" s="3">
        <f>Table1[[#This Row],[Sale]]-Table1[[#This Row],[Cost]]</f>
        <v>1176.8800000000001</v>
      </c>
      <c r="I690" s="4">
        <f>Table1[[#This Row],[Profit]]/Table1[[#This Row],[Sale]]</f>
        <v>0.45000152947294364</v>
      </c>
      <c r="J690" s="5">
        <f t="shared" si="20"/>
        <v>2006</v>
      </c>
      <c r="K690" s="5">
        <f>MONTH(Table1[[#This Row],[Date]])</f>
        <v>1</v>
      </c>
      <c r="L690" s="5">
        <f>DAY(Table1[[#This Row],[Date]])</f>
        <v>21</v>
      </c>
      <c r="M690" s="5" t="str">
        <f t="shared" si="21"/>
        <v>Jan</v>
      </c>
    </row>
    <row r="691" spans="1:13" x14ac:dyDescent="0.25">
      <c r="A691" s="2">
        <v>38562</v>
      </c>
      <c r="B691" t="s">
        <v>15</v>
      </c>
      <c r="C691" t="s">
        <v>29</v>
      </c>
      <c r="D691" t="s">
        <v>19</v>
      </c>
      <c r="E691" t="s">
        <v>20</v>
      </c>
      <c r="F691" s="3">
        <v>3218.32</v>
      </c>
      <c r="G691" s="3">
        <v>5851.5</v>
      </c>
      <c r="H691" s="3">
        <f>Table1[[#This Row],[Sale]]-Table1[[#This Row],[Cost]]</f>
        <v>2633.18</v>
      </c>
      <c r="I691" s="4">
        <f>Table1[[#This Row],[Profit]]/Table1[[#This Row],[Sale]]</f>
        <v>0.45000085448175681</v>
      </c>
      <c r="J691" s="5">
        <f t="shared" si="20"/>
        <v>2005</v>
      </c>
      <c r="K691" s="5">
        <f>MONTH(Table1[[#This Row],[Date]])</f>
        <v>7</v>
      </c>
      <c r="L691" s="5">
        <f>DAY(Table1[[#This Row],[Date]])</f>
        <v>29</v>
      </c>
      <c r="M691" s="5" t="str">
        <f t="shared" si="21"/>
        <v>Jul</v>
      </c>
    </row>
    <row r="692" spans="1:13" x14ac:dyDescent="0.25">
      <c r="A692" s="2">
        <v>38292</v>
      </c>
      <c r="B692" t="s">
        <v>11</v>
      </c>
      <c r="C692" t="s">
        <v>18</v>
      </c>
      <c r="D692" t="s">
        <v>28</v>
      </c>
      <c r="E692" t="s">
        <v>20</v>
      </c>
      <c r="F692" s="3">
        <v>1283.51</v>
      </c>
      <c r="G692" s="3">
        <v>1372.74</v>
      </c>
      <c r="H692" s="3">
        <f>Table1[[#This Row],[Sale]]-Table1[[#This Row],[Cost]]</f>
        <v>89.230000000000018</v>
      </c>
      <c r="I692" s="4">
        <f>Table1[[#This Row],[Profit]]/Table1[[#This Row],[Sale]]</f>
        <v>6.5001384093127626E-2</v>
      </c>
      <c r="J692" s="5">
        <f t="shared" si="20"/>
        <v>2004</v>
      </c>
      <c r="K692" s="5">
        <f>MONTH(Table1[[#This Row],[Date]])</f>
        <v>11</v>
      </c>
      <c r="L692" s="5">
        <f>DAY(Table1[[#This Row],[Date]])</f>
        <v>1</v>
      </c>
      <c r="M692" s="5" t="str">
        <f t="shared" si="21"/>
        <v>Nov</v>
      </c>
    </row>
    <row r="693" spans="1:13" x14ac:dyDescent="0.25">
      <c r="A693" s="2">
        <v>38348</v>
      </c>
      <c r="B693" t="s">
        <v>22</v>
      </c>
      <c r="C693" t="s">
        <v>18</v>
      </c>
      <c r="D693" t="s">
        <v>13</v>
      </c>
      <c r="E693" t="s">
        <v>24</v>
      </c>
      <c r="F693" s="3">
        <v>4638.92</v>
      </c>
      <c r="G693" s="3">
        <v>6821.94</v>
      </c>
      <c r="H693" s="3">
        <f>Table1[[#This Row],[Sale]]-Table1[[#This Row],[Cost]]</f>
        <v>2183.0199999999995</v>
      </c>
      <c r="I693" s="4">
        <f>Table1[[#This Row],[Profit]]/Table1[[#This Row],[Sale]]</f>
        <v>0.31999988273130514</v>
      </c>
      <c r="J693" s="5">
        <f t="shared" si="20"/>
        <v>2004</v>
      </c>
      <c r="K693" s="5">
        <f>MONTH(Table1[[#This Row],[Date]])</f>
        <v>12</v>
      </c>
      <c r="L693" s="5">
        <f>DAY(Table1[[#This Row],[Date]])</f>
        <v>27</v>
      </c>
      <c r="M693" s="5" t="str">
        <f t="shared" si="21"/>
        <v>Dec</v>
      </c>
    </row>
    <row r="694" spans="1:13" x14ac:dyDescent="0.25">
      <c r="A694" s="2">
        <v>38851</v>
      </c>
      <c r="B694" t="s">
        <v>15</v>
      </c>
      <c r="C694" t="s">
        <v>23</v>
      </c>
      <c r="D694" t="s">
        <v>16</v>
      </c>
      <c r="E694" t="s">
        <v>24</v>
      </c>
      <c r="F694" s="3">
        <v>5409.03</v>
      </c>
      <c r="G694" s="3">
        <v>9325.91</v>
      </c>
      <c r="H694" s="3">
        <f>Table1[[#This Row],[Sale]]-Table1[[#This Row],[Cost]]</f>
        <v>3916.88</v>
      </c>
      <c r="I694" s="4">
        <f>Table1[[#This Row],[Profit]]/Table1[[#This Row],[Sale]]</f>
        <v>0.41999976409808804</v>
      </c>
      <c r="J694" s="5">
        <f t="shared" si="20"/>
        <v>2006</v>
      </c>
      <c r="K694" s="5">
        <f>MONTH(Table1[[#This Row],[Date]])</f>
        <v>5</v>
      </c>
      <c r="L694" s="5">
        <f>DAY(Table1[[#This Row],[Date]])</f>
        <v>14</v>
      </c>
      <c r="M694" s="5" t="str">
        <f t="shared" si="21"/>
        <v>May</v>
      </c>
    </row>
    <row r="695" spans="1:13" x14ac:dyDescent="0.25">
      <c r="A695" s="2">
        <v>38742</v>
      </c>
      <c r="B695" t="s">
        <v>21</v>
      </c>
      <c r="C695" t="s">
        <v>12</v>
      </c>
      <c r="D695" t="s">
        <v>19</v>
      </c>
      <c r="E695" t="s">
        <v>14</v>
      </c>
      <c r="F695" s="3">
        <v>517.76</v>
      </c>
      <c r="G695" s="3">
        <v>941.39</v>
      </c>
      <c r="H695" s="3">
        <f>Table1[[#This Row],[Sale]]-Table1[[#This Row],[Cost]]</f>
        <v>423.63</v>
      </c>
      <c r="I695" s="4">
        <f>Table1[[#This Row],[Profit]]/Table1[[#This Row],[Sale]]</f>
        <v>0.45000478016549994</v>
      </c>
      <c r="J695" s="5">
        <f t="shared" si="20"/>
        <v>2006</v>
      </c>
      <c r="K695" s="5">
        <f>MONTH(Table1[[#This Row],[Date]])</f>
        <v>1</v>
      </c>
      <c r="L695" s="5">
        <f>DAY(Table1[[#This Row],[Date]])</f>
        <v>25</v>
      </c>
      <c r="M695" s="5" t="str">
        <f t="shared" si="21"/>
        <v>Jan</v>
      </c>
    </row>
    <row r="696" spans="1:13" x14ac:dyDescent="0.25">
      <c r="A696" s="2">
        <v>38404</v>
      </c>
      <c r="B696" t="s">
        <v>11</v>
      </c>
      <c r="C696" t="s">
        <v>29</v>
      </c>
      <c r="D696" t="s">
        <v>19</v>
      </c>
      <c r="E696" t="s">
        <v>14</v>
      </c>
      <c r="F696" s="3">
        <v>131.88</v>
      </c>
      <c r="G696" s="3">
        <v>306.69</v>
      </c>
      <c r="H696" s="3">
        <f>Table1[[#This Row],[Sale]]-Table1[[#This Row],[Cost]]</f>
        <v>174.81</v>
      </c>
      <c r="I696" s="4">
        <f>Table1[[#This Row],[Profit]]/Table1[[#This Row],[Sale]]</f>
        <v>0.56998923994913431</v>
      </c>
      <c r="J696" s="5">
        <f t="shared" si="20"/>
        <v>2005</v>
      </c>
      <c r="K696" s="5">
        <f>MONTH(Table1[[#This Row],[Date]])</f>
        <v>2</v>
      </c>
      <c r="L696" s="5">
        <f>DAY(Table1[[#This Row],[Date]])</f>
        <v>21</v>
      </c>
      <c r="M696" s="5" t="str">
        <f t="shared" si="21"/>
        <v>Feb</v>
      </c>
    </row>
    <row r="697" spans="1:13" x14ac:dyDescent="0.25">
      <c r="A697" s="2">
        <v>38598</v>
      </c>
      <c r="B697" t="s">
        <v>22</v>
      </c>
      <c r="C697" t="s">
        <v>12</v>
      </c>
      <c r="D697" t="s">
        <v>28</v>
      </c>
      <c r="E697" t="s">
        <v>14</v>
      </c>
      <c r="F697" s="3">
        <v>3514.28</v>
      </c>
      <c r="G697" s="3">
        <v>5168.0600000000004</v>
      </c>
      <c r="H697" s="3">
        <f>Table1[[#This Row],[Sale]]-Table1[[#This Row],[Cost]]</f>
        <v>1653.7800000000002</v>
      </c>
      <c r="I697" s="4">
        <f>Table1[[#This Row],[Profit]]/Table1[[#This Row],[Sale]]</f>
        <v>0.32000015479696442</v>
      </c>
      <c r="J697" s="5">
        <f t="shared" si="20"/>
        <v>2005</v>
      </c>
      <c r="K697" s="5">
        <f>MONTH(Table1[[#This Row],[Date]])</f>
        <v>9</v>
      </c>
      <c r="L697" s="5">
        <f>DAY(Table1[[#This Row],[Date]])</f>
        <v>3</v>
      </c>
      <c r="M697" s="5" t="str">
        <f t="shared" si="21"/>
        <v>Sep</v>
      </c>
    </row>
    <row r="698" spans="1:13" x14ac:dyDescent="0.25">
      <c r="A698" s="2">
        <v>38705</v>
      </c>
      <c r="B698" t="s">
        <v>22</v>
      </c>
      <c r="C698" t="s">
        <v>18</v>
      </c>
      <c r="D698" t="s">
        <v>13</v>
      </c>
      <c r="E698" t="s">
        <v>14</v>
      </c>
      <c r="F698" s="3">
        <v>2986.31</v>
      </c>
      <c r="G698" s="3">
        <v>4391.63</v>
      </c>
      <c r="H698" s="3">
        <f>Table1[[#This Row],[Sale]]-Table1[[#This Row],[Cost]]</f>
        <v>1405.3200000000002</v>
      </c>
      <c r="I698" s="4">
        <f>Table1[[#This Row],[Profit]]/Table1[[#This Row],[Sale]]</f>
        <v>0.31999963567058248</v>
      </c>
      <c r="J698" s="5">
        <f t="shared" si="20"/>
        <v>2005</v>
      </c>
      <c r="K698" s="5">
        <f>MONTH(Table1[[#This Row],[Date]])</f>
        <v>12</v>
      </c>
      <c r="L698" s="5">
        <f>DAY(Table1[[#This Row],[Date]])</f>
        <v>19</v>
      </c>
      <c r="M698" s="5" t="str">
        <f t="shared" si="21"/>
        <v>Dec</v>
      </c>
    </row>
    <row r="699" spans="1:13" x14ac:dyDescent="0.25">
      <c r="A699" s="2">
        <v>38690</v>
      </c>
      <c r="B699" t="s">
        <v>22</v>
      </c>
      <c r="C699" t="s">
        <v>12</v>
      </c>
      <c r="D699" t="s">
        <v>16</v>
      </c>
      <c r="E699" t="s">
        <v>14</v>
      </c>
      <c r="F699" s="3">
        <v>2741.01</v>
      </c>
      <c r="G699" s="3">
        <v>6091.14</v>
      </c>
      <c r="H699" s="3">
        <f>Table1[[#This Row],[Sale]]-Table1[[#This Row],[Cost]]</f>
        <v>3350.13</v>
      </c>
      <c r="I699" s="4">
        <f>Table1[[#This Row],[Profit]]/Table1[[#This Row],[Sale]]</f>
        <v>0.5500004925186418</v>
      </c>
      <c r="J699" s="5">
        <f t="shared" si="20"/>
        <v>2005</v>
      </c>
      <c r="K699" s="5">
        <f>MONTH(Table1[[#This Row],[Date]])</f>
        <v>12</v>
      </c>
      <c r="L699" s="5">
        <f>DAY(Table1[[#This Row],[Date]])</f>
        <v>4</v>
      </c>
      <c r="M699" s="5" t="str">
        <f t="shared" si="21"/>
        <v>Dec</v>
      </c>
    </row>
    <row r="700" spans="1:13" x14ac:dyDescent="0.25">
      <c r="A700" s="2">
        <v>38381</v>
      </c>
      <c r="B700" t="s">
        <v>21</v>
      </c>
      <c r="C700" t="s">
        <v>29</v>
      </c>
      <c r="D700" t="s">
        <v>28</v>
      </c>
      <c r="E700" t="s">
        <v>24</v>
      </c>
      <c r="F700" s="3">
        <v>7371.44</v>
      </c>
      <c r="G700" s="3">
        <v>9828.59</v>
      </c>
      <c r="H700" s="3">
        <f>Table1[[#This Row],[Sale]]-Table1[[#This Row],[Cost]]</f>
        <v>2457.1500000000005</v>
      </c>
      <c r="I700" s="4">
        <f>Table1[[#This Row],[Profit]]/Table1[[#This Row],[Sale]]</f>
        <v>0.25000025435998452</v>
      </c>
      <c r="J700" s="5">
        <f t="shared" si="20"/>
        <v>2005</v>
      </c>
      <c r="K700" s="5">
        <f>MONTH(Table1[[#This Row],[Date]])</f>
        <v>1</v>
      </c>
      <c r="L700" s="5">
        <f>DAY(Table1[[#This Row],[Date]])</f>
        <v>29</v>
      </c>
      <c r="M700" s="5" t="str">
        <f t="shared" si="21"/>
        <v>Jan</v>
      </c>
    </row>
    <row r="701" spans="1:13" x14ac:dyDescent="0.25">
      <c r="A701" s="2">
        <v>38512</v>
      </c>
      <c r="B701" t="s">
        <v>17</v>
      </c>
      <c r="C701" t="s">
        <v>29</v>
      </c>
      <c r="D701" t="s">
        <v>13</v>
      </c>
      <c r="E701" t="s">
        <v>24</v>
      </c>
      <c r="F701" s="3">
        <v>5771</v>
      </c>
      <c r="G701" s="3">
        <v>9950</v>
      </c>
      <c r="H701" s="3">
        <f>Table1[[#This Row],[Sale]]-Table1[[#This Row],[Cost]]</f>
        <v>4179</v>
      </c>
      <c r="I701" s="4">
        <f>Table1[[#This Row],[Profit]]/Table1[[#This Row],[Sale]]</f>
        <v>0.42</v>
      </c>
      <c r="J701" s="5">
        <f t="shared" si="20"/>
        <v>2005</v>
      </c>
      <c r="K701" s="5">
        <f>MONTH(Table1[[#This Row],[Date]])</f>
        <v>6</v>
      </c>
      <c r="L701" s="5">
        <f>DAY(Table1[[#This Row],[Date]])</f>
        <v>9</v>
      </c>
      <c r="M701" s="5" t="str">
        <f t="shared" si="21"/>
        <v>Jun</v>
      </c>
    </row>
    <row r="702" spans="1:13" x14ac:dyDescent="0.25">
      <c r="A702" s="2">
        <v>38263</v>
      </c>
      <c r="B702" t="s">
        <v>15</v>
      </c>
      <c r="C702" t="s">
        <v>12</v>
      </c>
      <c r="D702" t="s">
        <v>28</v>
      </c>
      <c r="E702" t="s">
        <v>20</v>
      </c>
      <c r="F702" s="3">
        <v>975.03</v>
      </c>
      <c r="G702" s="3">
        <v>2267.52</v>
      </c>
      <c r="H702" s="3">
        <f>Table1[[#This Row],[Sale]]-Table1[[#This Row],[Cost]]</f>
        <v>1292.49</v>
      </c>
      <c r="I702" s="4">
        <f>Table1[[#This Row],[Profit]]/Table1[[#This Row],[Sale]]</f>
        <v>0.57000158763759523</v>
      </c>
      <c r="J702" s="5">
        <f t="shared" si="20"/>
        <v>2004</v>
      </c>
      <c r="K702" s="5">
        <f>MONTH(Table1[[#This Row],[Date]])</f>
        <v>10</v>
      </c>
      <c r="L702" s="5">
        <f>DAY(Table1[[#This Row],[Date]])</f>
        <v>3</v>
      </c>
      <c r="M702" s="5" t="str">
        <f t="shared" si="21"/>
        <v>Oct</v>
      </c>
    </row>
    <row r="703" spans="1:13" x14ac:dyDescent="0.25">
      <c r="A703" s="2">
        <v>38408</v>
      </c>
      <c r="B703" t="s">
        <v>22</v>
      </c>
      <c r="C703" t="s">
        <v>12</v>
      </c>
      <c r="D703" t="s">
        <v>13</v>
      </c>
      <c r="E703" t="s">
        <v>20</v>
      </c>
      <c r="F703" s="3">
        <v>3112.87</v>
      </c>
      <c r="G703" s="3">
        <v>4150.49</v>
      </c>
      <c r="H703" s="3">
        <f>Table1[[#This Row],[Sale]]-Table1[[#This Row],[Cost]]</f>
        <v>1037.6199999999999</v>
      </c>
      <c r="I703" s="4">
        <f>Table1[[#This Row],[Profit]]/Table1[[#This Row],[Sale]]</f>
        <v>0.24999939766148091</v>
      </c>
      <c r="J703" s="5">
        <f t="shared" si="20"/>
        <v>2005</v>
      </c>
      <c r="K703" s="5">
        <f>MONTH(Table1[[#This Row],[Date]])</f>
        <v>2</v>
      </c>
      <c r="L703" s="5">
        <f>DAY(Table1[[#This Row],[Date]])</f>
        <v>25</v>
      </c>
      <c r="M703" s="5" t="str">
        <f t="shared" si="21"/>
        <v>Feb</v>
      </c>
    </row>
    <row r="704" spans="1:13" x14ac:dyDescent="0.25">
      <c r="A704" s="2">
        <v>38725</v>
      </c>
      <c r="B704" t="s">
        <v>21</v>
      </c>
      <c r="C704" t="s">
        <v>27</v>
      </c>
      <c r="D704" t="s">
        <v>28</v>
      </c>
      <c r="E704" t="s">
        <v>25</v>
      </c>
      <c r="F704" s="3">
        <v>1194.3900000000001</v>
      </c>
      <c r="G704" s="3">
        <v>2654.19</v>
      </c>
      <c r="H704" s="3">
        <f>Table1[[#This Row],[Sale]]-Table1[[#This Row],[Cost]]</f>
        <v>1459.8</v>
      </c>
      <c r="I704" s="4">
        <f>Table1[[#This Row],[Profit]]/Table1[[#This Row],[Sale]]</f>
        <v>0.5499983045674951</v>
      </c>
      <c r="J704" s="5">
        <f t="shared" si="20"/>
        <v>2006</v>
      </c>
      <c r="K704" s="5">
        <f>MONTH(Table1[[#This Row],[Date]])</f>
        <v>1</v>
      </c>
      <c r="L704" s="5">
        <f>DAY(Table1[[#This Row],[Date]])</f>
        <v>8</v>
      </c>
      <c r="M704" s="5" t="str">
        <f t="shared" si="21"/>
        <v>Jan</v>
      </c>
    </row>
    <row r="705" spans="1:13" x14ac:dyDescent="0.25">
      <c r="A705" s="2">
        <v>38162</v>
      </c>
      <c r="B705" t="s">
        <v>21</v>
      </c>
      <c r="C705" t="s">
        <v>18</v>
      </c>
      <c r="D705" t="s">
        <v>28</v>
      </c>
      <c r="E705" t="s">
        <v>14</v>
      </c>
      <c r="F705" s="3">
        <v>1712.08</v>
      </c>
      <c r="G705" s="3">
        <v>1945.54</v>
      </c>
      <c r="H705" s="3">
        <f>Table1[[#This Row],[Sale]]-Table1[[#This Row],[Cost]]</f>
        <v>233.46000000000004</v>
      </c>
      <c r="I705" s="4">
        <f>Table1[[#This Row],[Profit]]/Table1[[#This Row],[Sale]]</f>
        <v>0.11999753281865191</v>
      </c>
      <c r="J705" s="5">
        <f t="shared" si="20"/>
        <v>2004</v>
      </c>
      <c r="K705" s="5">
        <f>MONTH(Table1[[#This Row],[Date]])</f>
        <v>6</v>
      </c>
      <c r="L705" s="5">
        <f>DAY(Table1[[#This Row],[Date]])</f>
        <v>24</v>
      </c>
      <c r="M705" s="5" t="str">
        <f t="shared" si="21"/>
        <v>Jun</v>
      </c>
    </row>
    <row r="706" spans="1:13" x14ac:dyDescent="0.25">
      <c r="A706" s="2">
        <v>38849</v>
      </c>
      <c r="B706" t="s">
        <v>17</v>
      </c>
      <c r="C706" t="s">
        <v>23</v>
      </c>
      <c r="D706" t="s">
        <v>28</v>
      </c>
      <c r="E706" t="s">
        <v>25</v>
      </c>
      <c r="F706" s="3">
        <v>4764.9799999999996</v>
      </c>
      <c r="G706" s="3">
        <v>8215.49</v>
      </c>
      <c r="H706" s="3">
        <f>Table1[[#This Row],[Sale]]-Table1[[#This Row],[Cost]]</f>
        <v>3450.51</v>
      </c>
      <c r="I706" s="4">
        <f>Table1[[#This Row],[Profit]]/Table1[[#This Row],[Sale]]</f>
        <v>0.42000051122939719</v>
      </c>
      <c r="J706" s="5">
        <f t="shared" ref="J706:J769" si="22">YEAR(A:A)</f>
        <v>2006</v>
      </c>
      <c r="K706" s="5">
        <f>MONTH(Table1[[#This Row],[Date]])</f>
        <v>5</v>
      </c>
      <c r="L706" s="5">
        <f>DAY(Table1[[#This Row],[Date]])</f>
        <v>12</v>
      </c>
      <c r="M706" s="5" t="str">
        <f t="shared" ref="M706:M769" si="23">CHOOSE(K706,"Jan", "Feb", "Mar", "Apr", "May", "Jun", "Jul", "Aug", "Sep", "Oct", "Nov", "Dec")</f>
        <v>May</v>
      </c>
    </row>
    <row r="707" spans="1:13" x14ac:dyDescent="0.25">
      <c r="A707" s="2">
        <v>38499</v>
      </c>
      <c r="B707" t="s">
        <v>15</v>
      </c>
      <c r="C707" t="s">
        <v>18</v>
      </c>
      <c r="D707" t="s">
        <v>19</v>
      </c>
      <c r="E707" t="s">
        <v>24</v>
      </c>
      <c r="F707" s="3">
        <v>3352.41</v>
      </c>
      <c r="G707" s="3">
        <v>9060.58</v>
      </c>
      <c r="H707" s="3">
        <f>Table1[[#This Row],[Sale]]-Table1[[#This Row],[Cost]]</f>
        <v>5708.17</v>
      </c>
      <c r="I707" s="4">
        <f>Table1[[#This Row],[Profit]]/Table1[[#This Row],[Sale]]</f>
        <v>0.63000050769376792</v>
      </c>
      <c r="J707" s="5">
        <f t="shared" si="22"/>
        <v>2005</v>
      </c>
      <c r="K707" s="5">
        <f>MONTH(Table1[[#This Row],[Date]])</f>
        <v>5</v>
      </c>
      <c r="L707" s="5">
        <f>DAY(Table1[[#This Row],[Date]])</f>
        <v>27</v>
      </c>
      <c r="M707" s="5" t="str">
        <f t="shared" si="23"/>
        <v>May</v>
      </c>
    </row>
    <row r="708" spans="1:13" x14ac:dyDescent="0.25">
      <c r="A708" s="2">
        <v>38181</v>
      </c>
      <c r="B708" t="s">
        <v>15</v>
      </c>
      <c r="C708" t="s">
        <v>23</v>
      </c>
      <c r="D708" t="s">
        <v>19</v>
      </c>
      <c r="E708" t="s">
        <v>20</v>
      </c>
      <c r="F708" s="3">
        <v>690.33</v>
      </c>
      <c r="G708" s="3">
        <v>1190.23</v>
      </c>
      <c r="H708" s="3">
        <f>Table1[[#This Row],[Sale]]-Table1[[#This Row],[Cost]]</f>
        <v>499.9</v>
      </c>
      <c r="I708" s="4">
        <f>Table1[[#This Row],[Profit]]/Table1[[#This Row],[Sale]]</f>
        <v>0.42000285659074293</v>
      </c>
      <c r="J708" s="5">
        <f t="shared" si="22"/>
        <v>2004</v>
      </c>
      <c r="K708" s="5">
        <f>MONTH(Table1[[#This Row],[Date]])</f>
        <v>7</v>
      </c>
      <c r="L708" s="5">
        <f>DAY(Table1[[#This Row],[Date]])</f>
        <v>13</v>
      </c>
      <c r="M708" s="5" t="str">
        <f t="shared" si="23"/>
        <v>Jul</v>
      </c>
    </row>
    <row r="709" spans="1:13" x14ac:dyDescent="0.25">
      <c r="A709" s="2">
        <v>38640</v>
      </c>
      <c r="B709" t="s">
        <v>21</v>
      </c>
      <c r="C709" t="s">
        <v>12</v>
      </c>
      <c r="D709" t="s">
        <v>13</v>
      </c>
      <c r="E709" t="s">
        <v>14</v>
      </c>
      <c r="F709" s="3">
        <v>1509.89</v>
      </c>
      <c r="G709" s="3">
        <v>2745.26</v>
      </c>
      <c r="H709" s="3">
        <f>Table1[[#This Row],[Sale]]-Table1[[#This Row],[Cost]]</f>
        <v>1235.3700000000001</v>
      </c>
      <c r="I709" s="4">
        <f>Table1[[#This Row],[Profit]]/Table1[[#This Row],[Sale]]</f>
        <v>0.45000109279266809</v>
      </c>
      <c r="J709" s="5">
        <f t="shared" si="22"/>
        <v>2005</v>
      </c>
      <c r="K709" s="5">
        <f>MONTH(Table1[[#This Row],[Date]])</f>
        <v>10</v>
      </c>
      <c r="L709" s="5">
        <f>DAY(Table1[[#This Row],[Date]])</f>
        <v>15</v>
      </c>
      <c r="M709" s="5" t="str">
        <f t="shared" si="23"/>
        <v>Oct</v>
      </c>
    </row>
    <row r="710" spans="1:13" x14ac:dyDescent="0.25">
      <c r="A710" s="2">
        <v>38875</v>
      </c>
      <c r="B710" t="s">
        <v>22</v>
      </c>
      <c r="C710" t="s">
        <v>23</v>
      </c>
      <c r="D710" t="s">
        <v>19</v>
      </c>
      <c r="E710" t="s">
        <v>14</v>
      </c>
      <c r="F710" s="3">
        <v>1569.51</v>
      </c>
      <c r="G710" s="3">
        <v>2660.19</v>
      </c>
      <c r="H710" s="3">
        <f>Table1[[#This Row],[Sale]]-Table1[[#This Row],[Cost]]</f>
        <v>1090.68</v>
      </c>
      <c r="I710" s="4">
        <f>Table1[[#This Row],[Profit]]/Table1[[#This Row],[Sale]]</f>
        <v>0.41000078941729728</v>
      </c>
      <c r="J710" s="5">
        <f t="shared" si="22"/>
        <v>2006</v>
      </c>
      <c r="K710" s="5">
        <f>MONTH(Table1[[#This Row],[Date]])</f>
        <v>6</v>
      </c>
      <c r="L710" s="5">
        <f>DAY(Table1[[#This Row],[Date]])</f>
        <v>7</v>
      </c>
      <c r="M710" s="5" t="str">
        <f t="shared" si="23"/>
        <v>Jun</v>
      </c>
    </row>
    <row r="711" spans="1:13" x14ac:dyDescent="0.25">
      <c r="A711" s="2">
        <v>38320</v>
      </c>
      <c r="B711" t="s">
        <v>22</v>
      </c>
      <c r="C711" t="s">
        <v>12</v>
      </c>
      <c r="D711" t="s">
        <v>28</v>
      </c>
      <c r="E711" t="s">
        <v>14</v>
      </c>
      <c r="F711" s="3">
        <v>2962.62</v>
      </c>
      <c r="G711" s="3">
        <v>5107.96</v>
      </c>
      <c r="H711" s="3">
        <f>Table1[[#This Row],[Sale]]-Table1[[#This Row],[Cost]]</f>
        <v>2145.34</v>
      </c>
      <c r="I711" s="4">
        <f>Table1[[#This Row],[Profit]]/Table1[[#This Row],[Sale]]</f>
        <v>0.41999937352680916</v>
      </c>
      <c r="J711" s="5">
        <f t="shared" si="22"/>
        <v>2004</v>
      </c>
      <c r="K711" s="5">
        <f>MONTH(Table1[[#This Row],[Date]])</f>
        <v>11</v>
      </c>
      <c r="L711" s="5">
        <f>DAY(Table1[[#This Row],[Date]])</f>
        <v>29</v>
      </c>
      <c r="M711" s="5" t="str">
        <f t="shared" si="23"/>
        <v>Nov</v>
      </c>
    </row>
    <row r="712" spans="1:13" x14ac:dyDescent="0.25">
      <c r="A712" s="2">
        <v>38786</v>
      </c>
      <c r="B712" t="s">
        <v>21</v>
      </c>
      <c r="C712" t="s">
        <v>12</v>
      </c>
      <c r="D712" t="s">
        <v>28</v>
      </c>
      <c r="E712" t="s">
        <v>24</v>
      </c>
      <c r="F712" s="3">
        <v>2963.23</v>
      </c>
      <c r="G712" s="3">
        <v>8008.74</v>
      </c>
      <c r="H712" s="3">
        <f>Table1[[#This Row],[Sale]]-Table1[[#This Row],[Cost]]</f>
        <v>5045.51</v>
      </c>
      <c r="I712" s="4">
        <f>Table1[[#This Row],[Profit]]/Table1[[#This Row],[Sale]]</f>
        <v>0.63000047448162888</v>
      </c>
      <c r="J712" s="5">
        <f t="shared" si="22"/>
        <v>2006</v>
      </c>
      <c r="K712" s="5">
        <f>MONTH(Table1[[#This Row],[Date]])</f>
        <v>3</v>
      </c>
      <c r="L712" s="5">
        <f>DAY(Table1[[#This Row],[Date]])</f>
        <v>10</v>
      </c>
      <c r="M712" s="5" t="str">
        <f t="shared" si="23"/>
        <v>Mar</v>
      </c>
    </row>
    <row r="713" spans="1:13" x14ac:dyDescent="0.25">
      <c r="A713" s="2">
        <v>38400</v>
      </c>
      <c r="B713" t="s">
        <v>21</v>
      </c>
      <c r="C713" t="s">
        <v>27</v>
      </c>
      <c r="D713" t="s">
        <v>28</v>
      </c>
      <c r="E713" t="s">
        <v>24</v>
      </c>
      <c r="F713" s="3">
        <v>2266.8000000000002</v>
      </c>
      <c r="G713" s="3">
        <v>5271.62</v>
      </c>
      <c r="H713" s="3">
        <f>Table1[[#This Row],[Sale]]-Table1[[#This Row],[Cost]]</f>
        <v>3004.8199999999997</v>
      </c>
      <c r="I713" s="4">
        <f>Table1[[#This Row],[Profit]]/Table1[[#This Row],[Sale]]</f>
        <v>0.56999935503697152</v>
      </c>
      <c r="J713" s="5">
        <f t="shared" si="22"/>
        <v>2005</v>
      </c>
      <c r="K713" s="5">
        <f>MONTH(Table1[[#This Row],[Date]])</f>
        <v>2</v>
      </c>
      <c r="L713" s="5">
        <f>DAY(Table1[[#This Row],[Date]])</f>
        <v>17</v>
      </c>
      <c r="M713" s="5" t="str">
        <f t="shared" si="23"/>
        <v>Feb</v>
      </c>
    </row>
    <row r="714" spans="1:13" x14ac:dyDescent="0.25">
      <c r="A714" s="2">
        <v>38833</v>
      </c>
      <c r="B714" t="s">
        <v>26</v>
      </c>
      <c r="C714" t="s">
        <v>12</v>
      </c>
      <c r="D714" t="s">
        <v>19</v>
      </c>
      <c r="E714" t="s">
        <v>14</v>
      </c>
      <c r="F714" s="3">
        <v>7054.78</v>
      </c>
      <c r="G714" s="3">
        <v>8016.79</v>
      </c>
      <c r="H714" s="3">
        <f>Table1[[#This Row],[Sale]]-Table1[[#This Row],[Cost]]</f>
        <v>962.01000000000022</v>
      </c>
      <c r="I714" s="4">
        <f>Table1[[#This Row],[Profit]]/Table1[[#This Row],[Sale]]</f>
        <v>0.11999940125661271</v>
      </c>
      <c r="J714" s="5">
        <f t="shared" si="22"/>
        <v>2006</v>
      </c>
      <c r="K714" s="5">
        <f>MONTH(Table1[[#This Row],[Date]])</f>
        <v>4</v>
      </c>
      <c r="L714" s="5">
        <f>DAY(Table1[[#This Row],[Date]])</f>
        <v>26</v>
      </c>
      <c r="M714" s="5" t="str">
        <f t="shared" si="23"/>
        <v>Apr</v>
      </c>
    </row>
    <row r="715" spans="1:13" x14ac:dyDescent="0.25">
      <c r="A715" s="2">
        <v>38707</v>
      </c>
      <c r="B715" t="s">
        <v>21</v>
      </c>
      <c r="C715" t="s">
        <v>12</v>
      </c>
      <c r="D715" t="s">
        <v>19</v>
      </c>
      <c r="E715" t="s">
        <v>25</v>
      </c>
      <c r="F715" s="3">
        <v>2032.72</v>
      </c>
      <c r="G715" s="3">
        <v>5493.83</v>
      </c>
      <c r="H715" s="3">
        <f>Table1[[#This Row],[Sale]]-Table1[[#This Row],[Cost]]</f>
        <v>3461.1099999999997</v>
      </c>
      <c r="I715" s="4">
        <f>Table1[[#This Row],[Profit]]/Table1[[#This Row],[Sale]]</f>
        <v>0.62999947213510421</v>
      </c>
      <c r="J715" s="5">
        <f t="shared" si="22"/>
        <v>2005</v>
      </c>
      <c r="K715" s="5">
        <f>MONTH(Table1[[#This Row],[Date]])</f>
        <v>12</v>
      </c>
      <c r="L715" s="5">
        <f>DAY(Table1[[#This Row],[Date]])</f>
        <v>21</v>
      </c>
      <c r="M715" s="5" t="str">
        <f t="shared" si="23"/>
        <v>Dec</v>
      </c>
    </row>
    <row r="716" spans="1:13" x14ac:dyDescent="0.25">
      <c r="A716" s="2">
        <v>38566</v>
      </c>
      <c r="B716" t="s">
        <v>17</v>
      </c>
      <c r="C716" t="s">
        <v>18</v>
      </c>
      <c r="D716" t="s">
        <v>28</v>
      </c>
      <c r="E716" t="s">
        <v>24</v>
      </c>
      <c r="F716" s="3">
        <v>3695.77</v>
      </c>
      <c r="G716" s="3">
        <v>9988.56</v>
      </c>
      <c r="H716" s="3">
        <f>Table1[[#This Row],[Sale]]-Table1[[#This Row],[Cost]]</f>
        <v>6292.7899999999991</v>
      </c>
      <c r="I716" s="4">
        <f>Table1[[#This Row],[Profit]]/Table1[[#This Row],[Sale]]</f>
        <v>0.62999971967931312</v>
      </c>
      <c r="J716" s="5">
        <f t="shared" si="22"/>
        <v>2005</v>
      </c>
      <c r="K716" s="5">
        <f>MONTH(Table1[[#This Row],[Date]])</f>
        <v>8</v>
      </c>
      <c r="L716" s="5">
        <f>DAY(Table1[[#This Row],[Date]])</f>
        <v>2</v>
      </c>
      <c r="M716" s="5" t="str">
        <f t="shared" si="23"/>
        <v>Aug</v>
      </c>
    </row>
    <row r="717" spans="1:13" x14ac:dyDescent="0.25">
      <c r="A717" s="2">
        <v>38235</v>
      </c>
      <c r="B717" t="s">
        <v>21</v>
      </c>
      <c r="C717" t="s">
        <v>23</v>
      </c>
      <c r="D717" t="s">
        <v>28</v>
      </c>
      <c r="E717" t="s">
        <v>24</v>
      </c>
      <c r="F717" s="3">
        <v>5486.82</v>
      </c>
      <c r="G717" s="3">
        <v>5868.26</v>
      </c>
      <c r="H717" s="3">
        <f>Table1[[#This Row],[Sale]]-Table1[[#This Row],[Cost]]</f>
        <v>381.44000000000051</v>
      </c>
      <c r="I717" s="4">
        <f>Table1[[#This Row],[Profit]]/Table1[[#This Row],[Sale]]</f>
        <v>6.5000528265618848E-2</v>
      </c>
      <c r="J717" s="5">
        <f t="shared" si="22"/>
        <v>2004</v>
      </c>
      <c r="K717" s="5">
        <f>MONTH(Table1[[#This Row],[Date]])</f>
        <v>9</v>
      </c>
      <c r="L717" s="5">
        <f>DAY(Table1[[#This Row],[Date]])</f>
        <v>5</v>
      </c>
      <c r="M717" s="5" t="str">
        <f t="shared" si="23"/>
        <v>Sep</v>
      </c>
    </row>
    <row r="718" spans="1:13" x14ac:dyDescent="0.25">
      <c r="A718" s="2">
        <v>38308</v>
      </c>
      <c r="B718" t="s">
        <v>22</v>
      </c>
      <c r="C718" t="s">
        <v>18</v>
      </c>
      <c r="D718" t="s">
        <v>19</v>
      </c>
      <c r="E718" t="s">
        <v>24</v>
      </c>
      <c r="F718" s="3">
        <v>3404.2</v>
      </c>
      <c r="G718" s="3">
        <v>3868.41</v>
      </c>
      <c r="H718" s="3">
        <f>Table1[[#This Row],[Sale]]-Table1[[#This Row],[Cost]]</f>
        <v>464.21000000000004</v>
      </c>
      <c r="I718" s="4">
        <f>Table1[[#This Row],[Profit]]/Table1[[#This Row],[Sale]]</f>
        <v>0.12000020680331197</v>
      </c>
      <c r="J718" s="5">
        <f t="shared" si="22"/>
        <v>2004</v>
      </c>
      <c r="K718" s="5">
        <f>MONTH(Table1[[#This Row],[Date]])</f>
        <v>11</v>
      </c>
      <c r="L718" s="5">
        <f>DAY(Table1[[#This Row],[Date]])</f>
        <v>17</v>
      </c>
      <c r="M718" s="5" t="str">
        <f t="shared" si="23"/>
        <v>Nov</v>
      </c>
    </row>
    <row r="719" spans="1:13" x14ac:dyDescent="0.25">
      <c r="A719" s="2">
        <v>38469</v>
      </c>
      <c r="B719" t="s">
        <v>15</v>
      </c>
      <c r="C719" t="s">
        <v>18</v>
      </c>
      <c r="D719" t="s">
        <v>28</v>
      </c>
      <c r="E719" t="s">
        <v>20</v>
      </c>
      <c r="F719" s="3">
        <v>3027.87</v>
      </c>
      <c r="G719" s="3">
        <v>4452.75</v>
      </c>
      <c r="H719" s="3">
        <f>Table1[[#This Row],[Sale]]-Table1[[#This Row],[Cost]]</f>
        <v>1424.88</v>
      </c>
      <c r="I719" s="4">
        <f>Table1[[#This Row],[Profit]]/Table1[[#This Row],[Sale]]</f>
        <v>0.32</v>
      </c>
      <c r="J719" s="5">
        <f t="shared" si="22"/>
        <v>2005</v>
      </c>
      <c r="K719" s="5">
        <f>MONTH(Table1[[#This Row],[Date]])</f>
        <v>4</v>
      </c>
      <c r="L719" s="5">
        <f>DAY(Table1[[#This Row],[Date]])</f>
        <v>27</v>
      </c>
      <c r="M719" s="5" t="str">
        <f t="shared" si="23"/>
        <v>Apr</v>
      </c>
    </row>
    <row r="720" spans="1:13" x14ac:dyDescent="0.25">
      <c r="A720" s="2">
        <v>38162</v>
      </c>
      <c r="B720" t="s">
        <v>26</v>
      </c>
      <c r="C720" t="s">
        <v>18</v>
      </c>
      <c r="D720" t="s">
        <v>16</v>
      </c>
      <c r="E720" t="s">
        <v>25</v>
      </c>
      <c r="F720" s="3">
        <v>6180.38</v>
      </c>
      <c r="G720" s="3">
        <v>6610.03</v>
      </c>
      <c r="H720" s="3">
        <f>Table1[[#This Row],[Sale]]-Table1[[#This Row],[Cost]]</f>
        <v>429.64999999999964</v>
      </c>
      <c r="I720" s="4">
        <f>Table1[[#This Row],[Profit]]/Table1[[#This Row],[Sale]]</f>
        <v>6.4999704993774554E-2</v>
      </c>
      <c r="J720" s="5">
        <f t="shared" si="22"/>
        <v>2004</v>
      </c>
      <c r="K720" s="5">
        <f>MONTH(Table1[[#This Row],[Date]])</f>
        <v>6</v>
      </c>
      <c r="L720" s="5">
        <f>DAY(Table1[[#This Row],[Date]])</f>
        <v>24</v>
      </c>
      <c r="M720" s="5" t="str">
        <f t="shared" si="23"/>
        <v>Jun</v>
      </c>
    </row>
    <row r="721" spans="1:13" x14ac:dyDescent="0.25">
      <c r="A721" s="2">
        <v>38538</v>
      </c>
      <c r="B721" t="s">
        <v>15</v>
      </c>
      <c r="C721" t="s">
        <v>23</v>
      </c>
      <c r="D721" t="s">
        <v>19</v>
      </c>
      <c r="E721" t="s">
        <v>24</v>
      </c>
      <c r="F721" s="3">
        <v>700.9</v>
      </c>
      <c r="G721" s="3">
        <v>749.63</v>
      </c>
      <c r="H721" s="3">
        <f>Table1[[#This Row],[Sale]]-Table1[[#This Row],[Cost]]</f>
        <v>48.730000000000018</v>
      </c>
      <c r="I721" s="4">
        <f>Table1[[#This Row],[Profit]]/Table1[[#This Row],[Sale]]</f>
        <v>6.5005402665314918E-2</v>
      </c>
      <c r="J721" s="5">
        <f t="shared" si="22"/>
        <v>2005</v>
      </c>
      <c r="K721" s="5">
        <f>MONTH(Table1[[#This Row],[Date]])</f>
        <v>7</v>
      </c>
      <c r="L721" s="5">
        <f>DAY(Table1[[#This Row],[Date]])</f>
        <v>5</v>
      </c>
      <c r="M721" s="5" t="str">
        <f t="shared" si="23"/>
        <v>Jul</v>
      </c>
    </row>
    <row r="722" spans="1:13" x14ac:dyDescent="0.25">
      <c r="A722" s="2">
        <v>38778</v>
      </c>
      <c r="B722" t="s">
        <v>22</v>
      </c>
      <c r="C722" t="s">
        <v>12</v>
      </c>
      <c r="D722" t="s">
        <v>19</v>
      </c>
      <c r="E722" t="s">
        <v>25</v>
      </c>
      <c r="F722" s="3">
        <v>2916.71</v>
      </c>
      <c r="G722" s="3">
        <v>3119.48</v>
      </c>
      <c r="H722" s="3">
        <f>Table1[[#This Row],[Sale]]-Table1[[#This Row],[Cost]]</f>
        <v>202.76999999999998</v>
      </c>
      <c r="I722" s="4">
        <f>Table1[[#This Row],[Profit]]/Table1[[#This Row],[Sale]]</f>
        <v>6.5001218151743229E-2</v>
      </c>
      <c r="J722" s="5">
        <f t="shared" si="22"/>
        <v>2006</v>
      </c>
      <c r="K722" s="5">
        <f>MONTH(Table1[[#This Row],[Date]])</f>
        <v>3</v>
      </c>
      <c r="L722" s="5">
        <f>DAY(Table1[[#This Row],[Date]])</f>
        <v>2</v>
      </c>
      <c r="M722" s="5" t="str">
        <f t="shared" si="23"/>
        <v>Mar</v>
      </c>
    </row>
    <row r="723" spans="1:13" x14ac:dyDescent="0.25">
      <c r="A723" s="2">
        <v>38675</v>
      </c>
      <c r="B723" t="s">
        <v>17</v>
      </c>
      <c r="C723" t="s">
        <v>29</v>
      </c>
      <c r="D723" t="s">
        <v>13</v>
      </c>
      <c r="E723" t="s">
        <v>25</v>
      </c>
      <c r="F723" s="3">
        <v>5560.98</v>
      </c>
      <c r="G723" s="3">
        <v>5947.57</v>
      </c>
      <c r="H723" s="3">
        <f>Table1[[#This Row],[Sale]]-Table1[[#This Row],[Cost]]</f>
        <v>386.59000000000015</v>
      </c>
      <c r="I723" s="4">
        <f>Table1[[#This Row],[Profit]]/Table1[[#This Row],[Sale]]</f>
        <v>6.4999655321417008E-2</v>
      </c>
      <c r="J723" s="5">
        <f t="shared" si="22"/>
        <v>2005</v>
      </c>
      <c r="K723" s="5">
        <f>MONTH(Table1[[#This Row],[Date]])</f>
        <v>11</v>
      </c>
      <c r="L723" s="5">
        <f>DAY(Table1[[#This Row],[Date]])</f>
        <v>19</v>
      </c>
      <c r="M723" s="5" t="str">
        <f t="shared" si="23"/>
        <v>Nov</v>
      </c>
    </row>
    <row r="724" spans="1:13" x14ac:dyDescent="0.25">
      <c r="A724" s="2">
        <v>38600</v>
      </c>
      <c r="B724" t="s">
        <v>11</v>
      </c>
      <c r="C724" t="s">
        <v>12</v>
      </c>
      <c r="D724" t="s">
        <v>16</v>
      </c>
      <c r="E724" t="s">
        <v>25</v>
      </c>
      <c r="F724" s="3">
        <v>3209.38</v>
      </c>
      <c r="G724" s="3">
        <v>5439.63</v>
      </c>
      <c r="H724" s="3">
        <f>Table1[[#This Row],[Sale]]-Table1[[#This Row],[Cost]]</f>
        <v>2230.25</v>
      </c>
      <c r="I724" s="4">
        <f>Table1[[#This Row],[Profit]]/Table1[[#This Row],[Sale]]</f>
        <v>0.41000031252125602</v>
      </c>
      <c r="J724" s="5">
        <f t="shared" si="22"/>
        <v>2005</v>
      </c>
      <c r="K724" s="5">
        <f>MONTH(Table1[[#This Row],[Date]])</f>
        <v>9</v>
      </c>
      <c r="L724" s="5">
        <f>DAY(Table1[[#This Row],[Date]])</f>
        <v>5</v>
      </c>
      <c r="M724" s="5" t="str">
        <f t="shared" si="23"/>
        <v>Sep</v>
      </c>
    </row>
    <row r="725" spans="1:13" x14ac:dyDescent="0.25">
      <c r="A725" s="2">
        <v>38399</v>
      </c>
      <c r="B725" t="s">
        <v>22</v>
      </c>
      <c r="C725" t="s">
        <v>27</v>
      </c>
      <c r="D725" t="s">
        <v>16</v>
      </c>
      <c r="E725" t="s">
        <v>14</v>
      </c>
      <c r="F725" s="3">
        <v>5085.13</v>
      </c>
      <c r="G725" s="3">
        <v>8618.86</v>
      </c>
      <c r="H725" s="3">
        <f>Table1[[#This Row],[Sale]]-Table1[[#This Row],[Cost]]</f>
        <v>3533.7300000000005</v>
      </c>
      <c r="I725" s="4">
        <f>Table1[[#This Row],[Profit]]/Table1[[#This Row],[Sale]]</f>
        <v>0.40999969833597483</v>
      </c>
      <c r="J725" s="5">
        <f t="shared" si="22"/>
        <v>2005</v>
      </c>
      <c r="K725" s="5">
        <f>MONTH(Table1[[#This Row],[Date]])</f>
        <v>2</v>
      </c>
      <c r="L725" s="5">
        <f>DAY(Table1[[#This Row],[Date]])</f>
        <v>16</v>
      </c>
      <c r="M725" s="5" t="str">
        <f t="shared" si="23"/>
        <v>Feb</v>
      </c>
    </row>
    <row r="726" spans="1:13" x14ac:dyDescent="0.25">
      <c r="A726" s="2">
        <v>38231</v>
      </c>
      <c r="B726" t="s">
        <v>15</v>
      </c>
      <c r="C726" t="s">
        <v>27</v>
      </c>
      <c r="D726" t="s">
        <v>16</v>
      </c>
      <c r="E726" t="s">
        <v>25</v>
      </c>
      <c r="F726" s="3">
        <v>5018.37</v>
      </c>
      <c r="G726" s="3">
        <v>7379.96</v>
      </c>
      <c r="H726" s="3">
        <f>Table1[[#This Row],[Sale]]-Table1[[#This Row],[Cost]]</f>
        <v>2361.59</v>
      </c>
      <c r="I726" s="4">
        <f>Table1[[#This Row],[Profit]]/Table1[[#This Row],[Sale]]</f>
        <v>0.32000037940585047</v>
      </c>
      <c r="J726" s="5">
        <f t="shared" si="22"/>
        <v>2004</v>
      </c>
      <c r="K726" s="5">
        <f>MONTH(Table1[[#This Row],[Date]])</f>
        <v>9</v>
      </c>
      <c r="L726" s="5">
        <f>DAY(Table1[[#This Row],[Date]])</f>
        <v>1</v>
      </c>
      <c r="M726" s="5" t="str">
        <f t="shared" si="23"/>
        <v>Sep</v>
      </c>
    </row>
    <row r="727" spans="1:13" x14ac:dyDescent="0.25">
      <c r="A727" s="2">
        <v>38177</v>
      </c>
      <c r="B727" t="s">
        <v>15</v>
      </c>
      <c r="C727" t="s">
        <v>12</v>
      </c>
      <c r="D727" t="s">
        <v>28</v>
      </c>
      <c r="E727" t="s">
        <v>14</v>
      </c>
      <c r="F727" s="3">
        <v>3034.39</v>
      </c>
      <c r="G727" s="3">
        <v>8201.0499999999993</v>
      </c>
      <c r="H727" s="3">
        <f>Table1[[#This Row],[Sale]]-Table1[[#This Row],[Cost]]</f>
        <v>5166.66</v>
      </c>
      <c r="I727" s="4">
        <f>Table1[[#This Row],[Profit]]/Table1[[#This Row],[Sale]]</f>
        <v>0.62999981709659136</v>
      </c>
      <c r="J727" s="5">
        <f t="shared" si="22"/>
        <v>2004</v>
      </c>
      <c r="K727" s="5">
        <f>MONTH(Table1[[#This Row],[Date]])</f>
        <v>7</v>
      </c>
      <c r="L727" s="5">
        <f>DAY(Table1[[#This Row],[Date]])</f>
        <v>9</v>
      </c>
      <c r="M727" s="5" t="str">
        <f t="shared" si="23"/>
        <v>Jul</v>
      </c>
    </row>
    <row r="728" spans="1:13" x14ac:dyDescent="0.25">
      <c r="A728" s="2">
        <v>38794</v>
      </c>
      <c r="B728" t="s">
        <v>15</v>
      </c>
      <c r="C728" t="s">
        <v>27</v>
      </c>
      <c r="D728" t="s">
        <v>16</v>
      </c>
      <c r="E728" t="s">
        <v>24</v>
      </c>
      <c r="F728" s="3">
        <v>3495.94</v>
      </c>
      <c r="G728" s="3">
        <v>4661.26</v>
      </c>
      <c r="H728" s="3">
        <f>Table1[[#This Row],[Sale]]-Table1[[#This Row],[Cost]]</f>
        <v>1165.3200000000002</v>
      </c>
      <c r="I728" s="4">
        <f>Table1[[#This Row],[Profit]]/Table1[[#This Row],[Sale]]</f>
        <v>0.25000107267133781</v>
      </c>
      <c r="J728" s="5">
        <f t="shared" si="22"/>
        <v>2006</v>
      </c>
      <c r="K728" s="5">
        <f>MONTH(Table1[[#This Row],[Date]])</f>
        <v>3</v>
      </c>
      <c r="L728" s="5">
        <f>DAY(Table1[[#This Row],[Date]])</f>
        <v>18</v>
      </c>
      <c r="M728" s="5" t="str">
        <f t="shared" si="23"/>
        <v>Mar</v>
      </c>
    </row>
    <row r="729" spans="1:13" x14ac:dyDescent="0.25">
      <c r="A729" s="2">
        <v>38393</v>
      </c>
      <c r="B729" t="s">
        <v>15</v>
      </c>
      <c r="C729" t="s">
        <v>27</v>
      </c>
      <c r="D729" t="s">
        <v>19</v>
      </c>
      <c r="E729" t="s">
        <v>24</v>
      </c>
      <c r="F729" s="3">
        <v>5970.74</v>
      </c>
      <c r="G729" s="3">
        <v>6784.93</v>
      </c>
      <c r="H729" s="3">
        <f>Table1[[#This Row],[Sale]]-Table1[[#This Row],[Cost]]</f>
        <v>814.19000000000051</v>
      </c>
      <c r="I729" s="4">
        <f>Table1[[#This Row],[Profit]]/Table1[[#This Row],[Sale]]</f>
        <v>0.11999976418327093</v>
      </c>
      <c r="J729" s="5">
        <f t="shared" si="22"/>
        <v>2005</v>
      </c>
      <c r="K729" s="5">
        <f>MONTH(Table1[[#This Row],[Date]])</f>
        <v>2</v>
      </c>
      <c r="L729" s="5">
        <f>DAY(Table1[[#This Row],[Date]])</f>
        <v>10</v>
      </c>
      <c r="M729" s="5" t="str">
        <f t="shared" si="23"/>
        <v>Feb</v>
      </c>
    </row>
    <row r="730" spans="1:13" x14ac:dyDescent="0.25">
      <c r="A730" s="2">
        <v>38546</v>
      </c>
      <c r="B730" t="s">
        <v>21</v>
      </c>
      <c r="C730" t="s">
        <v>29</v>
      </c>
      <c r="D730" t="s">
        <v>28</v>
      </c>
      <c r="E730" t="s">
        <v>14</v>
      </c>
      <c r="F730" s="3">
        <v>1612.11</v>
      </c>
      <c r="G730" s="3">
        <v>4357.05</v>
      </c>
      <c r="H730" s="3">
        <f>Table1[[#This Row],[Sale]]-Table1[[#This Row],[Cost]]</f>
        <v>2744.9400000000005</v>
      </c>
      <c r="I730" s="4">
        <f>Table1[[#This Row],[Profit]]/Table1[[#This Row],[Sale]]</f>
        <v>0.62999965573036809</v>
      </c>
      <c r="J730" s="5">
        <f t="shared" si="22"/>
        <v>2005</v>
      </c>
      <c r="K730" s="5">
        <f>MONTH(Table1[[#This Row],[Date]])</f>
        <v>7</v>
      </c>
      <c r="L730" s="5">
        <f>DAY(Table1[[#This Row],[Date]])</f>
        <v>13</v>
      </c>
      <c r="M730" s="5" t="str">
        <f t="shared" si="23"/>
        <v>Jul</v>
      </c>
    </row>
    <row r="731" spans="1:13" x14ac:dyDescent="0.25">
      <c r="A731" s="2">
        <v>38354</v>
      </c>
      <c r="B731" t="s">
        <v>21</v>
      </c>
      <c r="C731" t="s">
        <v>29</v>
      </c>
      <c r="D731" t="s">
        <v>16</v>
      </c>
      <c r="E731" t="s">
        <v>24</v>
      </c>
      <c r="F731" s="3">
        <v>2272.11</v>
      </c>
      <c r="G731" s="3">
        <v>6140.83</v>
      </c>
      <c r="H731" s="3">
        <f>Table1[[#This Row],[Sale]]-Table1[[#This Row],[Cost]]</f>
        <v>3868.72</v>
      </c>
      <c r="I731" s="4">
        <f>Table1[[#This Row],[Profit]]/Table1[[#This Row],[Sale]]</f>
        <v>0.62999952775113455</v>
      </c>
      <c r="J731" s="5">
        <f t="shared" si="22"/>
        <v>2005</v>
      </c>
      <c r="K731" s="5">
        <f>MONTH(Table1[[#This Row],[Date]])</f>
        <v>1</v>
      </c>
      <c r="L731" s="5">
        <f>DAY(Table1[[#This Row],[Date]])</f>
        <v>2</v>
      </c>
      <c r="M731" s="5" t="str">
        <f t="shared" si="23"/>
        <v>Jan</v>
      </c>
    </row>
    <row r="732" spans="1:13" x14ac:dyDescent="0.25">
      <c r="A732" s="2">
        <v>38397</v>
      </c>
      <c r="B732" t="s">
        <v>15</v>
      </c>
      <c r="C732" t="s">
        <v>27</v>
      </c>
      <c r="D732" t="s">
        <v>19</v>
      </c>
      <c r="E732" t="s">
        <v>14</v>
      </c>
      <c r="F732" s="3">
        <v>5433.78</v>
      </c>
      <c r="G732" s="3">
        <v>7245.04</v>
      </c>
      <c r="H732" s="3">
        <f>Table1[[#This Row],[Sale]]-Table1[[#This Row],[Cost]]</f>
        <v>1811.2600000000002</v>
      </c>
      <c r="I732" s="4">
        <f>Table1[[#This Row],[Profit]]/Table1[[#This Row],[Sale]]</f>
        <v>0.25000000000000006</v>
      </c>
      <c r="J732" s="5">
        <f t="shared" si="22"/>
        <v>2005</v>
      </c>
      <c r="K732" s="5">
        <f>MONTH(Table1[[#This Row],[Date]])</f>
        <v>2</v>
      </c>
      <c r="L732" s="5">
        <f>DAY(Table1[[#This Row],[Date]])</f>
        <v>14</v>
      </c>
      <c r="M732" s="5" t="str">
        <f t="shared" si="23"/>
        <v>Feb</v>
      </c>
    </row>
    <row r="733" spans="1:13" x14ac:dyDescent="0.25">
      <c r="A733" s="2">
        <v>38758</v>
      </c>
      <c r="B733" t="s">
        <v>21</v>
      </c>
      <c r="C733" t="s">
        <v>27</v>
      </c>
      <c r="D733" t="s">
        <v>13</v>
      </c>
      <c r="E733" t="s">
        <v>25</v>
      </c>
      <c r="F733" s="3">
        <v>3235.23</v>
      </c>
      <c r="G733" s="3">
        <v>7189.41</v>
      </c>
      <c r="H733" s="3">
        <f>Table1[[#This Row],[Sale]]-Table1[[#This Row],[Cost]]</f>
        <v>3954.18</v>
      </c>
      <c r="I733" s="4">
        <f>Table1[[#This Row],[Profit]]/Table1[[#This Row],[Sale]]</f>
        <v>0.55000062592062493</v>
      </c>
      <c r="J733" s="5">
        <f t="shared" si="22"/>
        <v>2006</v>
      </c>
      <c r="K733" s="5">
        <f>MONTH(Table1[[#This Row],[Date]])</f>
        <v>2</v>
      </c>
      <c r="L733" s="5">
        <f>DAY(Table1[[#This Row],[Date]])</f>
        <v>10</v>
      </c>
      <c r="M733" s="5" t="str">
        <f t="shared" si="23"/>
        <v>Feb</v>
      </c>
    </row>
    <row r="734" spans="1:13" x14ac:dyDescent="0.25">
      <c r="A734" s="2">
        <v>38373</v>
      </c>
      <c r="B734" t="s">
        <v>21</v>
      </c>
      <c r="C734" t="s">
        <v>23</v>
      </c>
      <c r="D734" t="s">
        <v>19</v>
      </c>
      <c r="E734" t="s">
        <v>20</v>
      </c>
      <c r="F734" s="3">
        <v>1883.75</v>
      </c>
      <c r="G734" s="3">
        <v>5091.21</v>
      </c>
      <c r="H734" s="3">
        <f>Table1[[#This Row],[Sale]]-Table1[[#This Row],[Cost]]</f>
        <v>3207.46</v>
      </c>
      <c r="I734" s="4">
        <f>Table1[[#This Row],[Profit]]/Table1[[#This Row],[Sale]]</f>
        <v>0.62999954824098792</v>
      </c>
      <c r="J734" s="5">
        <f t="shared" si="22"/>
        <v>2005</v>
      </c>
      <c r="K734" s="5">
        <f>MONTH(Table1[[#This Row],[Date]])</f>
        <v>1</v>
      </c>
      <c r="L734" s="5">
        <f>DAY(Table1[[#This Row],[Date]])</f>
        <v>21</v>
      </c>
      <c r="M734" s="5" t="str">
        <f t="shared" si="23"/>
        <v>Jan</v>
      </c>
    </row>
    <row r="735" spans="1:13" x14ac:dyDescent="0.25">
      <c r="A735" s="2">
        <v>38616</v>
      </c>
      <c r="B735" t="s">
        <v>17</v>
      </c>
      <c r="C735" t="s">
        <v>27</v>
      </c>
      <c r="D735" t="s">
        <v>13</v>
      </c>
      <c r="E735" t="s">
        <v>14</v>
      </c>
      <c r="F735" s="3">
        <v>4252.09</v>
      </c>
      <c r="G735" s="3">
        <v>7731.08</v>
      </c>
      <c r="H735" s="3">
        <f>Table1[[#This Row],[Sale]]-Table1[[#This Row],[Cost]]</f>
        <v>3478.99</v>
      </c>
      <c r="I735" s="4">
        <f>Table1[[#This Row],[Profit]]/Table1[[#This Row],[Sale]]</f>
        <v>0.45000051739213665</v>
      </c>
      <c r="J735" s="5">
        <f t="shared" si="22"/>
        <v>2005</v>
      </c>
      <c r="K735" s="5">
        <f>MONTH(Table1[[#This Row],[Date]])</f>
        <v>9</v>
      </c>
      <c r="L735" s="5">
        <f>DAY(Table1[[#This Row],[Date]])</f>
        <v>21</v>
      </c>
      <c r="M735" s="5" t="str">
        <f t="shared" si="23"/>
        <v>Sep</v>
      </c>
    </row>
    <row r="736" spans="1:13" x14ac:dyDescent="0.25">
      <c r="A736" s="2">
        <v>38625</v>
      </c>
      <c r="B736" t="s">
        <v>21</v>
      </c>
      <c r="C736" t="s">
        <v>27</v>
      </c>
      <c r="D736" t="s">
        <v>16</v>
      </c>
      <c r="E736" t="s">
        <v>14</v>
      </c>
      <c r="F736" s="3">
        <v>947.32</v>
      </c>
      <c r="G736" s="3">
        <v>1013.18</v>
      </c>
      <c r="H736" s="3">
        <f>Table1[[#This Row],[Sale]]-Table1[[#This Row],[Cost]]</f>
        <v>65.8599999999999</v>
      </c>
      <c r="I736" s="4">
        <f>Table1[[#This Row],[Profit]]/Table1[[#This Row],[Sale]]</f>
        <v>6.5003257071793663E-2</v>
      </c>
      <c r="J736" s="5">
        <f t="shared" si="22"/>
        <v>2005</v>
      </c>
      <c r="K736" s="5">
        <f>MONTH(Table1[[#This Row],[Date]])</f>
        <v>9</v>
      </c>
      <c r="L736" s="5">
        <f>DAY(Table1[[#This Row],[Date]])</f>
        <v>30</v>
      </c>
      <c r="M736" s="5" t="str">
        <f t="shared" si="23"/>
        <v>Sep</v>
      </c>
    </row>
    <row r="737" spans="1:13" x14ac:dyDescent="0.25">
      <c r="A737" s="2">
        <v>38444</v>
      </c>
      <c r="B737" t="s">
        <v>15</v>
      </c>
      <c r="C737" t="s">
        <v>12</v>
      </c>
      <c r="D737" t="s">
        <v>13</v>
      </c>
      <c r="E737" t="s">
        <v>14</v>
      </c>
      <c r="F737" s="3">
        <v>3064.09</v>
      </c>
      <c r="G737" s="3">
        <v>8281.32</v>
      </c>
      <c r="H737" s="3">
        <f>Table1[[#This Row],[Sale]]-Table1[[#This Row],[Cost]]</f>
        <v>5217.2299999999996</v>
      </c>
      <c r="I737" s="4">
        <f>Table1[[#This Row],[Profit]]/Table1[[#This Row],[Sale]]</f>
        <v>0.62999980679408596</v>
      </c>
      <c r="J737" s="5">
        <f t="shared" si="22"/>
        <v>2005</v>
      </c>
      <c r="K737" s="5">
        <f>MONTH(Table1[[#This Row],[Date]])</f>
        <v>4</v>
      </c>
      <c r="L737" s="5">
        <f>DAY(Table1[[#This Row],[Date]])</f>
        <v>2</v>
      </c>
      <c r="M737" s="5" t="str">
        <f t="shared" si="23"/>
        <v>Apr</v>
      </c>
    </row>
    <row r="738" spans="1:13" x14ac:dyDescent="0.25">
      <c r="A738" s="2">
        <v>38425</v>
      </c>
      <c r="B738" t="s">
        <v>15</v>
      </c>
      <c r="C738" t="s">
        <v>27</v>
      </c>
      <c r="D738" t="s">
        <v>16</v>
      </c>
      <c r="E738" t="s">
        <v>25</v>
      </c>
      <c r="F738" s="3">
        <v>3411.82</v>
      </c>
      <c r="G738" s="3">
        <v>3649</v>
      </c>
      <c r="H738" s="3">
        <f>Table1[[#This Row],[Sale]]-Table1[[#This Row],[Cost]]</f>
        <v>237.17999999999984</v>
      </c>
      <c r="I738" s="4">
        <f>Table1[[#This Row],[Profit]]/Table1[[#This Row],[Sale]]</f>
        <v>6.4998629761578469E-2</v>
      </c>
      <c r="J738" s="5">
        <f t="shared" si="22"/>
        <v>2005</v>
      </c>
      <c r="K738" s="5">
        <f>MONTH(Table1[[#This Row],[Date]])</f>
        <v>3</v>
      </c>
      <c r="L738" s="5">
        <f>DAY(Table1[[#This Row],[Date]])</f>
        <v>14</v>
      </c>
      <c r="M738" s="5" t="str">
        <f t="shared" si="23"/>
        <v>Mar</v>
      </c>
    </row>
    <row r="739" spans="1:13" x14ac:dyDescent="0.25">
      <c r="A739" s="2">
        <v>38328</v>
      </c>
      <c r="B739" t="s">
        <v>22</v>
      </c>
      <c r="C739" t="s">
        <v>27</v>
      </c>
      <c r="D739" t="s">
        <v>28</v>
      </c>
      <c r="E739" t="s">
        <v>25</v>
      </c>
      <c r="F739" s="3">
        <v>4485.4399999999996</v>
      </c>
      <c r="G739" s="3">
        <v>4797.26</v>
      </c>
      <c r="H739" s="3">
        <f>Table1[[#This Row],[Sale]]-Table1[[#This Row],[Cost]]</f>
        <v>311.82000000000062</v>
      </c>
      <c r="I739" s="4">
        <f>Table1[[#This Row],[Profit]]/Table1[[#This Row],[Sale]]</f>
        <v>6.4999603940582878E-2</v>
      </c>
      <c r="J739" s="5">
        <f t="shared" si="22"/>
        <v>2004</v>
      </c>
      <c r="K739" s="5">
        <f>MONTH(Table1[[#This Row],[Date]])</f>
        <v>12</v>
      </c>
      <c r="L739" s="5">
        <f>DAY(Table1[[#This Row],[Date]])</f>
        <v>7</v>
      </c>
      <c r="M739" s="5" t="str">
        <f t="shared" si="23"/>
        <v>Dec</v>
      </c>
    </row>
    <row r="740" spans="1:13" x14ac:dyDescent="0.25">
      <c r="A740" s="2">
        <v>38343</v>
      </c>
      <c r="B740" t="s">
        <v>21</v>
      </c>
      <c r="C740" t="s">
        <v>27</v>
      </c>
      <c r="D740" t="s">
        <v>13</v>
      </c>
      <c r="E740" t="s">
        <v>20</v>
      </c>
      <c r="F740" s="3">
        <v>3654.44</v>
      </c>
      <c r="G740" s="3">
        <v>4152.7700000000004</v>
      </c>
      <c r="H740" s="3">
        <f>Table1[[#This Row],[Sale]]-Table1[[#This Row],[Cost]]</f>
        <v>498.33000000000038</v>
      </c>
      <c r="I740" s="4">
        <f>Table1[[#This Row],[Profit]]/Table1[[#This Row],[Sale]]</f>
        <v>0.11999942207249627</v>
      </c>
      <c r="J740" s="5">
        <f t="shared" si="22"/>
        <v>2004</v>
      </c>
      <c r="K740" s="5">
        <f>MONTH(Table1[[#This Row],[Date]])</f>
        <v>12</v>
      </c>
      <c r="L740" s="5">
        <f>DAY(Table1[[#This Row],[Date]])</f>
        <v>22</v>
      </c>
      <c r="M740" s="5" t="str">
        <f t="shared" si="23"/>
        <v>Dec</v>
      </c>
    </row>
    <row r="741" spans="1:13" x14ac:dyDescent="0.25">
      <c r="A741" s="2">
        <v>38612</v>
      </c>
      <c r="B741" t="s">
        <v>11</v>
      </c>
      <c r="C741" t="s">
        <v>12</v>
      </c>
      <c r="D741" t="s">
        <v>28</v>
      </c>
      <c r="E741" t="s">
        <v>24</v>
      </c>
      <c r="F741" s="3">
        <v>1660.48</v>
      </c>
      <c r="G741" s="3">
        <v>4487.79</v>
      </c>
      <c r="H741" s="3">
        <f>Table1[[#This Row],[Sale]]-Table1[[#This Row],[Cost]]</f>
        <v>2827.31</v>
      </c>
      <c r="I741" s="4">
        <f>Table1[[#This Row],[Profit]]/Table1[[#This Row],[Sale]]</f>
        <v>0.63000051250169908</v>
      </c>
      <c r="J741" s="5">
        <f t="shared" si="22"/>
        <v>2005</v>
      </c>
      <c r="K741" s="5">
        <f>MONTH(Table1[[#This Row],[Date]])</f>
        <v>9</v>
      </c>
      <c r="L741" s="5">
        <f>DAY(Table1[[#This Row],[Date]])</f>
        <v>17</v>
      </c>
      <c r="M741" s="5" t="str">
        <f t="shared" si="23"/>
        <v>Sep</v>
      </c>
    </row>
    <row r="742" spans="1:13" x14ac:dyDescent="0.25">
      <c r="A742" s="2">
        <v>38281</v>
      </c>
      <c r="B742" t="s">
        <v>21</v>
      </c>
      <c r="C742" t="s">
        <v>23</v>
      </c>
      <c r="D742" t="s">
        <v>13</v>
      </c>
      <c r="E742" t="s">
        <v>25</v>
      </c>
      <c r="F742" s="3">
        <v>5842.79</v>
      </c>
      <c r="G742" s="3">
        <v>8592.34</v>
      </c>
      <c r="H742" s="3">
        <f>Table1[[#This Row],[Sale]]-Table1[[#This Row],[Cost]]</f>
        <v>2749.55</v>
      </c>
      <c r="I742" s="4">
        <f>Table1[[#This Row],[Profit]]/Table1[[#This Row],[Sale]]</f>
        <v>0.32000013965927793</v>
      </c>
      <c r="J742" s="5">
        <f t="shared" si="22"/>
        <v>2004</v>
      </c>
      <c r="K742" s="5">
        <f>MONTH(Table1[[#This Row],[Date]])</f>
        <v>10</v>
      </c>
      <c r="L742" s="5">
        <f>DAY(Table1[[#This Row],[Date]])</f>
        <v>21</v>
      </c>
      <c r="M742" s="5" t="str">
        <f t="shared" si="23"/>
        <v>Oct</v>
      </c>
    </row>
    <row r="743" spans="1:13" x14ac:dyDescent="0.25">
      <c r="A743" s="2">
        <v>38234</v>
      </c>
      <c r="B743" t="s">
        <v>15</v>
      </c>
      <c r="C743" t="s">
        <v>12</v>
      </c>
      <c r="D743" t="s">
        <v>28</v>
      </c>
      <c r="E743" t="s">
        <v>14</v>
      </c>
      <c r="F743" s="3">
        <v>2356.79</v>
      </c>
      <c r="G743" s="3">
        <v>5480.91</v>
      </c>
      <c r="H743" s="3">
        <f>Table1[[#This Row],[Sale]]-Table1[[#This Row],[Cost]]</f>
        <v>3124.12</v>
      </c>
      <c r="I743" s="4">
        <f>Table1[[#This Row],[Profit]]/Table1[[#This Row],[Sale]]</f>
        <v>0.57000023718689052</v>
      </c>
      <c r="J743" s="5">
        <f t="shared" si="22"/>
        <v>2004</v>
      </c>
      <c r="K743" s="5">
        <f>MONTH(Table1[[#This Row],[Date]])</f>
        <v>9</v>
      </c>
      <c r="L743" s="5">
        <f>DAY(Table1[[#This Row],[Date]])</f>
        <v>4</v>
      </c>
      <c r="M743" s="5" t="str">
        <f t="shared" si="23"/>
        <v>Sep</v>
      </c>
    </row>
    <row r="744" spans="1:13" x14ac:dyDescent="0.25">
      <c r="A744" s="2">
        <v>38425</v>
      </c>
      <c r="B744" t="s">
        <v>17</v>
      </c>
      <c r="C744" t="s">
        <v>23</v>
      </c>
      <c r="D744" t="s">
        <v>16</v>
      </c>
      <c r="E744" t="s">
        <v>24</v>
      </c>
      <c r="F744" s="3">
        <v>706.1</v>
      </c>
      <c r="G744" s="3">
        <v>1908.37</v>
      </c>
      <c r="H744" s="3">
        <f>Table1[[#This Row],[Sale]]-Table1[[#This Row],[Cost]]</f>
        <v>1202.27</v>
      </c>
      <c r="I744" s="4">
        <f>Table1[[#This Row],[Profit]]/Table1[[#This Row],[Sale]]</f>
        <v>0.62999837557706317</v>
      </c>
      <c r="J744" s="5">
        <f t="shared" si="22"/>
        <v>2005</v>
      </c>
      <c r="K744" s="5">
        <f>MONTH(Table1[[#This Row],[Date]])</f>
        <v>3</v>
      </c>
      <c r="L744" s="5">
        <f>DAY(Table1[[#This Row],[Date]])</f>
        <v>14</v>
      </c>
      <c r="M744" s="5" t="str">
        <f t="shared" si="23"/>
        <v>Mar</v>
      </c>
    </row>
    <row r="745" spans="1:13" x14ac:dyDescent="0.25">
      <c r="A745" s="2">
        <v>38530</v>
      </c>
      <c r="B745" t="s">
        <v>26</v>
      </c>
      <c r="C745" t="s">
        <v>18</v>
      </c>
      <c r="D745" t="s">
        <v>13</v>
      </c>
      <c r="E745" t="s">
        <v>20</v>
      </c>
      <c r="F745" s="3">
        <v>2180.67</v>
      </c>
      <c r="G745" s="3">
        <v>2907.56</v>
      </c>
      <c r="H745" s="3">
        <f>Table1[[#This Row],[Sale]]-Table1[[#This Row],[Cost]]</f>
        <v>726.88999999999987</v>
      </c>
      <c r="I745" s="4">
        <f>Table1[[#This Row],[Profit]]/Table1[[#This Row],[Sale]]</f>
        <v>0.24999999999999997</v>
      </c>
      <c r="J745" s="5">
        <f t="shared" si="22"/>
        <v>2005</v>
      </c>
      <c r="K745" s="5">
        <f>MONTH(Table1[[#This Row],[Date]])</f>
        <v>6</v>
      </c>
      <c r="L745" s="5">
        <f>DAY(Table1[[#This Row],[Date]])</f>
        <v>27</v>
      </c>
      <c r="M745" s="5" t="str">
        <f t="shared" si="23"/>
        <v>Jun</v>
      </c>
    </row>
    <row r="746" spans="1:13" x14ac:dyDescent="0.25">
      <c r="A746" s="2">
        <v>38470</v>
      </c>
      <c r="B746" t="s">
        <v>21</v>
      </c>
      <c r="C746" t="s">
        <v>23</v>
      </c>
      <c r="D746" t="s">
        <v>19</v>
      </c>
      <c r="E746" t="s">
        <v>20</v>
      </c>
      <c r="F746" s="3">
        <v>6469.43</v>
      </c>
      <c r="G746" s="3">
        <v>6919.18</v>
      </c>
      <c r="H746" s="3">
        <f>Table1[[#This Row],[Sale]]-Table1[[#This Row],[Cost]]</f>
        <v>449.75</v>
      </c>
      <c r="I746" s="4">
        <f>Table1[[#This Row],[Profit]]/Table1[[#This Row],[Sale]]</f>
        <v>6.5000476935128143E-2</v>
      </c>
      <c r="J746" s="5">
        <f t="shared" si="22"/>
        <v>2005</v>
      </c>
      <c r="K746" s="5">
        <f>MONTH(Table1[[#This Row],[Date]])</f>
        <v>4</v>
      </c>
      <c r="L746" s="5">
        <f>DAY(Table1[[#This Row],[Date]])</f>
        <v>28</v>
      </c>
      <c r="M746" s="5" t="str">
        <f t="shared" si="23"/>
        <v>Apr</v>
      </c>
    </row>
    <row r="747" spans="1:13" x14ac:dyDescent="0.25">
      <c r="A747" s="2">
        <v>38681</v>
      </c>
      <c r="B747" t="s">
        <v>15</v>
      </c>
      <c r="C747" t="s">
        <v>27</v>
      </c>
      <c r="D747" t="s">
        <v>19</v>
      </c>
      <c r="E747" t="s">
        <v>24</v>
      </c>
      <c r="F747" s="3">
        <v>4280.79</v>
      </c>
      <c r="G747" s="3">
        <v>9955.32</v>
      </c>
      <c r="H747" s="3">
        <f>Table1[[#This Row],[Sale]]-Table1[[#This Row],[Cost]]</f>
        <v>5674.53</v>
      </c>
      <c r="I747" s="4">
        <f>Table1[[#This Row],[Profit]]/Table1[[#This Row],[Sale]]</f>
        <v>0.56999975892286736</v>
      </c>
      <c r="J747" s="5">
        <f t="shared" si="22"/>
        <v>2005</v>
      </c>
      <c r="K747" s="5">
        <f>MONTH(Table1[[#This Row],[Date]])</f>
        <v>11</v>
      </c>
      <c r="L747" s="5">
        <f>DAY(Table1[[#This Row],[Date]])</f>
        <v>25</v>
      </c>
      <c r="M747" s="5" t="str">
        <f t="shared" si="23"/>
        <v>Nov</v>
      </c>
    </row>
    <row r="748" spans="1:13" x14ac:dyDescent="0.25">
      <c r="A748" s="2">
        <v>38725</v>
      </c>
      <c r="B748" t="s">
        <v>21</v>
      </c>
      <c r="C748" t="s">
        <v>27</v>
      </c>
      <c r="D748" t="s">
        <v>13</v>
      </c>
      <c r="E748" t="s">
        <v>20</v>
      </c>
      <c r="F748" s="3">
        <v>1201.94</v>
      </c>
      <c r="G748" s="3">
        <v>2795.22</v>
      </c>
      <c r="H748" s="3">
        <f>Table1[[#This Row],[Sale]]-Table1[[#This Row],[Cost]]</f>
        <v>1593.2799999999997</v>
      </c>
      <c r="I748" s="4">
        <f>Table1[[#This Row],[Profit]]/Table1[[#This Row],[Sale]]</f>
        <v>0.57000164566653067</v>
      </c>
      <c r="J748" s="5">
        <f t="shared" si="22"/>
        <v>2006</v>
      </c>
      <c r="K748" s="5">
        <f>MONTH(Table1[[#This Row],[Date]])</f>
        <v>1</v>
      </c>
      <c r="L748" s="5">
        <f>DAY(Table1[[#This Row],[Date]])</f>
        <v>8</v>
      </c>
      <c r="M748" s="5" t="str">
        <f t="shared" si="23"/>
        <v>Jan</v>
      </c>
    </row>
    <row r="749" spans="1:13" x14ac:dyDescent="0.25">
      <c r="A749" s="2">
        <v>38560</v>
      </c>
      <c r="B749" t="s">
        <v>15</v>
      </c>
      <c r="C749" t="s">
        <v>29</v>
      </c>
      <c r="D749" t="s">
        <v>28</v>
      </c>
      <c r="E749" t="s">
        <v>14</v>
      </c>
      <c r="F749" s="3">
        <v>1468.23</v>
      </c>
      <c r="G749" s="3">
        <v>2488.5300000000002</v>
      </c>
      <c r="H749" s="3">
        <f>Table1[[#This Row],[Sale]]-Table1[[#This Row],[Cost]]</f>
        <v>1020.3000000000002</v>
      </c>
      <c r="I749" s="4">
        <f>Table1[[#This Row],[Profit]]/Table1[[#This Row],[Sale]]</f>
        <v>0.41000108497787857</v>
      </c>
      <c r="J749" s="5">
        <f t="shared" si="22"/>
        <v>2005</v>
      </c>
      <c r="K749" s="5">
        <f>MONTH(Table1[[#This Row],[Date]])</f>
        <v>7</v>
      </c>
      <c r="L749" s="5">
        <f>DAY(Table1[[#This Row],[Date]])</f>
        <v>27</v>
      </c>
      <c r="M749" s="5" t="str">
        <f t="shared" si="23"/>
        <v>Jul</v>
      </c>
    </row>
    <row r="750" spans="1:13" x14ac:dyDescent="0.25">
      <c r="A750" s="2">
        <v>38167</v>
      </c>
      <c r="B750" t="s">
        <v>26</v>
      </c>
      <c r="C750" t="s">
        <v>27</v>
      </c>
      <c r="D750" t="s">
        <v>16</v>
      </c>
      <c r="E750" t="s">
        <v>25</v>
      </c>
      <c r="F750" s="3">
        <v>1565.07</v>
      </c>
      <c r="G750" s="3">
        <v>2845.59</v>
      </c>
      <c r="H750" s="3">
        <f>Table1[[#This Row],[Sale]]-Table1[[#This Row],[Cost]]</f>
        <v>1280.5200000000002</v>
      </c>
      <c r="I750" s="4">
        <f>Table1[[#This Row],[Profit]]/Table1[[#This Row],[Sale]]</f>
        <v>0.45000158139436819</v>
      </c>
      <c r="J750" s="5">
        <f t="shared" si="22"/>
        <v>2004</v>
      </c>
      <c r="K750" s="5">
        <f>MONTH(Table1[[#This Row],[Date]])</f>
        <v>6</v>
      </c>
      <c r="L750" s="5">
        <f>DAY(Table1[[#This Row],[Date]])</f>
        <v>29</v>
      </c>
      <c r="M750" s="5" t="str">
        <f t="shared" si="23"/>
        <v>Jun</v>
      </c>
    </row>
    <row r="751" spans="1:13" x14ac:dyDescent="0.25">
      <c r="A751" s="2">
        <v>38739</v>
      </c>
      <c r="B751" t="s">
        <v>17</v>
      </c>
      <c r="C751" t="s">
        <v>27</v>
      </c>
      <c r="D751" t="s">
        <v>13</v>
      </c>
      <c r="E751" t="s">
        <v>14</v>
      </c>
      <c r="F751" s="3">
        <v>1385.9</v>
      </c>
      <c r="G751" s="3">
        <v>3079.77</v>
      </c>
      <c r="H751" s="3">
        <f>Table1[[#This Row],[Sale]]-Table1[[#This Row],[Cost]]</f>
        <v>1693.87</v>
      </c>
      <c r="I751" s="4">
        <f>Table1[[#This Row],[Profit]]/Table1[[#This Row],[Sale]]</f>
        <v>0.54999886355149896</v>
      </c>
      <c r="J751" s="5">
        <f t="shared" si="22"/>
        <v>2006</v>
      </c>
      <c r="K751" s="5">
        <f>MONTH(Table1[[#This Row],[Date]])</f>
        <v>1</v>
      </c>
      <c r="L751" s="5">
        <f>DAY(Table1[[#This Row],[Date]])</f>
        <v>22</v>
      </c>
      <c r="M751" s="5" t="str">
        <f t="shared" si="23"/>
        <v>Jan</v>
      </c>
    </row>
    <row r="752" spans="1:13" x14ac:dyDescent="0.25">
      <c r="A752" s="2">
        <v>38582</v>
      </c>
      <c r="B752" t="s">
        <v>11</v>
      </c>
      <c r="C752" t="s">
        <v>29</v>
      </c>
      <c r="D752" t="s">
        <v>13</v>
      </c>
      <c r="E752" t="s">
        <v>20</v>
      </c>
      <c r="F752" s="3">
        <v>4025.11</v>
      </c>
      <c r="G752" s="3">
        <v>4573.99</v>
      </c>
      <c r="H752" s="3">
        <f>Table1[[#This Row],[Sale]]-Table1[[#This Row],[Cost]]</f>
        <v>548.87999999999965</v>
      </c>
      <c r="I752" s="4">
        <f>Table1[[#This Row],[Profit]]/Table1[[#This Row],[Sale]]</f>
        <v>0.12000026235300026</v>
      </c>
      <c r="J752" s="5">
        <f t="shared" si="22"/>
        <v>2005</v>
      </c>
      <c r="K752" s="5">
        <f>MONTH(Table1[[#This Row],[Date]])</f>
        <v>8</v>
      </c>
      <c r="L752" s="5">
        <f>DAY(Table1[[#This Row],[Date]])</f>
        <v>18</v>
      </c>
      <c r="M752" s="5" t="str">
        <f t="shared" si="23"/>
        <v>Aug</v>
      </c>
    </row>
    <row r="753" spans="1:13" x14ac:dyDescent="0.25">
      <c r="A753" s="2">
        <v>38481</v>
      </c>
      <c r="B753" t="s">
        <v>26</v>
      </c>
      <c r="C753" t="s">
        <v>12</v>
      </c>
      <c r="D753" t="s">
        <v>16</v>
      </c>
      <c r="E753" t="s">
        <v>24</v>
      </c>
      <c r="F753" s="3">
        <v>2723.95</v>
      </c>
      <c r="G753" s="3">
        <v>4696.46</v>
      </c>
      <c r="H753" s="3">
        <f>Table1[[#This Row],[Sale]]-Table1[[#This Row],[Cost]]</f>
        <v>1972.5100000000002</v>
      </c>
      <c r="I753" s="4">
        <f>Table1[[#This Row],[Profit]]/Table1[[#This Row],[Sale]]</f>
        <v>0.41999931863573847</v>
      </c>
      <c r="J753" s="5">
        <f t="shared" si="22"/>
        <v>2005</v>
      </c>
      <c r="K753" s="5">
        <f>MONTH(Table1[[#This Row],[Date]])</f>
        <v>5</v>
      </c>
      <c r="L753" s="5">
        <f>DAY(Table1[[#This Row],[Date]])</f>
        <v>9</v>
      </c>
      <c r="M753" s="5" t="str">
        <f t="shared" si="23"/>
        <v>May</v>
      </c>
    </row>
    <row r="754" spans="1:13" x14ac:dyDescent="0.25">
      <c r="A754" s="2">
        <v>38284</v>
      </c>
      <c r="B754" t="s">
        <v>11</v>
      </c>
      <c r="C754" t="s">
        <v>12</v>
      </c>
      <c r="D754" t="s">
        <v>19</v>
      </c>
      <c r="E754" t="s">
        <v>20</v>
      </c>
      <c r="F754" s="3">
        <v>450.47</v>
      </c>
      <c r="G754" s="3">
        <v>763.51</v>
      </c>
      <c r="H754" s="3">
        <f>Table1[[#This Row],[Sale]]-Table1[[#This Row],[Cost]]</f>
        <v>313.03999999999996</v>
      </c>
      <c r="I754" s="4">
        <f>Table1[[#This Row],[Profit]]/Table1[[#This Row],[Sale]]</f>
        <v>0.41000117876648634</v>
      </c>
      <c r="J754" s="5">
        <f t="shared" si="22"/>
        <v>2004</v>
      </c>
      <c r="K754" s="5">
        <f>MONTH(Table1[[#This Row],[Date]])</f>
        <v>10</v>
      </c>
      <c r="L754" s="5">
        <f>DAY(Table1[[#This Row],[Date]])</f>
        <v>24</v>
      </c>
      <c r="M754" s="5" t="str">
        <f t="shared" si="23"/>
        <v>Oct</v>
      </c>
    </row>
    <row r="755" spans="1:13" x14ac:dyDescent="0.25">
      <c r="A755" s="2">
        <v>38395</v>
      </c>
      <c r="B755" t="s">
        <v>15</v>
      </c>
      <c r="C755" t="s">
        <v>27</v>
      </c>
      <c r="D755" t="s">
        <v>19</v>
      </c>
      <c r="E755" t="s">
        <v>14</v>
      </c>
      <c r="F755" s="3">
        <v>1100.8900000000001</v>
      </c>
      <c r="G755" s="3">
        <v>1467.85</v>
      </c>
      <c r="H755" s="3">
        <f>Table1[[#This Row],[Sale]]-Table1[[#This Row],[Cost]]</f>
        <v>366.95999999999981</v>
      </c>
      <c r="I755" s="4">
        <f>Table1[[#This Row],[Profit]]/Table1[[#This Row],[Sale]]</f>
        <v>0.24999829682869493</v>
      </c>
      <c r="J755" s="5">
        <f t="shared" si="22"/>
        <v>2005</v>
      </c>
      <c r="K755" s="5">
        <f>MONTH(Table1[[#This Row],[Date]])</f>
        <v>2</v>
      </c>
      <c r="L755" s="5">
        <f>DAY(Table1[[#This Row],[Date]])</f>
        <v>12</v>
      </c>
      <c r="M755" s="5" t="str">
        <f t="shared" si="23"/>
        <v>Feb</v>
      </c>
    </row>
    <row r="756" spans="1:13" x14ac:dyDescent="0.25">
      <c r="A756" s="2">
        <v>38220</v>
      </c>
      <c r="B756" t="s">
        <v>11</v>
      </c>
      <c r="C756" t="s">
        <v>23</v>
      </c>
      <c r="D756" t="s">
        <v>13</v>
      </c>
      <c r="E756" t="s">
        <v>24</v>
      </c>
      <c r="F756" s="3">
        <v>2606.7199999999998</v>
      </c>
      <c r="G756" s="3">
        <v>2962.18</v>
      </c>
      <c r="H756" s="3">
        <f>Table1[[#This Row],[Sale]]-Table1[[#This Row],[Cost]]</f>
        <v>355.46000000000004</v>
      </c>
      <c r="I756" s="4">
        <f>Table1[[#This Row],[Profit]]/Table1[[#This Row],[Sale]]</f>
        <v>0.1199994598572673</v>
      </c>
      <c r="J756" s="5">
        <f t="shared" si="22"/>
        <v>2004</v>
      </c>
      <c r="K756" s="5">
        <f>MONTH(Table1[[#This Row],[Date]])</f>
        <v>8</v>
      </c>
      <c r="L756" s="5">
        <f>DAY(Table1[[#This Row],[Date]])</f>
        <v>21</v>
      </c>
      <c r="M756" s="5" t="str">
        <f t="shared" si="23"/>
        <v>Aug</v>
      </c>
    </row>
    <row r="757" spans="1:13" x14ac:dyDescent="0.25">
      <c r="A757" s="2">
        <v>38580</v>
      </c>
      <c r="B757" t="s">
        <v>21</v>
      </c>
      <c r="C757" t="s">
        <v>23</v>
      </c>
      <c r="D757" t="s">
        <v>19</v>
      </c>
      <c r="E757" t="s">
        <v>24</v>
      </c>
      <c r="F757" s="3">
        <v>1983.9</v>
      </c>
      <c r="G757" s="3">
        <v>3420.52</v>
      </c>
      <c r="H757" s="3">
        <f>Table1[[#This Row],[Sale]]-Table1[[#This Row],[Cost]]</f>
        <v>1436.62</v>
      </c>
      <c r="I757" s="4">
        <f>Table1[[#This Row],[Profit]]/Table1[[#This Row],[Sale]]</f>
        <v>0.42000046776513511</v>
      </c>
      <c r="J757" s="5">
        <f t="shared" si="22"/>
        <v>2005</v>
      </c>
      <c r="K757" s="5">
        <f>MONTH(Table1[[#This Row],[Date]])</f>
        <v>8</v>
      </c>
      <c r="L757" s="5">
        <f>DAY(Table1[[#This Row],[Date]])</f>
        <v>16</v>
      </c>
      <c r="M757" s="5" t="str">
        <f t="shared" si="23"/>
        <v>Aug</v>
      </c>
    </row>
    <row r="758" spans="1:13" x14ac:dyDescent="0.25">
      <c r="A758" s="2">
        <v>38227</v>
      </c>
      <c r="B758" t="s">
        <v>22</v>
      </c>
      <c r="C758" t="s">
        <v>12</v>
      </c>
      <c r="D758" t="s">
        <v>28</v>
      </c>
      <c r="E758" t="s">
        <v>20</v>
      </c>
      <c r="F758" s="3">
        <v>1901.44</v>
      </c>
      <c r="G758" s="3">
        <v>2535.2600000000002</v>
      </c>
      <c r="H758" s="3">
        <f>Table1[[#This Row],[Sale]]-Table1[[#This Row],[Cost]]</f>
        <v>633.82000000000016</v>
      </c>
      <c r="I758" s="4">
        <f>Table1[[#This Row],[Profit]]/Table1[[#This Row],[Sale]]</f>
        <v>0.25000197218431253</v>
      </c>
      <c r="J758" s="5">
        <f t="shared" si="22"/>
        <v>2004</v>
      </c>
      <c r="K758" s="5">
        <f>MONTH(Table1[[#This Row],[Date]])</f>
        <v>8</v>
      </c>
      <c r="L758" s="5">
        <f>DAY(Table1[[#This Row],[Date]])</f>
        <v>28</v>
      </c>
      <c r="M758" s="5" t="str">
        <f t="shared" si="23"/>
        <v>Aug</v>
      </c>
    </row>
    <row r="759" spans="1:13" x14ac:dyDescent="0.25">
      <c r="A759" s="2">
        <v>38514</v>
      </c>
      <c r="B759" t="s">
        <v>22</v>
      </c>
      <c r="C759" t="s">
        <v>27</v>
      </c>
      <c r="D759" t="s">
        <v>16</v>
      </c>
      <c r="E759" t="s">
        <v>14</v>
      </c>
      <c r="F759" s="3">
        <v>2170.67</v>
      </c>
      <c r="G759" s="3">
        <v>4823.72</v>
      </c>
      <c r="H759" s="3">
        <f>Table1[[#This Row],[Sale]]-Table1[[#This Row],[Cost]]</f>
        <v>2653.05</v>
      </c>
      <c r="I759" s="4">
        <f>Table1[[#This Row],[Profit]]/Table1[[#This Row],[Sale]]</f>
        <v>0.55000082923552773</v>
      </c>
      <c r="J759" s="5">
        <f t="shared" si="22"/>
        <v>2005</v>
      </c>
      <c r="K759" s="5">
        <f>MONTH(Table1[[#This Row],[Date]])</f>
        <v>6</v>
      </c>
      <c r="L759" s="5">
        <f>DAY(Table1[[#This Row],[Date]])</f>
        <v>11</v>
      </c>
      <c r="M759" s="5" t="str">
        <f t="shared" si="23"/>
        <v>Jun</v>
      </c>
    </row>
    <row r="760" spans="1:13" x14ac:dyDescent="0.25">
      <c r="A760" s="2">
        <v>38727</v>
      </c>
      <c r="B760" t="s">
        <v>15</v>
      </c>
      <c r="C760" t="s">
        <v>12</v>
      </c>
      <c r="D760" t="s">
        <v>16</v>
      </c>
      <c r="E760" t="s">
        <v>24</v>
      </c>
      <c r="F760" s="3">
        <v>7176.73</v>
      </c>
      <c r="G760" s="3">
        <v>7675.65</v>
      </c>
      <c r="H760" s="3">
        <f>Table1[[#This Row],[Sale]]-Table1[[#This Row],[Cost]]</f>
        <v>498.92000000000007</v>
      </c>
      <c r="I760" s="4">
        <f>Table1[[#This Row],[Profit]]/Table1[[#This Row],[Sale]]</f>
        <v>6.5000358275846354E-2</v>
      </c>
      <c r="J760" s="5">
        <f t="shared" si="22"/>
        <v>2006</v>
      </c>
      <c r="K760" s="5">
        <f>MONTH(Table1[[#This Row],[Date]])</f>
        <v>1</v>
      </c>
      <c r="L760" s="5">
        <f>DAY(Table1[[#This Row],[Date]])</f>
        <v>10</v>
      </c>
      <c r="M760" s="5" t="str">
        <f t="shared" si="23"/>
        <v>Jan</v>
      </c>
    </row>
    <row r="761" spans="1:13" x14ac:dyDescent="0.25">
      <c r="A761" s="2">
        <v>38389</v>
      </c>
      <c r="B761" t="s">
        <v>11</v>
      </c>
      <c r="C761" t="s">
        <v>23</v>
      </c>
      <c r="D761" t="s">
        <v>28</v>
      </c>
      <c r="E761" t="s">
        <v>14</v>
      </c>
      <c r="F761" s="3">
        <v>5322.37</v>
      </c>
      <c r="G761" s="3">
        <v>7827.02</v>
      </c>
      <c r="H761" s="3">
        <f>Table1[[#This Row],[Sale]]-Table1[[#This Row],[Cost]]</f>
        <v>2504.6500000000005</v>
      </c>
      <c r="I761" s="4">
        <f>Table1[[#This Row],[Profit]]/Table1[[#This Row],[Sale]]</f>
        <v>0.32000045994516435</v>
      </c>
      <c r="J761" s="5">
        <f t="shared" si="22"/>
        <v>2005</v>
      </c>
      <c r="K761" s="5">
        <f>MONTH(Table1[[#This Row],[Date]])</f>
        <v>2</v>
      </c>
      <c r="L761" s="5">
        <f>DAY(Table1[[#This Row],[Date]])</f>
        <v>6</v>
      </c>
      <c r="M761" s="5" t="str">
        <f t="shared" si="23"/>
        <v>Feb</v>
      </c>
    </row>
    <row r="762" spans="1:13" x14ac:dyDescent="0.25">
      <c r="A762" s="2">
        <v>38682</v>
      </c>
      <c r="B762" t="s">
        <v>26</v>
      </c>
      <c r="C762" t="s">
        <v>29</v>
      </c>
      <c r="D762" t="s">
        <v>28</v>
      </c>
      <c r="E762" t="s">
        <v>20</v>
      </c>
      <c r="F762" s="3">
        <v>3184.46</v>
      </c>
      <c r="G762" s="3">
        <v>7405.73</v>
      </c>
      <c r="H762" s="3">
        <f>Table1[[#This Row],[Sale]]-Table1[[#This Row],[Cost]]</f>
        <v>4221.2699999999995</v>
      </c>
      <c r="I762" s="4">
        <f>Table1[[#This Row],[Profit]]/Table1[[#This Row],[Sale]]</f>
        <v>0.57000052661925293</v>
      </c>
      <c r="J762" s="5">
        <f t="shared" si="22"/>
        <v>2005</v>
      </c>
      <c r="K762" s="5">
        <f>MONTH(Table1[[#This Row],[Date]])</f>
        <v>11</v>
      </c>
      <c r="L762" s="5">
        <f>DAY(Table1[[#This Row],[Date]])</f>
        <v>26</v>
      </c>
      <c r="M762" s="5" t="str">
        <f t="shared" si="23"/>
        <v>Nov</v>
      </c>
    </row>
    <row r="763" spans="1:13" x14ac:dyDescent="0.25">
      <c r="A763" s="2">
        <v>38246</v>
      </c>
      <c r="B763" t="s">
        <v>21</v>
      </c>
      <c r="C763" t="s">
        <v>29</v>
      </c>
      <c r="D763" t="s">
        <v>13</v>
      </c>
      <c r="E763" t="s">
        <v>24</v>
      </c>
      <c r="F763" s="3">
        <v>828.59</v>
      </c>
      <c r="G763" s="3">
        <v>2239.44</v>
      </c>
      <c r="H763" s="3">
        <f>Table1[[#This Row],[Sale]]-Table1[[#This Row],[Cost]]</f>
        <v>1410.85</v>
      </c>
      <c r="I763" s="4">
        <f>Table1[[#This Row],[Profit]]/Table1[[#This Row],[Sale]]</f>
        <v>0.63000125031257814</v>
      </c>
      <c r="J763" s="5">
        <f t="shared" si="22"/>
        <v>2004</v>
      </c>
      <c r="K763" s="5">
        <f>MONTH(Table1[[#This Row],[Date]])</f>
        <v>9</v>
      </c>
      <c r="L763" s="5">
        <f>DAY(Table1[[#This Row],[Date]])</f>
        <v>16</v>
      </c>
      <c r="M763" s="5" t="str">
        <f t="shared" si="23"/>
        <v>Sep</v>
      </c>
    </row>
    <row r="764" spans="1:13" x14ac:dyDescent="0.25">
      <c r="A764" s="2">
        <v>38657</v>
      </c>
      <c r="B764" t="s">
        <v>15</v>
      </c>
      <c r="C764" t="s">
        <v>27</v>
      </c>
      <c r="D764" t="s">
        <v>13</v>
      </c>
      <c r="E764" t="s">
        <v>20</v>
      </c>
      <c r="F764" s="3">
        <v>42.48</v>
      </c>
      <c r="G764" s="3">
        <v>62.47</v>
      </c>
      <c r="H764" s="3">
        <f>Table1[[#This Row],[Sale]]-Table1[[#This Row],[Cost]]</f>
        <v>19.990000000000002</v>
      </c>
      <c r="I764" s="4">
        <f>Table1[[#This Row],[Profit]]/Table1[[#This Row],[Sale]]</f>
        <v>0.31999359692652479</v>
      </c>
      <c r="J764" s="5">
        <f t="shared" si="22"/>
        <v>2005</v>
      </c>
      <c r="K764" s="5">
        <f>MONTH(Table1[[#This Row],[Date]])</f>
        <v>11</v>
      </c>
      <c r="L764" s="5">
        <f>DAY(Table1[[#This Row],[Date]])</f>
        <v>1</v>
      </c>
      <c r="M764" s="5" t="str">
        <f t="shared" si="23"/>
        <v>Nov</v>
      </c>
    </row>
    <row r="765" spans="1:13" x14ac:dyDescent="0.25">
      <c r="A765" s="2">
        <v>38351</v>
      </c>
      <c r="B765" t="s">
        <v>15</v>
      </c>
      <c r="C765" t="s">
        <v>27</v>
      </c>
      <c r="D765" t="s">
        <v>16</v>
      </c>
      <c r="E765" t="s">
        <v>20</v>
      </c>
      <c r="F765" s="3">
        <v>2150.9699999999998</v>
      </c>
      <c r="G765" s="3">
        <v>5002.25</v>
      </c>
      <c r="H765" s="3">
        <f>Table1[[#This Row],[Sale]]-Table1[[#This Row],[Cost]]</f>
        <v>2851.28</v>
      </c>
      <c r="I765" s="4">
        <f>Table1[[#This Row],[Profit]]/Table1[[#This Row],[Sale]]</f>
        <v>0.56999950022489887</v>
      </c>
      <c r="J765" s="5">
        <f t="shared" si="22"/>
        <v>2004</v>
      </c>
      <c r="K765" s="5">
        <f>MONTH(Table1[[#This Row],[Date]])</f>
        <v>12</v>
      </c>
      <c r="L765" s="5">
        <f>DAY(Table1[[#This Row],[Date]])</f>
        <v>30</v>
      </c>
      <c r="M765" s="5" t="str">
        <f t="shared" si="23"/>
        <v>Dec</v>
      </c>
    </row>
    <row r="766" spans="1:13" x14ac:dyDescent="0.25">
      <c r="A766" s="2">
        <v>38517</v>
      </c>
      <c r="B766" t="s">
        <v>21</v>
      </c>
      <c r="C766" t="s">
        <v>18</v>
      </c>
      <c r="D766" t="s">
        <v>13</v>
      </c>
      <c r="E766" t="s">
        <v>20</v>
      </c>
      <c r="F766" s="3">
        <v>4333.6499999999996</v>
      </c>
      <c r="G766" s="3">
        <v>7879.37</v>
      </c>
      <c r="H766" s="3">
        <f>Table1[[#This Row],[Sale]]-Table1[[#This Row],[Cost]]</f>
        <v>3545.7200000000003</v>
      </c>
      <c r="I766" s="4">
        <f>Table1[[#This Row],[Profit]]/Table1[[#This Row],[Sale]]</f>
        <v>0.45000044419794988</v>
      </c>
      <c r="J766" s="5">
        <f t="shared" si="22"/>
        <v>2005</v>
      </c>
      <c r="K766" s="5">
        <f>MONTH(Table1[[#This Row],[Date]])</f>
        <v>6</v>
      </c>
      <c r="L766" s="5">
        <f>DAY(Table1[[#This Row],[Date]])</f>
        <v>14</v>
      </c>
      <c r="M766" s="5" t="str">
        <f t="shared" si="23"/>
        <v>Jun</v>
      </c>
    </row>
    <row r="767" spans="1:13" x14ac:dyDescent="0.25">
      <c r="A767" s="2">
        <v>38379</v>
      </c>
      <c r="B767" t="s">
        <v>17</v>
      </c>
      <c r="C767" t="s">
        <v>27</v>
      </c>
      <c r="D767" t="s">
        <v>19</v>
      </c>
      <c r="E767" t="s">
        <v>24</v>
      </c>
      <c r="F767" s="3">
        <v>4856.3</v>
      </c>
      <c r="G767" s="3">
        <v>5193.8999999999996</v>
      </c>
      <c r="H767" s="3">
        <f>Table1[[#This Row],[Sale]]-Table1[[#This Row],[Cost]]</f>
        <v>337.59999999999945</v>
      </c>
      <c r="I767" s="4">
        <f>Table1[[#This Row],[Profit]]/Table1[[#This Row],[Sale]]</f>
        <v>6.49993261325785E-2</v>
      </c>
      <c r="J767" s="5">
        <f t="shared" si="22"/>
        <v>2005</v>
      </c>
      <c r="K767" s="5">
        <f>MONTH(Table1[[#This Row],[Date]])</f>
        <v>1</v>
      </c>
      <c r="L767" s="5">
        <f>DAY(Table1[[#This Row],[Date]])</f>
        <v>27</v>
      </c>
      <c r="M767" s="5" t="str">
        <f t="shared" si="23"/>
        <v>Jan</v>
      </c>
    </row>
    <row r="768" spans="1:13" x14ac:dyDescent="0.25">
      <c r="A768" s="2">
        <v>38450</v>
      </c>
      <c r="B768" t="s">
        <v>11</v>
      </c>
      <c r="C768" t="s">
        <v>18</v>
      </c>
      <c r="D768" t="s">
        <v>13</v>
      </c>
      <c r="E768" t="s">
        <v>14</v>
      </c>
      <c r="F768" s="3">
        <v>311.57</v>
      </c>
      <c r="G768" s="3">
        <v>415.43</v>
      </c>
      <c r="H768" s="3">
        <f>Table1[[#This Row],[Sale]]-Table1[[#This Row],[Cost]]</f>
        <v>103.86000000000001</v>
      </c>
      <c r="I768" s="4">
        <f>Table1[[#This Row],[Profit]]/Table1[[#This Row],[Sale]]</f>
        <v>0.25000601786101151</v>
      </c>
      <c r="J768" s="5">
        <f t="shared" si="22"/>
        <v>2005</v>
      </c>
      <c r="K768" s="5">
        <f>MONTH(Table1[[#This Row],[Date]])</f>
        <v>4</v>
      </c>
      <c r="L768" s="5">
        <f>DAY(Table1[[#This Row],[Date]])</f>
        <v>8</v>
      </c>
      <c r="M768" s="5" t="str">
        <f t="shared" si="23"/>
        <v>Apr</v>
      </c>
    </row>
    <row r="769" spans="1:13" x14ac:dyDescent="0.25">
      <c r="A769" s="2">
        <v>38794</v>
      </c>
      <c r="B769" t="s">
        <v>15</v>
      </c>
      <c r="C769" t="s">
        <v>23</v>
      </c>
      <c r="D769" t="s">
        <v>28</v>
      </c>
      <c r="E769" t="s">
        <v>24</v>
      </c>
      <c r="F769" s="3">
        <v>2962.53</v>
      </c>
      <c r="G769" s="3">
        <v>4356.66</v>
      </c>
      <c r="H769" s="3">
        <f>Table1[[#This Row],[Sale]]-Table1[[#This Row],[Cost]]</f>
        <v>1394.1299999999997</v>
      </c>
      <c r="I769" s="4">
        <f>Table1[[#This Row],[Profit]]/Table1[[#This Row],[Sale]]</f>
        <v>0.31999972455963965</v>
      </c>
      <c r="J769" s="5">
        <f t="shared" si="22"/>
        <v>2006</v>
      </c>
      <c r="K769" s="5">
        <f>MONTH(Table1[[#This Row],[Date]])</f>
        <v>3</v>
      </c>
      <c r="L769" s="5">
        <f>DAY(Table1[[#This Row],[Date]])</f>
        <v>18</v>
      </c>
      <c r="M769" s="5" t="str">
        <f t="shared" si="23"/>
        <v>Mar</v>
      </c>
    </row>
    <row r="770" spans="1:13" x14ac:dyDescent="0.25">
      <c r="A770" s="2">
        <v>38819</v>
      </c>
      <c r="B770" t="s">
        <v>26</v>
      </c>
      <c r="C770" t="s">
        <v>27</v>
      </c>
      <c r="D770" t="s">
        <v>16</v>
      </c>
      <c r="E770" t="s">
        <v>24</v>
      </c>
      <c r="F770" s="3">
        <v>751.76</v>
      </c>
      <c r="G770" s="3">
        <v>1670.57</v>
      </c>
      <c r="H770" s="3">
        <f>Table1[[#This Row],[Sale]]-Table1[[#This Row],[Cost]]</f>
        <v>918.81</v>
      </c>
      <c r="I770" s="4">
        <f>Table1[[#This Row],[Profit]]/Table1[[#This Row],[Sale]]</f>
        <v>0.54999790490670852</v>
      </c>
      <c r="J770" s="5">
        <f t="shared" ref="J770:J833" si="24">YEAR(A:A)</f>
        <v>2006</v>
      </c>
      <c r="K770" s="5">
        <f>MONTH(Table1[[#This Row],[Date]])</f>
        <v>4</v>
      </c>
      <c r="L770" s="5">
        <f>DAY(Table1[[#This Row],[Date]])</f>
        <v>12</v>
      </c>
      <c r="M770" s="5" t="str">
        <f t="shared" ref="M770:M833" si="25">CHOOSE(K770,"Jan", "Feb", "Mar", "Apr", "May", "Jun", "Jul", "Aug", "Sep", "Oct", "Nov", "Dec")</f>
        <v>Apr</v>
      </c>
    </row>
    <row r="771" spans="1:13" x14ac:dyDescent="0.25">
      <c r="A771" s="2">
        <v>38689</v>
      </c>
      <c r="B771" t="s">
        <v>15</v>
      </c>
      <c r="C771" t="s">
        <v>29</v>
      </c>
      <c r="D771" t="s">
        <v>19</v>
      </c>
      <c r="E771" t="s">
        <v>20</v>
      </c>
      <c r="F771" s="3">
        <v>2044.57</v>
      </c>
      <c r="G771" s="3">
        <v>3465.37</v>
      </c>
      <c r="H771" s="3">
        <f>Table1[[#This Row],[Sale]]-Table1[[#This Row],[Cost]]</f>
        <v>1420.8</v>
      </c>
      <c r="I771" s="4">
        <f>Table1[[#This Row],[Profit]]/Table1[[#This Row],[Sale]]</f>
        <v>0.40999950943189328</v>
      </c>
      <c r="J771" s="5">
        <f t="shared" si="24"/>
        <v>2005</v>
      </c>
      <c r="K771" s="5">
        <f>MONTH(Table1[[#This Row],[Date]])</f>
        <v>12</v>
      </c>
      <c r="L771" s="5">
        <f>DAY(Table1[[#This Row],[Date]])</f>
        <v>3</v>
      </c>
      <c r="M771" s="5" t="str">
        <f t="shared" si="25"/>
        <v>Dec</v>
      </c>
    </row>
    <row r="772" spans="1:13" x14ac:dyDescent="0.25">
      <c r="A772" s="2">
        <v>38708</v>
      </c>
      <c r="B772" t="s">
        <v>21</v>
      </c>
      <c r="C772" t="s">
        <v>12</v>
      </c>
      <c r="D772" t="s">
        <v>19</v>
      </c>
      <c r="E772" t="s">
        <v>24</v>
      </c>
      <c r="F772" s="3">
        <v>4847.26</v>
      </c>
      <c r="G772" s="3">
        <v>8215.7000000000007</v>
      </c>
      <c r="H772" s="3">
        <f>Table1[[#This Row],[Sale]]-Table1[[#This Row],[Cost]]</f>
        <v>3368.4400000000005</v>
      </c>
      <c r="I772" s="4">
        <f>Table1[[#This Row],[Profit]]/Table1[[#This Row],[Sale]]</f>
        <v>0.41000036515452126</v>
      </c>
      <c r="J772" s="5">
        <f t="shared" si="24"/>
        <v>2005</v>
      </c>
      <c r="K772" s="5">
        <f>MONTH(Table1[[#This Row],[Date]])</f>
        <v>12</v>
      </c>
      <c r="L772" s="5">
        <f>DAY(Table1[[#This Row],[Date]])</f>
        <v>22</v>
      </c>
      <c r="M772" s="5" t="str">
        <f t="shared" si="25"/>
        <v>Dec</v>
      </c>
    </row>
    <row r="773" spans="1:13" x14ac:dyDescent="0.25">
      <c r="A773" s="2">
        <v>38843</v>
      </c>
      <c r="B773" t="s">
        <v>22</v>
      </c>
      <c r="C773" t="s">
        <v>29</v>
      </c>
      <c r="D773" t="s">
        <v>19</v>
      </c>
      <c r="E773" t="s">
        <v>25</v>
      </c>
      <c r="F773" s="3">
        <v>3172.06</v>
      </c>
      <c r="G773" s="3">
        <v>8573.14</v>
      </c>
      <c r="H773" s="3">
        <f>Table1[[#This Row],[Sale]]-Table1[[#This Row],[Cost]]</f>
        <v>5401.08</v>
      </c>
      <c r="I773" s="4">
        <f>Table1[[#This Row],[Profit]]/Table1[[#This Row],[Sale]]</f>
        <v>0.63000020995807837</v>
      </c>
      <c r="J773" s="5">
        <f t="shared" si="24"/>
        <v>2006</v>
      </c>
      <c r="K773" s="5">
        <f>MONTH(Table1[[#This Row],[Date]])</f>
        <v>5</v>
      </c>
      <c r="L773" s="5">
        <f>DAY(Table1[[#This Row],[Date]])</f>
        <v>6</v>
      </c>
      <c r="M773" s="5" t="str">
        <f t="shared" si="25"/>
        <v>May</v>
      </c>
    </row>
    <row r="774" spans="1:13" x14ac:dyDescent="0.25">
      <c r="A774" s="2">
        <v>38178</v>
      </c>
      <c r="B774" t="s">
        <v>22</v>
      </c>
      <c r="C774" t="s">
        <v>12</v>
      </c>
      <c r="D774" t="s">
        <v>19</v>
      </c>
      <c r="E774" t="s">
        <v>20</v>
      </c>
      <c r="F774" s="3">
        <v>5100.55</v>
      </c>
      <c r="G774" s="3">
        <v>9273.73</v>
      </c>
      <c r="H774" s="3">
        <f>Table1[[#This Row],[Sale]]-Table1[[#This Row],[Cost]]</f>
        <v>4173.1799999999994</v>
      </c>
      <c r="I774" s="4">
        <f>Table1[[#This Row],[Profit]]/Table1[[#This Row],[Sale]]</f>
        <v>0.45000016174721491</v>
      </c>
      <c r="J774" s="5">
        <f t="shared" si="24"/>
        <v>2004</v>
      </c>
      <c r="K774" s="5">
        <f>MONTH(Table1[[#This Row],[Date]])</f>
        <v>7</v>
      </c>
      <c r="L774" s="5">
        <f>DAY(Table1[[#This Row],[Date]])</f>
        <v>10</v>
      </c>
      <c r="M774" s="5" t="str">
        <f t="shared" si="25"/>
        <v>Jul</v>
      </c>
    </row>
    <row r="775" spans="1:13" x14ac:dyDescent="0.25">
      <c r="A775" s="2">
        <v>38390</v>
      </c>
      <c r="B775" t="s">
        <v>22</v>
      </c>
      <c r="C775" t="s">
        <v>29</v>
      </c>
      <c r="D775" t="s">
        <v>28</v>
      </c>
      <c r="E775" t="s">
        <v>14</v>
      </c>
      <c r="F775" s="3">
        <v>3726.03</v>
      </c>
      <c r="G775" s="3">
        <v>3985.06</v>
      </c>
      <c r="H775" s="3">
        <f>Table1[[#This Row],[Sale]]-Table1[[#This Row],[Cost]]</f>
        <v>259.02999999999975</v>
      </c>
      <c r="I775" s="4">
        <f>Table1[[#This Row],[Profit]]/Table1[[#This Row],[Sale]]</f>
        <v>6.5000276030975634E-2</v>
      </c>
      <c r="J775" s="5">
        <f t="shared" si="24"/>
        <v>2005</v>
      </c>
      <c r="K775" s="5">
        <f>MONTH(Table1[[#This Row],[Date]])</f>
        <v>2</v>
      </c>
      <c r="L775" s="5">
        <f>DAY(Table1[[#This Row],[Date]])</f>
        <v>7</v>
      </c>
      <c r="M775" s="5" t="str">
        <f t="shared" si="25"/>
        <v>Feb</v>
      </c>
    </row>
    <row r="776" spans="1:13" x14ac:dyDescent="0.25">
      <c r="A776" s="2">
        <v>38563</v>
      </c>
      <c r="B776" t="s">
        <v>21</v>
      </c>
      <c r="C776" t="s">
        <v>12</v>
      </c>
      <c r="D776" t="s">
        <v>13</v>
      </c>
      <c r="E776" t="s">
        <v>25</v>
      </c>
      <c r="F776" s="3">
        <v>5237.0200000000004</v>
      </c>
      <c r="G776" s="3">
        <v>6982.69</v>
      </c>
      <c r="H776" s="3">
        <f>Table1[[#This Row],[Sale]]-Table1[[#This Row],[Cost]]</f>
        <v>1745.6699999999992</v>
      </c>
      <c r="I776" s="4">
        <f>Table1[[#This Row],[Profit]]/Table1[[#This Row],[Sale]]</f>
        <v>0.24999964197179014</v>
      </c>
      <c r="J776" s="5">
        <f t="shared" si="24"/>
        <v>2005</v>
      </c>
      <c r="K776" s="5">
        <f>MONTH(Table1[[#This Row],[Date]])</f>
        <v>7</v>
      </c>
      <c r="L776" s="5">
        <f>DAY(Table1[[#This Row],[Date]])</f>
        <v>30</v>
      </c>
      <c r="M776" s="5" t="str">
        <f t="shared" si="25"/>
        <v>Jul</v>
      </c>
    </row>
    <row r="777" spans="1:13" x14ac:dyDescent="0.25">
      <c r="A777" s="2">
        <v>38432</v>
      </c>
      <c r="B777" t="s">
        <v>21</v>
      </c>
      <c r="C777" t="s">
        <v>27</v>
      </c>
      <c r="D777" t="s">
        <v>28</v>
      </c>
      <c r="E777" t="s">
        <v>20</v>
      </c>
      <c r="F777" s="3">
        <v>260.95999999999998</v>
      </c>
      <c r="G777" s="3">
        <v>579.91999999999996</v>
      </c>
      <c r="H777" s="3">
        <f>Table1[[#This Row],[Sale]]-Table1[[#This Row],[Cost]]</f>
        <v>318.95999999999998</v>
      </c>
      <c r="I777" s="4">
        <f>Table1[[#This Row],[Profit]]/Table1[[#This Row],[Sale]]</f>
        <v>0.55000689750310383</v>
      </c>
      <c r="J777" s="5">
        <f t="shared" si="24"/>
        <v>2005</v>
      </c>
      <c r="K777" s="5">
        <f>MONTH(Table1[[#This Row],[Date]])</f>
        <v>3</v>
      </c>
      <c r="L777" s="5">
        <f>DAY(Table1[[#This Row],[Date]])</f>
        <v>21</v>
      </c>
      <c r="M777" s="5" t="str">
        <f t="shared" si="25"/>
        <v>Mar</v>
      </c>
    </row>
    <row r="778" spans="1:13" x14ac:dyDescent="0.25">
      <c r="A778" s="2">
        <v>38162</v>
      </c>
      <c r="B778" t="s">
        <v>11</v>
      </c>
      <c r="C778" t="s">
        <v>18</v>
      </c>
      <c r="D778" t="s">
        <v>19</v>
      </c>
      <c r="E778" t="s">
        <v>24</v>
      </c>
      <c r="F778" s="3">
        <v>4968.84</v>
      </c>
      <c r="G778" s="3">
        <v>9034.25</v>
      </c>
      <c r="H778" s="3">
        <f>Table1[[#This Row],[Sale]]-Table1[[#This Row],[Cost]]</f>
        <v>4065.41</v>
      </c>
      <c r="I778" s="4">
        <f>Table1[[#This Row],[Profit]]/Table1[[#This Row],[Sale]]</f>
        <v>0.4499997232753134</v>
      </c>
      <c r="J778" s="5">
        <f t="shared" si="24"/>
        <v>2004</v>
      </c>
      <c r="K778" s="5">
        <f>MONTH(Table1[[#This Row],[Date]])</f>
        <v>6</v>
      </c>
      <c r="L778" s="5">
        <f>DAY(Table1[[#This Row],[Date]])</f>
        <v>24</v>
      </c>
      <c r="M778" s="5" t="str">
        <f t="shared" si="25"/>
        <v>Jun</v>
      </c>
    </row>
    <row r="779" spans="1:13" x14ac:dyDescent="0.25">
      <c r="A779" s="2">
        <v>38798</v>
      </c>
      <c r="B779" t="s">
        <v>21</v>
      </c>
      <c r="C779" t="s">
        <v>12</v>
      </c>
      <c r="D779" t="s">
        <v>13</v>
      </c>
      <c r="E779" t="s">
        <v>24</v>
      </c>
      <c r="F779" s="3">
        <v>1547.53</v>
      </c>
      <c r="G779" s="3">
        <v>2813.69</v>
      </c>
      <c r="H779" s="3">
        <f>Table1[[#This Row],[Sale]]-Table1[[#This Row],[Cost]]</f>
        <v>1266.1600000000001</v>
      </c>
      <c r="I779" s="4">
        <f>Table1[[#This Row],[Profit]]/Table1[[#This Row],[Sale]]</f>
        <v>0.4499998222974102</v>
      </c>
      <c r="J779" s="5">
        <f t="shared" si="24"/>
        <v>2006</v>
      </c>
      <c r="K779" s="5">
        <f>MONTH(Table1[[#This Row],[Date]])</f>
        <v>3</v>
      </c>
      <c r="L779" s="5">
        <f>DAY(Table1[[#This Row],[Date]])</f>
        <v>22</v>
      </c>
      <c r="M779" s="5" t="str">
        <f t="shared" si="25"/>
        <v>Mar</v>
      </c>
    </row>
    <row r="780" spans="1:13" x14ac:dyDescent="0.25">
      <c r="A780" s="2">
        <v>38856</v>
      </c>
      <c r="B780" t="s">
        <v>11</v>
      </c>
      <c r="C780" t="s">
        <v>12</v>
      </c>
      <c r="D780" t="s">
        <v>13</v>
      </c>
      <c r="E780" t="s">
        <v>20</v>
      </c>
      <c r="F780" s="3">
        <v>3908.89</v>
      </c>
      <c r="G780" s="3">
        <v>4441.92</v>
      </c>
      <c r="H780" s="3">
        <f>Table1[[#This Row],[Sale]]-Table1[[#This Row],[Cost]]</f>
        <v>533.0300000000002</v>
      </c>
      <c r="I780" s="4">
        <f>Table1[[#This Row],[Profit]]/Table1[[#This Row],[Sale]]</f>
        <v>0.11999990994885099</v>
      </c>
      <c r="J780" s="5">
        <f t="shared" si="24"/>
        <v>2006</v>
      </c>
      <c r="K780" s="5">
        <f>MONTH(Table1[[#This Row],[Date]])</f>
        <v>5</v>
      </c>
      <c r="L780" s="5">
        <f>DAY(Table1[[#This Row],[Date]])</f>
        <v>19</v>
      </c>
      <c r="M780" s="5" t="str">
        <f t="shared" si="25"/>
        <v>May</v>
      </c>
    </row>
    <row r="781" spans="1:13" x14ac:dyDescent="0.25">
      <c r="A781" s="2">
        <v>38512</v>
      </c>
      <c r="B781" t="s">
        <v>22</v>
      </c>
      <c r="C781" t="s">
        <v>27</v>
      </c>
      <c r="D781" t="s">
        <v>16</v>
      </c>
      <c r="E781" t="s">
        <v>20</v>
      </c>
      <c r="F781" s="3">
        <v>3481.28</v>
      </c>
      <c r="G781" s="3">
        <v>6002.2</v>
      </c>
      <c r="H781" s="3">
        <f>Table1[[#This Row],[Sale]]-Table1[[#This Row],[Cost]]</f>
        <v>2520.9199999999996</v>
      </c>
      <c r="I781" s="4">
        <f>Table1[[#This Row],[Profit]]/Table1[[#This Row],[Sale]]</f>
        <v>0.41999933357768815</v>
      </c>
      <c r="J781" s="5">
        <f t="shared" si="24"/>
        <v>2005</v>
      </c>
      <c r="K781" s="5">
        <f>MONTH(Table1[[#This Row],[Date]])</f>
        <v>6</v>
      </c>
      <c r="L781" s="5">
        <f>DAY(Table1[[#This Row],[Date]])</f>
        <v>9</v>
      </c>
      <c r="M781" s="5" t="str">
        <f t="shared" si="25"/>
        <v>Jun</v>
      </c>
    </row>
    <row r="782" spans="1:13" x14ac:dyDescent="0.25">
      <c r="A782" s="2">
        <v>38757</v>
      </c>
      <c r="B782" t="s">
        <v>21</v>
      </c>
      <c r="C782" t="s">
        <v>29</v>
      </c>
      <c r="D782" t="s">
        <v>28</v>
      </c>
      <c r="E782" t="s">
        <v>20</v>
      </c>
      <c r="F782" s="3">
        <v>1140.27</v>
      </c>
      <c r="G782" s="3">
        <v>2533.94</v>
      </c>
      <c r="H782" s="3">
        <f>Table1[[#This Row],[Sale]]-Table1[[#This Row],[Cost]]</f>
        <v>1393.67</v>
      </c>
      <c r="I782" s="4">
        <f>Table1[[#This Row],[Profit]]/Table1[[#This Row],[Sale]]</f>
        <v>0.55000118392700692</v>
      </c>
      <c r="J782" s="5">
        <f t="shared" si="24"/>
        <v>2006</v>
      </c>
      <c r="K782" s="5">
        <f>MONTH(Table1[[#This Row],[Date]])</f>
        <v>2</v>
      </c>
      <c r="L782" s="5">
        <f>DAY(Table1[[#This Row],[Date]])</f>
        <v>9</v>
      </c>
      <c r="M782" s="5" t="str">
        <f t="shared" si="25"/>
        <v>Feb</v>
      </c>
    </row>
    <row r="783" spans="1:13" x14ac:dyDescent="0.25">
      <c r="A783" s="2">
        <v>38566</v>
      </c>
      <c r="B783" t="s">
        <v>17</v>
      </c>
      <c r="C783" t="s">
        <v>12</v>
      </c>
      <c r="D783" t="s">
        <v>28</v>
      </c>
      <c r="E783" t="s">
        <v>14</v>
      </c>
      <c r="F783" s="3">
        <v>4364.4399999999996</v>
      </c>
      <c r="G783" s="3">
        <v>4667.8500000000004</v>
      </c>
      <c r="H783" s="3">
        <f>Table1[[#This Row],[Sale]]-Table1[[#This Row],[Cost]]</f>
        <v>303.41000000000076</v>
      </c>
      <c r="I783" s="4">
        <f>Table1[[#This Row],[Profit]]/Table1[[#This Row],[Sale]]</f>
        <v>6.4999946442152332E-2</v>
      </c>
      <c r="J783" s="5">
        <f t="shared" si="24"/>
        <v>2005</v>
      </c>
      <c r="K783" s="5">
        <f>MONTH(Table1[[#This Row],[Date]])</f>
        <v>8</v>
      </c>
      <c r="L783" s="5">
        <f>DAY(Table1[[#This Row],[Date]])</f>
        <v>2</v>
      </c>
      <c r="M783" s="5" t="str">
        <f t="shared" si="25"/>
        <v>Aug</v>
      </c>
    </row>
    <row r="784" spans="1:13" x14ac:dyDescent="0.25">
      <c r="A784" s="2">
        <v>38157</v>
      </c>
      <c r="B784" t="s">
        <v>11</v>
      </c>
      <c r="C784" t="s">
        <v>12</v>
      </c>
      <c r="D784" t="s">
        <v>13</v>
      </c>
      <c r="E784" t="s">
        <v>25</v>
      </c>
      <c r="F784" s="3">
        <v>121.98</v>
      </c>
      <c r="G784" s="3">
        <v>271.06</v>
      </c>
      <c r="H784" s="3">
        <f>Table1[[#This Row],[Sale]]-Table1[[#This Row],[Cost]]</f>
        <v>149.07999999999998</v>
      </c>
      <c r="I784" s="4">
        <f>Table1[[#This Row],[Profit]]/Table1[[#This Row],[Sale]]</f>
        <v>0.54998893233970336</v>
      </c>
      <c r="J784" s="5">
        <f t="shared" si="24"/>
        <v>2004</v>
      </c>
      <c r="K784" s="5">
        <f>MONTH(Table1[[#This Row],[Date]])</f>
        <v>6</v>
      </c>
      <c r="L784" s="5">
        <f>DAY(Table1[[#This Row],[Date]])</f>
        <v>19</v>
      </c>
      <c r="M784" s="5" t="str">
        <f t="shared" si="25"/>
        <v>Jun</v>
      </c>
    </row>
    <row r="785" spans="1:13" x14ac:dyDescent="0.25">
      <c r="A785" s="2">
        <v>38439</v>
      </c>
      <c r="B785" t="s">
        <v>15</v>
      </c>
      <c r="C785" t="s">
        <v>29</v>
      </c>
      <c r="D785" t="s">
        <v>16</v>
      </c>
      <c r="E785" t="s">
        <v>20</v>
      </c>
      <c r="F785" s="3">
        <v>287.94</v>
      </c>
      <c r="G785" s="3">
        <v>523.52</v>
      </c>
      <c r="H785" s="3">
        <f>Table1[[#This Row],[Sale]]-Table1[[#This Row],[Cost]]</f>
        <v>235.57999999999998</v>
      </c>
      <c r="I785" s="4">
        <f>Table1[[#This Row],[Profit]]/Table1[[#This Row],[Sale]]</f>
        <v>0.44999235941320292</v>
      </c>
      <c r="J785" s="5">
        <f t="shared" si="24"/>
        <v>2005</v>
      </c>
      <c r="K785" s="5">
        <f>MONTH(Table1[[#This Row],[Date]])</f>
        <v>3</v>
      </c>
      <c r="L785" s="5">
        <f>DAY(Table1[[#This Row],[Date]])</f>
        <v>28</v>
      </c>
      <c r="M785" s="5" t="str">
        <f t="shared" si="25"/>
        <v>Mar</v>
      </c>
    </row>
    <row r="786" spans="1:13" x14ac:dyDescent="0.25">
      <c r="A786" s="2">
        <v>38754</v>
      </c>
      <c r="B786" t="s">
        <v>22</v>
      </c>
      <c r="C786" t="s">
        <v>29</v>
      </c>
      <c r="D786" t="s">
        <v>16</v>
      </c>
      <c r="E786" t="s">
        <v>24</v>
      </c>
      <c r="F786" s="3">
        <v>7334.86</v>
      </c>
      <c r="G786" s="3">
        <v>7844.77</v>
      </c>
      <c r="H786" s="3">
        <f>Table1[[#This Row],[Sale]]-Table1[[#This Row],[Cost]]</f>
        <v>509.91000000000076</v>
      </c>
      <c r="I786" s="4">
        <f>Table1[[#This Row],[Profit]]/Table1[[#This Row],[Sale]]</f>
        <v>6.4999993626326927E-2</v>
      </c>
      <c r="J786" s="5">
        <f t="shared" si="24"/>
        <v>2006</v>
      </c>
      <c r="K786" s="5">
        <f>MONTH(Table1[[#This Row],[Date]])</f>
        <v>2</v>
      </c>
      <c r="L786" s="5">
        <f>DAY(Table1[[#This Row],[Date]])</f>
        <v>6</v>
      </c>
      <c r="M786" s="5" t="str">
        <f t="shared" si="25"/>
        <v>Feb</v>
      </c>
    </row>
    <row r="787" spans="1:13" x14ac:dyDescent="0.25">
      <c r="A787" s="2">
        <v>38776</v>
      </c>
      <c r="B787" t="s">
        <v>17</v>
      </c>
      <c r="C787" t="s">
        <v>18</v>
      </c>
      <c r="D787" t="s">
        <v>28</v>
      </c>
      <c r="E787" t="s">
        <v>25</v>
      </c>
      <c r="F787" s="3">
        <v>8702.34</v>
      </c>
      <c r="G787" s="3">
        <v>9889.02</v>
      </c>
      <c r="H787" s="3">
        <f>Table1[[#This Row],[Sale]]-Table1[[#This Row],[Cost]]</f>
        <v>1186.6800000000003</v>
      </c>
      <c r="I787" s="4">
        <f>Table1[[#This Row],[Profit]]/Table1[[#This Row],[Sale]]</f>
        <v>0.11999975730658854</v>
      </c>
      <c r="J787" s="5">
        <f t="shared" si="24"/>
        <v>2006</v>
      </c>
      <c r="K787" s="5">
        <f>MONTH(Table1[[#This Row],[Date]])</f>
        <v>2</v>
      </c>
      <c r="L787" s="5">
        <f>DAY(Table1[[#This Row],[Date]])</f>
        <v>28</v>
      </c>
      <c r="M787" s="5" t="str">
        <f t="shared" si="25"/>
        <v>Feb</v>
      </c>
    </row>
    <row r="788" spans="1:13" x14ac:dyDescent="0.25">
      <c r="A788" s="2">
        <v>38862</v>
      </c>
      <c r="B788" t="s">
        <v>11</v>
      </c>
      <c r="C788" t="s">
        <v>12</v>
      </c>
      <c r="D788" t="s">
        <v>13</v>
      </c>
      <c r="E788" t="s">
        <v>20</v>
      </c>
      <c r="F788" s="3">
        <v>2580.64</v>
      </c>
      <c r="G788" s="3">
        <v>6974.7</v>
      </c>
      <c r="H788" s="3">
        <f>Table1[[#This Row],[Sale]]-Table1[[#This Row],[Cost]]</f>
        <v>4394.0599999999995</v>
      </c>
      <c r="I788" s="4">
        <f>Table1[[#This Row],[Profit]]/Table1[[#This Row],[Sale]]</f>
        <v>0.62999985662465763</v>
      </c>
      <c r="J788" s="5">
        <f t="shared" si="24"/>
        <v>2006</v>
      </c>
      <c r="K788" s="5">
        <f>MONTH(Table1[[#This Row],[Date]])</f>
        <v>5</v>
      </c>
      <c r="L788" s="5">
        <f>DAY(Table1[[#This Row],[Date]])</f>
        <v>25</v>
      </c>
      <c r="M788" s="5" t="str">
        <f t="shared" si="25"/>
        <v>May</v>
      </c>
    </row>
    <row r="789" spans="1:13" x14ac:dyDescent="0.25">
      <c r="A789" s="2">
        <v>38537</v>
      </c>
      <c r="B789" t="s">
        <v>15</v>
      </c>
      <c r="C789" t="s">
        <v>12</v>
      </c>
      <c r="D789" t="s">
        <v>16</v>
      </c>
      <c r="E789" t="s">
        <v>20</v>
      </c>
      <c r="F789" s="3">
        <v>344.94</v>
      </c>
      <c r="G789" s="3">
        <v>368.92</v>
      </c>
      <c r="H789" s="3">
        <f>Table1[[#This Row],[Sale]]-Table1[[#This Row],[Cost]]</f>
        <v>23.980000000000018</v>
      </c>
      <c r="I789" s="4">
        <f>Table1[[#This Row],[Profit]]/Table1[[#This Row],[Sale]]</f>
        <v>6.5000542122953531E-2</v>
      </c>
      <c r="J789" s="5">
        <f t="shared" si="24"/>
        <v>2005</v>
      </c>
      <c r="K789" s="5">
        <f>MONTH(Table1[[#This Row],[Date]])</f>
        <v>7</v>
      </c>
      <c r="L789" s="5">
        <f>DAY(Table1[[#This Row],[Date]])</f>
        <v>4</v>
      </c>
      <c r="M789" s="5" t="str">
        <f t="shared" si="25"/>
        <v>Jul</v>
      </c>
    </row>
    <row r="790" spans="1:13" x14ac:dyDescent="0.25">
      <c r="A790" s="2">
        <v>38807</v>
      </c>
      <c r="B790" t="s">
        <v>21</v>
      </c>
      <c r="C790" t="s">
        <v>29</v>
      </c>
      <c r="D790" t="s">
        <v>19</v>
      </c>
      <c r="E790" t="s">
        <v>14</v>
      </c>
      <c r="F790" s="3">
        <v>892.65</v>
      </c>
      <c r="G790" s="3">
        <v>1312.72</v>
      </c>
      <c r="H790" s="3">
        <f>Table1[[#This Row],[Sale]]-Table1[[#This Row],[Cost]]</f>
        <v>420.07000000000005</v>
      </c>
      <c r="I790" s="4">
        <f>Table1[[#This Row],[Profit]]/Table1[[#This Row],[Sale]]</f>
        <v>0.3199996952891706</v>
      </c>
      <c r="J790" s="5">
        <f t="shared" si="24"/>
        <v>2006</v>
      </c>
      <c r="K790" s="5">
        <f>MONTH(Table1[[#This Row],[Date]])</f>
        <v>3</v>
      </c>
      <c r="L790" s="5">
        <f>DAY(Table1[[#This Row],[Date]])</f>
        <v>31</v>
      </c>
      <c r="M790" s="5" t="str">
        <f t="shared" si="25"/>
        <v>Mar</v>
      </c>
    </row>
    <row r="791" spans="1:13" x14ac:dyDescent="0.25">
      <c r="A791" s="2">
        <v>38543</v>
      </c>
      <c r="B791" t="s">
        <v>17</v>
      </c>
      <c r="C791" t="s">
        <v>18</v>
      </c>
      <c r="D791" t="s">
        <v>13</v>
      </c>
      <c r="E791" t="s">
        <v>25</v>
      </c>
      <c r="F791" s="3">
        <v>4941.51</v>
      </c>
      <c r="G791" s="3">
        <v>8984.56</v>
      </c>
      <c r="H791" s="3">
        <f>Table1[[#This Row],[Sale]]-Table1[[#This Row],[Cost]]</f>
        <v>4043.0499999999993</v>
      </c>
      <c r="I791" s="4">
        <f>Table1[[#This Row],[Profit]]/Table1[[#This Row],[Sale]]</f>
        <v>0.44999977739588798</v>
      </c>
      <c r="J791" s="5">
        <f t="shared" si="24"/>
        <v>2005</v>
      </c>
      <c r="K791" s="5">
        <f>MONTH(Table1[[#This Row],[Date]])</f>
        <v>7</v>
      </c>
      <c r="L791" s="5">
        <f>DAY(Table1[[#This Row],[Date]])</f>
        <v>10</v>
      </c>
      <c r="M791" s="5" t="str">
        <f t="shared" si="25"/>
        <v>Jul</v>
      </c>
    </row>
    <row r="792" spans="1:13" x14ac:dyDescent="0.25">
      <c r="A792" s="2">
        <v>38526</v>
      </c>
      <c r="B792" t="s">
        <v>26</v>
      </c>
      <c r="C792" t="s">
        <v>23</v>
      </c>
      <c r="D792" t="s">
        <v>13</v>
      </c>
      <c r="E792" t="s">
        <v>20</v>
      </c>
      <c r="F792" s="3">
        <v>4777.33</v>
      </c>
      <c r="G792" s="3">
        <v>7025.49</v>
      </c>
      <c r="H792" s="3">
        <f>Table1[[#This Row],[Sale]]-Table1[[#This Row],[Cost]]</f>
        <v>2248.16</v>
      </c>
      <c r="I792" s="4">
        <f>Table1[[#This Row],[Profit]]/Table1[[#This Row],[Sale]]</f>
        <v>0.32000045548424377</v>
      </c>
      <c r="J792" s="5">
        <f t="shared" si="24"/>
        <v>2005</v>
      </c>
      <c r="K792" s="5">
        <f>MONTH(Table1[[#This Row],[Date]])</f>
        <v>6</v>
      </c>
      <c r="L792" s="5">
        <f>DAY(Table1[[#This Row],[Date]])</f>
        <v>23</v>
      </c>
      <c r="M792" s="5" t="str">
        <f t="shared" si="25"/>
        <v>Jun</v>
      </c>
    </row>
    <row r="793" spans="1:13" x14ac:dyDescent="0.25">
      <c r="A793" s="2">
        <v>38559</v>
      </c>
      <c r="B793" t="s">
        <v>22</v>
      </c>
      <c r="C793" t="s">
        <v>29</v>
      </c>
      <c r="D793" t="s">
        <v>28</v>
      </c>
      <c r="E793" t="s">
        <v>14</v>
      </c>
      <c r="F793" s="3">
        <v>6050.41</v>
      </c>
      <c r="G793" s="3">
        <v>8897.66</v>
      </c>
      <c r="H793" s="3">
        <f>Table1[[#This Row],[Sale]]-Table1[[#This Row],[Cost]]</f>
        <v>2847.25</v>
      </c>
      <c r="I793" s="4">
        <f>Table1[[#This Row],[Profit]]/Table1[[#This Row],[Sale]]</f>
        <v>0.31999986513307993</v>
      </c>
      <c r="J793" s="5">
        <f t="shared" si="24"/>
        <v>2005</v>
      </c>
      <c r="K793" s="5">
        <f>MONTH(Table1[[#This Row],[Date]])</f>
        <v>7</v>
      </c>
      <c r="L793" s="5">
        <f>DAY(Table1[[#This Row],[Date]])</f>
        <v>26</v>
      </c>
      <c r="M793" s="5" t="str">
        <f t="shared" si="25"/>
        <v>Jul</v>
      </c>
    </row>
    <row r="794" spans="1:13" x14ac:dyDescent="0.25">
      <c r="A794" s="2">
        <v>38814</v>
      </c>
      <c r="B794" t="s">
        <v>11</v>
      </c>
      <c r="C794" t="s">
        <v>12</v>
      </c>
      <c r="D794" t="s">
        <v>28</v>
      </c>
      <c r="E794" t="s">
        <v>14</v>
      </c>
      <c r="F794" s="3">
        <v>2178.09</v>
      </c>
      <c r="G794" s="3">
        <v>3691.67</v>
      </c>
      <c r="H794" s="3">
        <f>Table1[[#This Row],[Sale]]-Table1[[#This Row],[Cost]]</f>
        <v>1513.58</v>
      </c>
      <c r="I794" s="4">
        <f>Table1[[#This Row],[Profit]]/Table1[[#This Row],[Sale]]</f>
        <v>0.40999872686345201</v>
      </c>
      <c r="J794" s="5">
        <f t="shared" si="24"/>
        <v>2006</v>
      </c>
      <c r="K794" s="5">
        <f>MONTH(Table1[[#This Row],[Date]])</f>
        <v>4</v>
      </c>
      <c r="L794" s="5">
        <f>DAY(Table1[[#This Row],[Date]])</f>
        <v>7</v>
      </c>
      <c r="M794" s="5" t="str">
        <f t="shared" si="25"/>
        <v>Apr</v>
      </c>
    </row>
    <row r="795" spans="1:13" x14ac:dyDescent="0.25">
      <c r="A795" s="2">
        <v>38838</v>
      </c>
      <c r="B795" t="s">
        <v>17</v>
      </c>
      <c r="C795" t="s">
        <v>18</v>
      </c>
      <c r="D795" t="s">
        <v>28</v>
      </c>
      <c r="E795" t="s">
        <v>25</v>
      </c>
      <c r="F795" s="3">
        <v>2347.59</v>
      </c>
      <c r="G795" s="3">
        <v>3130.12</v>
      </c>
      <c r="H795" s="3">
        <f>Table1[[#This Row],[Sale]]-Table1[[#This Row],[Cost]]</f>
        <v>782.52999999999975</v>
      </c>
      <c r="I795" s="4">
        <f>Table1[[#This Row],[Profit]]/Table1[[#This Row],[Sale]]</f>
        <v>0.24999999999999992</v>
      </c>
      <c r="J795" s="5">
        <f t="shared" si="24"/>
        <v>2006</v>
      </c>
      <c r="K795" s="5">
        <f>MONTH(Table1[[#This Row],[Date]])</f>
        <v>5</v>
      </c>
      <c r="L795" s="5">
        <f>DAY(Table1[[#This Row],[Date]])</f>
        <v>1</v>
      </c>
      <c r="M795" s="5" t="str">
        <f t="shared" si="25"/>
        <v>May</v>
      </c>
    </row>
    <row r="796" spans="1:13" x14ac:dyDescent="0.25">
      <c r="A796" s="2">
        <v>38448</v>
      </c>
      <c r="B796" t="s">
        <v>22</v>
      </c>
      <c r="C796" t="s">
        <v>27</v>
      </c>
      <c r="D796" t="s">
        <v>28</v>
      </c>
      <c r="E796" t="s">
        <v>25</v>
      </c>
      <c r="F796" s="3">
        <v>7375.16</v>
      </c>
      <c r="G796" s="3">
        <v>7887.87</v>
      </c>
      <c r="H796" s="3">
        <f>Table1[[#This Row],[Sale]]-Table1[[#This Row],[Cost]]</f>
        <v>512.71</v>
      </c>
      <c r="I796" s="4">
        <f>Table1[[#This Row],[Profit]]/Table1[[#This Row],[Sale]]</f>
        <v>6.4999803495747271E-2</v>
      </c>
      <c r="J796" s="5">
        <f t="shared" si="24"/>
        <v>2005</v>
      </c>
      <c r="K796" s="5">
        <f>MONTH(Table1[[#This Row],[Date]])</f>
        <v>4</v>
      </c>
      <c r="L796" s="5">
        <f>DAY(Table1[[#This Row],[Date]])</f>
        <v>6</v>
      </c>
      <c r="M796" s="5" t="str">
        <f t="shared" si="25"/>
        <v>Apr</v>
      </c>
    </row>
    <row r="797" spans="1:13" x14ac:dyDescent="0.25">
      <c r="A797" s="2">
        <v>38680</v>
      </c>
      <c r="B797" t="s">
        <v>26</v>
      </c>
      <c r="C797" t="s">
        <v>12</v>
      </c>
      <c r="D797" t="s">
        <v>13</v>
      </c>
      <c r="E797" t="s">
        <v>24</v>
      </c>
      <c r="F797" s="3">
        <v>744.48</v>
      </c>
      <c r="G797" s="3">
        <v>1094.83</v>
      </c>
      <c r="H797" s="3">
        <f>Table1[[#This Row],[Sale]]-Table1[[#This Row],[Cost]]</f>
        <v>350.34999999999991</v>
      </c>
      <c r="I797" s="4">
        <f>Table1[[#This Row],[Profit]]/Table1[[#This Row],[Sale]]</f>
        <v>0.32000401888877716</v>
      </c>
      <c r="J797" s="5">
        <f t="shared" si="24"/>
        <v>2005</v>
      </c>
      <c r="K797" s="5">
        <f>MONTH(Table1[[#This Row],[Date]])</f>
        <v>11</v>
      </c>
      <c r="L797" s="5">
        <f>DAY(Table1[[#This Row],[Date]])</f>
        <v>24</v>
      </c>
      <c r="M797" s="5" t="str">
        <f t="shared" si="25"/>
        <v>Nov</v>
      </c>
    </row>
    <row r="798" spans="1:13" x14ac:dyDescent="0.25">
      <c r="A798" s="2">
        <v>38660</v>
      </c>
      <c r="B798" t="s">
        <v>22</v>
      </c>
      <c r="C798" t="s">
        <v>18</v>
      </c>
      <c r="D798" t="s">
        <v>28</v>
      </c>
      <c r="E798" t="s">
        <v>20</v>
      </c>
      <c r="F798" s="3">
        <v>6525.3</v>
      </c>
      <c r="G798" s="3">
        <v>8700.4</v>
      </c>
      <c r="H798" s="3">
        <f>Table1[[#This Row],[Sale]]-Table1[[#This Row],[Cost]]</f>
        <v>2175.0999999999995</v>
      </c>
      <c r="I798" s="4">
        <f>Table1[[#This Row],[Profit]]/Table1[[#This Row],[Sale]]</f>
        <v>0.24999999999999994</v>
      </c>
      <c r="J798" s="5">
        <f t="shared" si="24"/>
        <v>2005</v>
      </c>
      <c r="K798" s="5">
        <f>MONTH(Table1[[#This Row],[Date]])</f>
        <v>11</v>
      </c>
      <c r="L798" s="5">
        <f>DAY(Table1[[#This Row],[Date]])</f>
        <v>4</v>
      </c>
      <c r="M798" s="5" t="str">
        <f t="shared" si="25"/>
        <v>Nov</v>
      </c>
    </row>
    <row r="799" spans="1:13" x14ac:dyDescent="0.25">
      <c r="A799" s="2">
        <v>38646</v>
      </c>
      <c r="B799" t="s">
        <v>22</v>
      </c>
      <c r="C799" t="s">
        <v>23</v>
      </c>
      <c r="D799" t="s">
        <v>28</v>
      </c>
      <c r="E799" t="s">
        <v>24</v>
      </c>
      <c r="F799" s="3">
        <v>8114.07</v>
      </c>
      <c r="G799" s="3">
        <v>8678.15</v>
      </c>
      <c r="H799" s="3">
        <f>Table1[[#This Row],[Sale]]-Table1[[#This Row],[Cost]]</f>
        <v>564.07999999999993</v>
      </c>
      <c r="I799" s="4">
        <f>Table1[[#This Row],[Profit]]/Table1[[#This Row],[Sale]]</f>
        <v>6.5000028807983265E-2</v>
      </c>
      <c r="J799" s="5">
        <f t="shared" si="24"/>
        <v>2005</v>
      </c>
      <c r="K799" s="5">
        <f>MONTH(Table1[[#This Row],[Date]])</f>
        <v>10</v>
      </c>
      <c r="L799" s="5">
        <f>DAY(Table1[[#This Row],[Date]])</f>
        <v>21</v>
      </c>
      <c r="M799" s="5" t="str">
        <f t="shared" si="25"/>
        <v>Oct</v>
      </c>
    </row>
    <row r="800" spans="1:13" x14ac:dyDescent="0.25">
      <c r="A800" s="2">
        <v>38437</v>
      </c>
      <c r="B800" t="s">
        <v>22</v>
      </c>
      <c r="C800" t="s">
        <v>27</v>
      </c>
      <c r="D800" t="s">
        <v>16</v>
      </c>
      <c r="E800" t="s">
        <v>24</v>
      </c>
      <c r="F800" s="3">
        <v>578.61</v>
      </c>
      <c r="G800" s="3">
        <v>980.69</v>
      </c>
      <c r="H800" s="3">
        <f>Table1[[#This Row],[Sale]]-Table1[[#This Row],[Cost]]</f>
        <v>402.08000000000004</v>
      </c>
      <c r="I800" s="4">
        <f>Table1[[#This Row],[Profit]]/Table1[[#This Row],[Sale]]</f>
        <v>0.40999704289836747</v>
      </c>
      <c r="J800" s="5">
        <f t="shared" si="24"/>
        <v>2005</v>
      </c>
      <c r="K800" s="5">
        <f>MONTH(Table1[[#This Row],[Date]])</f>
        <v>3</v>
      </c>
      <c r="L800" s="5">
        <f>DAY(Table1[[#This Row],[Date]])</f>
        <v>26</v>
      </c>
      <c r="M800" s="5" t="str">
        <f t="shared" si="25"/>
        <v>Mar</v>
      </c>
    </row>
    <row r="801" spans="1:13" x14ac:dyDescent="0.25">
      <c r="A801" s="2">
        <v>38658</v>
      </c>
      <c r="B801" t="s">
        <v>17</v>
      </c>
      <c r="C801" t="s">
        <v>18</v>
      </c>
      <c r="D801" t="s">
        <v>28</v>
      </c>
      <c r="E801" t="s">
        <v>24</v>
      </c>
      <c r="F801" s="3">
        <v>5180.1400000000003</v>
      </c>
      <c r="G801" s="3">
        <v>7617.85</v>
      </c>
      <c r="H801" s="3">
        <f>Table1[[#This Row],[Sale]]-Table1[[#This Row],[Cost]]</f>
        <v>2437.71</v>
      </c>
      <c r="I801" s="4">
        <f>Table1[[#This Row],[Profit]]/Table1[[#This Row],[Sale]]</f>
        <v>0.31999973745873178</v>
      </c>
      <c r="J801" s="5">
        <f t="shared" si="24"/>
        <v>2005</v>
      </c>
      <c r="K801" s="5">
        <f>MONTH(Table1[[#This Row],[Date]])</f>
        <v>11</v>
      </c>
      <c r="L801" s="5">
        <f>DAY(Table1[[#This Row],[Date]])</f>
        <v>2</v>
      </c>
      <c r="M801" s="5" t="str">
        <f t="shared" si="25"/>
        <v>Nov</v>
      </c>
    </row>
    <row r="802" spans="1:13" x14ac:dyDescent="0.25">
      <c r="A802" s="2">
        <v>38330</v>
      </c>
      <c r="B802" t="s">
        <v>21</v>
      </c>
      <c r="C802" t="s">
        <v>18</v>
      </c>
      <c r="D802" t="s">
        <v>16</v>
      </c>
      <c r="E802" t="s">
        <v>24</v>
      </c>
      <c r="F802" s="3">
        <v>6029.98</v>
      </c>
      <c r="G802" s="3">
        <v>8039.98</v>
      </c>
      <c r="H802" s="3">
        <f>Table1[[#This Row],[Sale]]-Table1[[#This Row],[Cost]]</f>
        <v>2010</v>
      </c>
      <c r="I802" s="4">
        <f>Table1[[#This Row],[Profit]]/Table1[[#This Row],[Sale]]</f>
        <v>0.25000062189209427</v>
      </c>
      <c r="J802" s="5">
        <f t="shared" si="24"/>
        <v>2004</v>
      </c>
      <c r="K802" s="5">
        <f>MONTH(Table1[[#This Row],[Date]])</f>
        <v>12</v>
      </c>
      <c r="L802" s="5">
        <f>DAY(Table1[[#This Row],[Date]])</f>
        <v>9</v>
      </c>
      <c r="M802" s="5" t="str">
        <f t="shared" si="25"/>
        <v>Dec</v>
      </c>
    </row>
    <row r="803" spans="1:13" x14ac:dyDescent="0.25">
      <c r="A803" s="2">
        <v>38813</v>
      </c>
      <c r="B803" t="s">
        <v>17</v>
      </c>
      <c r="C803" t="s">
        <v>27</v>
      </c>
      <c r="D803" t="s">
        <v>13</v>
      </c>
      <c r="E803" t="s">
        <v>25</v>
      </c>
      <c r="F803" s="3">
        <v>4686.96</v>
      </c>
      <c r="G803" s="3">
        <v>8521.74</v>
      </c>
      <c r="H803" s="3">
        <f>Table1[[#This Row],[Sale]]-Table1[[#This Row],[Cost]]</f>
        <v>3834.7799999999997</v>
      </c>
      <c r="I803" s="4">
        <f>Table1[[#This Row],[Profit]]/Table1[[#This Row],[Sale]]</f>
        <v>0.4499996479592196</v>
      </c>
      <c r="J803" s="5">
        <f t="shared" si="24"/>
        <v>2006</v>
      </c>
      <c r="K803" s="5">
        <f>MONTH(Table1[[#This Row],[Date]])</f>
        <v>4</v>
      </c>
      <c r="L803" s="5">
        <f>DAY(Table1[[#This Row],[Date]])</f>
        <v>6</v>
      </c>
      <c r="M803" s="5" t="str">
        <f t="shared" si="25"/>
        <v>Apr</v>
      </c>
    </row>
    <row r="804" spans="1:13" x14ac:dyDescent="0.25">
      <c r="A804" s="2">
        <v>38236</v>
      </c>
      <c r="B804" t="s">
        <v>17</v>
      </c>
      <c r="C804" t="s">
        <v>27</v>
      </c>
      <c r="D804" t="s">
        <v>19</v>
      </c>
      <c r="E804" t="s">
        <v>24</v>
      </c>
      <c r="F804" s="3">
        <v>2808.36</v>
      </c>
      <c r="G804" s="3">
        <v>4759.93</v>
      </c>
      <c r="H804" s="3">
        <f>Table1[[#This Row],[Sale]]-Table1[[#This Row],[Cost]]</f>
        <v>1951.5700000000002</v>
      </c>
      <c r="I804" s="4">
        <f>Table1[[#This Row],[Profit]]/Table1[[#This Row],[Sale]]</f>
        <v>0.40999972688673997</v>
      </c>
      <c r="J804" s="5">
        <f t="shared" si="24"/>
        <v>2004</v>
      </c>
      <c r="K804" s="5">
        <f>MONTH(Table1[[#This Row],[Date]])</f>
        <v>9</v>
      </c>
      <c r="L804" s="5">
        <f>DAY(Table1[[#This Row],[Date]])</f>
        <v>6</v>
      </c>
      <c r="M804" s="5" t="str">
        <f t="shared" si="25"/>
        <v>Sep</v>
      </c>
    </row>
    <row r="805" spans="1:13" x14ac:dyDescent="0.25">
      <c r="A805" s="2">
        <v>38609</v>
      </c>
      <c r="B805" t="s">
        <v>21</v>
      </c>
      <c r="C805" t="s">
        <v>27</v>
      </c>
      <c r="D805" t="s">
        <v>16</v>
      </c>
      <c r="E805" t="s">
        <v>20</v>
      </c>
      <c r="F805" s="3">
        <v>3607.24</v>
      </c>
      <c r="G805" s="3">
        <v>6558.62</v>
      </c>
      <c r="H805" s="3">
        <f>Table1[[#This Row],[Sale]]-Table1[[#This Row],[Cost]]</f>
        <v>2951.38</v>
      </c>
      <c r="I805" s="4">
        <f>Table1[[#This Row],[Profit]]/Table1[[#This Row],[Sale]]</f>
        <v>0.45000015247109915</v>
      </c>
      <c r="J805" s="5">
        <f t="shared" si="24"/>
        <v>2005</v>
      </c>
      <c r="K805" s="5">
        <f>MONTH(Table1[[#This Row],[Date]])</f>
        <v>9</v>
      </c>
      <c r="L805" s="5">
        <f>DAY(Table1[[#This Row],[Date]])</f>
        <v>14</v>
      </c>
      <c r="M805" s="5" t="str">
        <f t="shared" si="25"/>
        <v>Sep</v>
      </c>
    </row>
    <row r="806" spans="1:13" x14ac:dyDescent="0.25">
      <c r="A806" s="2">
        <v>38866</v>
      </c>
      <c r="B806" t="s">
        <v>22</v>
      </c>
      <c r="C806" t="s">
        <v>29</v>
      </c>
      <c r="D806" t="s">
        <v>19</v>
      </c>
      <c r="E806" t="s">
        <v>20</v>
      </c>
      <c r="F806" s="3">
        <v>295.79000000000002</v>
      </c>
      <c r="G806" s="3">
        <v>336.12</v>
      </c>
      <c r="H806" s="3">
        <f>Table1[[#This Row],[Sale]]-Table1[[#This Row],[Cost]]</f>
        <v>40.329999999999984</v>
      </c>
      <c r="I806" s="4">
        <f>Table1[[#This Row],[Profit]]/Table1[[#This Row],[Sale]]</f>
        <v>0.11998690943710574</v>
      </c>
      <c r="J806" s="5">
        <f t="shared" si="24"/>
        <v>2006</v>
      </c>
      <c r="K806" s="5">
        <f>MONTH(Table1[[#This Row],[Date]])</f>
        <v>5</v>
      </c>
      <c r="L806" s="5">
        <f>DAY(Table1[[#This Row],[Date]])</f>
        <v>29</v>
      </c>
      <c r="M806" s="5" t="str">
        <f t="shared" si="25"/>
        <v>May</v>
      </c>
    </row>
    <row r="807" spans="1:13" x14ac:dyDescent="0.25">
      <c r="A807" s="2">
        <v>38608</v>
      </c>
      <c r="B807" t="s">
        <v>15</v>
      </c>
      <c r="C807" t="s">
        <v>27</v>
      </c>
      <c r="D807" t="s">
        <v>28</v>
      </c>
      <c r="E807" t="s">
        <v>14</v>
      </c>
      <c r="F807" s="3">
        <v>2306.5700000000002</v>
      </c>
      <c r="G807" s="3">
        <v>6233.97</v>
      </c>
      <c r="H807" s="3">
        <f>Table1[[#This Row],[Sale]]-Table1[[#This Row],[Cost]]</f>
        <v>3927.4</v>
      </c>
      <c r="I807" s="4">
        <f>Table1[[#This Row],[Profit]]/Table1[[#This Row],[Sale]]</f>
        <v>0.62999982354743445</v>
      </c>
      <c r="J807" s="5">
        <f t="shared" si="24"/>
        <v>2005</v>
      </c>
      <c r="K807" s="5">
        <f>MONTH(Table1[[#This Row],[Date]])</f>
        <v>9</v>
      </c>
      <c r="L807" s="5">
        <f>DAY(Table1[[#This Row],[Date]])</f>
        <v>13</v>
      </c>
      <c r="M807" s="5" t="str">
        <f t="shared" si="25"/>
        <v>Sep</v>
      </c>
    </row>
    <row r="808" spans="1:13" x14ac:dyDescent="0.25">
      <c r="A808" s="2">
        <v>38432</v>
      </c>
      <c r="B808" t="s">
        <v>15</v>
      </c>
      <c r="C808" t="s">
        <v>29</v>
      </c>
      <c r="D808" t="s">
        <v>16</v>
      </c>
      <c r="E808" t="s">
        <v>25</v>
      </c>
      <c r="F808" s="3">
        <v>4189.1400000000003</v>
      </c>
      <c r="G808" s="3">
        <v>9742.19</v>
      </c>
      <c r="H808" s="3">
        <f>Table1[[#This Row],[Sale]]-Table1[[#This Row],[Cost]]</f>
        <v>5553.05</v>
      </c>
      <c r="I808" s="4">
        <f>Table1[[#This Row],[Profit]]/Table1[[#This Row],[Sale]]</f>
        <v>0.57000017449875229</v>
      </c>
      <c r="J808" s="5">
        <f t="shared" si="24"/>
        <v>2005</v>
      </c>
      <c r="K808" s="5">
        <f>MONTH(Table1[[#This Row],[Date]])</f>
        <v>3</v>
      </c>
      <c r="L808" s="5">
        <f>DAY(Table1[[#This Row],[Date]])</f>
        <v>21</v>
      </c>
      <c r="M808" s="5" t="str">
        <f t="shared" si="25"/>
        <v>Mar</v>
      </c>
    </row>
    <row r="809" spans="1:13" x14ac:dyDescent="0.25">
      <c r="A809" s="2">
        <v>38838</v>
      </c>
      <c r="B809" t="s">
        <v>26</v>
      </c>
      <c r="C809" t="s">
        <v>27</v>
      </c>
      <c r="D809" t="s">
        <v>13</v>
      </c>
      <c r="E809" t="s">
        <v>24</v>
      </c>
      <c r="F809" s="3">
        <v>3650.9</v>
      </c>
      <c r="G809" s="3">
        <v>5368.97</v>
      </c>
      <c r="H809" s="3">
        <f>Table1[[#This Row],[Sale]]-Table1[[#This Row],[Cost]]</f>
        <v>1718.0700000000002</v>
      </c>
      <c r="I809" s="4">
        <f>Table1[[#This Row],[Profit]]/Table1[[#This Row],[Sale]]</f>
        <v>0.31999992549781431</v>
      </c>
      <c r="J809" s="5">
        <f t="shared" si="24"/>
        <v>2006</v>
      </c>
      <c r="K809" s="5">
        <f>MONTH(Table1[[#This Row],[Date]])</f>
        <v>5</v>
      </c>
      <c r="L809" s="5">
        <f>DAY(Table1[[#This Row],[Date]])</f>
        <v>1</v>
      </c>
      <c r="M809" s="5" t="str">
        <f t="shared" si="25"/>
        <v>May</v>
      </c>
    </row>
    <row r="810" spans="1:13" x14ac:dyDescent="0.25">
      <c r="A810" s="2">
        <v>38554</v>
      </c>
      <c r="B810" t="s">
        <v>11</v>
      </c>
      <c r="C810" t="s">
        <v>18</v>
      </c>
      <c r="D810" t="s">
        <v>16</v>
      </c>
      <c r="E810" t="s">
        <v>25</v>
      </c>
      <c r="F810" s="3">
        <v>1641.61</v>
      </c>
      <c r="G810" s="3">
        <v>1865.47</v>
      </c>
      <c r="H810" s="3">
        <f>Table1[[#This Row],[Sale]]-Table1[[#This Row],[Cost]]</f>
        <v>223.86000000000013</v>
      </c>
      <c r="I810" s="4">
        <f>Table1[[#This Row],[Profit]]/Table1[[#This Row],[Sale]]</f>
        <v>0.12000192980857377</v>
      </c>
      <c r="J810" s="5">
        <f t="shared" si="24"/>
        <v>2005</v>
      </c>
      <c r="K810" s="5">
        <f>MONTH(Table1[[#This Row],[Date]])</f>
        <v>7</v>
      </c>
      <c r="L810" s="5">
        <f>DAY(Table1[[#This Row],[Date]])</f>
        <v>21</v>
      </c>
      <c r="M810" s="5" t="str">
        <f t="shared" si="25"/>
        <v>Jul</v>
      </c>
    </row>
    <row r="811" spans="1:13" x14ac:dyDescent="0.25">
      <c r="A811" s="2">
        <v>38565</v>
      </c>
      <c r="B811" t="s">
        <v>22</v>
      </c>
      <c r="C811" t="s">
        <v>12</v>
      </c>
      <c r="D811" t="s">
        <v>13</v>
      </c>
      <c r="E811" t="s">
        <v>20</v>
      </c>
      <c r="F811" s="3">
        <v>7010.27</v>
      </c>
      <c r="G811" s="3">
        <v>9347.0300000000007</v>
      </c>
      <c r="H811" s="3">
        <f>Table1[[#This Row],[Sale]]-Table1[[#This Row],[Cost]]</f>
        <v>2336.7600000000002</v>
      </c>
      <c r="I811" s="4">
        <f>Table1[[#This Row],[Profit]]/Table1[[#This Row],[Sale]]</f>
        <v>0.25000026746463849</v>
      </c>
      <c r="J811" s="5">
        <f t="shared" si="24"/>
        <v>2005</v>
      </c>
      <c r="K811" s="5">
        <f>MONTH(Table1[[#This Row],[Date]])</f>
        <v>8</v>
      </c>
      <c r="L811" s="5">
        <f>DAY(Table1[[#This Row],[Date]])</f>
        <v>1</v>
      </c>
      <c r="M811" s="5" t="str">
        <f t="shared" si="25"/>
        <v>Aug</v>
      </c>
    </row>
    <row r="812" spans="1:13" x14ac:dyDescent="0.25">
      <c r="A812" s="2">
        <v>38667</v>
      </c>
      <c r="B812" t="s">
        <v>17</v>
      </c>
      <c r="C812" t="s">
        <v>23</v>
      </c>
      <c r="D812" t="s">
        <v>19</v>
      </c>
      <c r="E812" t="s">
        <v>14</v>
      </c>
      <c r="F812" s="3">
        <v>1803.84</v>
      </c>
      <c r="G812" s="3">
        <v>4875.24</v>
      </c>
      <c r="H812" s="3">
        <f>Table1[[#This Row],[Sale]]-Table1[[#This Row],[Cost]]</f>
        <v>3071.3999999999996</v>
      </c>
      <c r="I812" s="4">
        <f>Table1[[#This Row],[Profit]]/Table1[[#This Row],[Sale]]</f>
        <v>0.62999975385827156</v>
      </c>
      <c r="J812" s="5">
        <f t="shared" si="24"/>
        <v>2005</v>
      </c>
      <c r="K812" s="5">
        <f>MONTH(Table1[[#This Row],[Date]])</f>
        <v>11</v>
      </c>
      <c r="L812" s="5">
        <f>DAY(Table1[[#This Row],[Date]])</f>
        <v>11</v>
      </c>
      <c r="M812" s="5" t="str">
        <f t="shared" si="25"/>
        <v>Nov</v>
      </c>
    </row>
    <row r="813" spans="1:13" x14ac:dyDescent="0.25">
      <c r="A813" s="2">
        <v>38701</v>
      </c>
      <c r="B813" t="s">
        <v>26</v>
      </c>
      <c r="C813" t="s">
        <v>27</v>
      </c>
      <c r="D813" t="s">
        <v>16</v>
      </c>
      <c r="E813" t="s">
        <v>14</v>
      </c>
      <c r="F813" s="3">
        <v>5964</v>
      </c>
      <c r="G813" s="3">
        <v>7952</v>
      </c>
      <c r="H813" s="3">
        <f>Table1[[#This Row],[Sale]]-Table1[[#This Row],[Cost]]</f>
        <v>1988</v>
      </c>
      <c r="I813" s="4">
        <f>Table1[[#This Row],[Profit]]/Table1[[#This Row],[Sale]]</f>
        <v>0.25</v>
      </c>
      <c r="J813" s="5">
        <f t="shared" si="24"/>
        <v>2005</v>
      </c>
      <c r="K813" s="5">
        <f>MONTH(Table1[[#This Row],[Date]])</f>
        <v>12</v>
      </c>
      <c r="L813" s="5">
        <f>DAY(Table1[[#This Row],[Date]])</f>
        <v>15</v>
      </c>
      <c r="M813" s="5" t="str">
        <f t="shared" si="25"/>
        <v>Dec</v>
      </c>
    </row>
    <row r="814" spans="1:13" x14ac:dyDescent="0.25">
      <c r="A814" s="2">
        <v>38619</v>
      </c>
      <c r="B814" t="s">
        <v>15</v>
      </c>
      <c r="C814" t="s">
        <v>12</v>
      </c>
      <c r="D814" t="s">
        <v>16</v>
      </c>
      <c r="E814" t="s">
        <v>24</v>
      </c>
      <c r="F814" s="3">
        <v>3337.16</v>
      </c>
      <c r="G814" s="3">
        <v>4449.55</v>
      </c>
      <c r="H814" s="3">
        <f>Table1[[#This Row],[Sale]]-Table1[[#This Row],[Cost]]</f>
        <v>1112.3900000000003</v>
      </c>
      <c r="I814" s="4">
        <f>Table1[[#This Row],[Profit]]/Table1[[#This Row],[Sale]]</f>
        <v>0.25000056185456965</v>
      </c>
      <c r="J814" s="5">
        <f t="shared" si="24"/>
        <v>2005</v>
      </c>
      <c r="K814" s="5">
        <f>MONTH(Table1[[#This Row],[Date]])</f>
        <v>9</v>
      </c>
      <c r="L814" s="5">
        <f>DAY(Table1[[#This Row],[Date]])</f>
        <v>24</v>
      </c>
      <c r="M814" s="5" t="str">
        <f t="shared" si="25"/>
        <v>Sep</v>
      </c>
    </row>
    <row r="815" spans="1:13" x14ac:dyDescent="0.25">
      <c r="A815" s="2">
        <v>38603</v>
      </c>
      <c r="B815" t="s">
        <v>22</v>
      </c>
      <c r="C815" t="s">
        <v>27</v>
      </c>
      <c r="D815" t="s">
        <v>13</v>
      </c>
      <c r="E815" t="s">
        <v>25</v>
      </c>
      <c r="F815" s="3">
        <v>3285.99</v>
      </c>
      <c r="G815" s="3">
        <v>3514.43</v>
      </c>
      <c r="H815" s="3">
        <f>Table1[[#This Row],[Sale]]-Table1[[#This Row],[Cost]]</f>
        <v>228.44000000000005</v>
      </c>
      <c r="I815" s="4">
        <f>Table1[[#This Row],[Profit]]/Table1[[#This Row],[Sale]]</f>
        <v>6.5000583309384477E-2</v>
      </c>
      <c r="J815" s="5">
        <f t="shared" si="24"/>
        <v>2005</v>
      </c>
      <c r="K815" s="5">
        <f>MONTH(Table1[[#This Row],[Date]])</f>
        <v>9</v>
      </c>
      <c r="L815" s="5">
        <f>DAY(Table1[[#This Row],[Date]])</f>
        <v>8</v>
      </c>
      <c r="M815" s="5" t="str">
        <f t="shared" si="25"/>
        <v>Sep</v>
      </c>
    </row>
    <row r="816" spans="1:13" x14ac:dyDescent="0.25">
      <c r="A816" s="2">
        <v>38544</v>
      </c>
      <c r="B816" t="s">
        <v>26</v>
      </c>
      <c r="C816" t="s">
        <v>18</v>
      </c>
      <c r="D816" t="s">
        <v>16</v>
      </c>
      <c r="E816" t="s">
        <v>24</v>
      </c>
      <c r="F816" s="3">
        <v>3107.28</v>
      </c>
      <c r="G816" s="3">
        <v>7226.23</v>
      </c>
      <c r="H816" s="3">
        <f>Table1[[#This Row],[Sale]]-Table1[[#This Row],[Cost]]</f>
        <v>4118.9499999999989</v>
      </c>
      <c r="I816" s="4">
        <f>Table1[[#This Row],[Profit]]/Table1[[#This Row],[Sale]]</f>
        <v>0.5699998477767797</v>
      </c>
      <c r="J816" s="5">
        <f t="shared" si="24"/>
        <v>2005</v>
      </c>
      <c r="K816" s="5">
        <f>MONTH(Table1[[#This Row],[Date]])</f>
        <v>7</v>
      </c>
      <c r="L816" s="5">
        <f>DAY(Table1[[#This Row],[Date]])</f>
        <v>11</v>
      </c>
      <c r="M816" s="5" t="str">
        <f t="shared" si="25"/>
        <v>Jul</v>
      </c>
    </row>
    <row r="817" spans="1:13" x14ac:dyDescent="0.25">
      <c r="A817" s="2">
        <v>38722</v>
      </c>
      <c r="B817" t="s">
        <v>15</v>
      </c>
      <c r="C817" t="s">
        <v>23</v>
      </c>
      <c r="D817" t="s">
        <v>19</v>
      </c>
      <c r="E817" t="s">
        <v>24</v>
      </c>
      <c r="F817" s="3">
        <v>9284.3799999999992</v>
      </c>
      <c r="G817" s="3">
        <v>9929.82</v>
      </c>
      <c r="H817" s="3">
        <f>Table1[[#This Row],[Sale]]-Table1[[#This Row],[Cost]]</f>
        <v>645.44000000000051</v>
      </c>
      <c r="I817" s="4">
        <f>Table1[[#This Row],[Profit]]/Table1[[#This Row],[Sale]]</f>
        <v>6.5000171201492124E-2</v>
      </c>
      <c r="J817" s="5">
        <f t="shared" si="24"/>
        <v>2006</v>
      </c>
      <c r="K817" s="5">
        <f>MONTH(Table1[[#This Row],[Date]])</f>
        <v>1</v>
      </c>
      <c r="L817" s="5">
        <f>DAY(Table1[[#This Row],[Date]])</f>
        <v>5</v>
      </c>
      <c r="M817" s="5" t="str">
        <f t="shared" si="25"/>
        <v>Jan</v>
      </c>
    </row>
    <row r="818" spans="1:13" x14ac:dyDescent="0.25">
      <c r="A818" s="2">
        <v>38357</v>
      </c>
      <c r="B818" t="s">
        <v>22</v>
      </c>
      <c r="C818" t="s">
        <v>12</v>
      </c>
      <c r="D818" t="s">
        <v>19</v>
      </c>
      <c r="E818" t="s">
        <v>24</v>
      </c>
      <c r="F818" s="3">
        <v>644.47</v>
      </c>
      <c r="G818" s="3">
        <v>1092.32</v>
      </c>
      <c r="H818" s="3">
        <f>Table1[[#This Row],[Sale]]-Table1[[#This Row],[Cost]]</f>
        <v>447.84999999999991</v>
      </c>
      <c r="I818" s="4">
        <f>Table1[[#This Row],[Profit]]/Table1[[#This Row],[Sale]]</f>
        <v>0.40999890142082901</v>
      </c>
      <c r="J818" s="5">
        <f t="shared" si="24"/>
        <v>2005</v>
      </c>
      <c r="K818" s="5">
        <f>MONTH(Table1[[#This Row],[Date]])</f>
        <v>1</v>
      </c>
      <c r="L818" s="5">
        <f>DAY(Table1[[#This Row],[Date]])</f>
        <v>5</v>
      </c>
      <c r="M818" s="5" t="str">
        <f t="shared" si="25"/>
        <v>Jan</v>
      </c>
    </row>
    <row r="819" spans="1:13" x14ac:dyDescent="0.25">
      <c r="A819" s="2">
        <v>38803</v>
      </c>
      <c r="B819" t="s">
        <v>15</v>
      </c>
      <c r="C819" t="s">
        <v>18</v>
      </c>
      <c r="D819" t="s">
        <v>28</v>
      </c>
      <c r="E819" t="s">
        <v>14</v>
      </c>
      <c r="F819" s="3">
        <v>5943.56</v>
      </c>
      <c r="G819" s="3">
        <v>6754.04</v>
      </c>
      <c r="H819" s="3">
        <f>Table1[[#This Row],[Sale]]-Table1[[#This Row],[Cost]]</f>
        <v>810.47999999999956</v>
      </c>
      <c r="I819" s="4">
        <f>Table1[[#This Row],[Profit]]/Table1[[#This Row],[Sale]]</f>
        <v>0.11999928931424741</v>
      </c>
      <c r="J819" s="5">
        <f t="shared" si="24"/>
        <v>2006</v>
      </c>
      <c r="K819" s="5">
        <f>MONTH(Table1[[#This Row],[Date]])</f>
        <v>3</v>
      </c>
      <c r="L819" s="5">
        <f>DAY(Table1[[#This Row],[Date]])</f>
        <v>27</v>
      </c>
      <c r="M819" s="5" t="str">
        <f t="shared" si="25"/>
        <v>Mar</v>
      </c>
    </row>
    <row r="820" spans="1:13" x14ac:dyDescent="0.25">
      <c r="A820" s="2">
        <v>38366</v>
      </c>
      <c r="B820" t="s">
        <v>22</v>
      </c>
      <c r="C820" t="s">
        <v>27</v>
      </c>
      <c r="D820" t="s">
        <v>28</v>
      </c>
      <c r="E820" t="s">
        <v>25</v>
      </c>
      <c r="F820" s="3">
        <v>6385.73</v>
      </c>
      <c r="G820" s="3">
        <v>6829.66</v>
      </c>
      <c r="H820" s="3">
        <f>Table1[[#This Row],[Sale]]-Table1[[#This Row],[Cost]]</f>
        <v>443.93000000000029</v>
      </c>
      <c r="I820" s="4">
        <f>Table1[[#This Row],[Profit]]/Table1[[#This Row],[Sale]]</f>
        <v>6.5000307482363739E-2</v>
      </c>
      <c r="J820" s="5">
        <f t="shared" si="24"/>
        <v>2005</v>
      </c>
      <c r="K820" s="5">
        <f>MONTH(Table1[[#This Row],[Date]])</f>
        <v>1</v>
      </c>
      <c r="L820" s="5">
        <f>DAY(Table1[[#This Row],[Date]])</f>
        <v>14</v>
      </c>
      <c r="M820" s="5" t="str">
        <f t="shared" si="25"/>
        <v>Jan</v>
      </c>
    </row>
    <row r="821" spans="1:13" x14ac:dyDescent="0.25">
      <c r="A821" s="2">
        <v>38356</v>
      </c>
      <c r="B821" t="s">
        <v>11</v>
      </c>
      <c r="C821" t="s">
        <v>29</v>
      </c>
      <c r="D821" t="s">
        <v>16</v>
      </c>
      <c r="E821" t="s">
        <v>24</v>
      </c>
      <c r="F821" s="3">
        <v>2681.84</v>
      </c>
      <c r="G821" s="3">
        <v>4623.8599999999997</v>
      </c>
      <c r="H821" s="3">
        <f>Table1[[#This Row],[Sale]]-Table1[[#This Row],[Cost]]</f>
        <v>1942.0199999999995</v>
      </c>
      <c r="I821" s="4">
        <f>Table1[[#This Row],[Profit]]/Table1[[#This Row],[Sale]]</f>
        <v>0.41999974047657146</v>
      </c>
      <c r="J821" s="5">
        <f t="shared" si="24"/>
        <v>2005</v>
      </c>
      <c r="K821" s="5">
        <f>MONTH(Table1[[#This Row],[Date]])</f>
        <v>1</v>
      </c>
      <c r="L821" s="5">
        <f>DAY(Table1[[#This Row],[Date]])</f>
        <v>4</v>
      </c>
      <c r="M821" s="5" t="str">
        <f t="shared" si="25"/>
        <v>Jan</v>
      </c>
    </row>
    <row r="822" spans="1:13" x14ac:dyDescent="0.25">
      <c r="A822" s="2">
        <v>38711</v>
      </c>
      <c r="B822" t="s">
        <v>15</v>
      </c>
      <c r="C822" t="s">
        <v>23</v>
      </c>
      <c r="D822" t="s">
        <v>19</v>
      </c>
      <c r="E822" t="s">
        <v>24</v>
      </c>
      <c r="F822" s="3">
        <v>3106.86</v>
      </c>
      <c r="G822" s="3">
        <v>4142.4799999999996</v>
      </c>
      <c r="H822" s="3">
        <f>Table1[[#This Row],[Sale]]-Table1[[#This Row],[Cost]]</f>
        <v>1035.6199999999994</v>
      </c>
      <c r="I822" s="4">
        <f>Table1[[#This Row],[Profit]]/Table1[[#This Row],[Sale]]</f>
        <v>0.24999999999999989</v>
      </c>
      <c r="J822" s="5">
        <f t="shared" si="24"/>
        <v>2005</v>
      </c>
      <c r="K822" s="5">
        <f>MONTH(Table1[[#This Row],[Date]])</f>
        <v>12</v>
      </c>
      <c r="L822" s="5">
        <f>DAY(Table1[[#This Row],[Date]])</f>
        <v>25</v>
      </c>
      <c r="M822" s="5" t="str">
        <f t="shared" si="25"/>
        <v>Dec</v>
      </c>
    </row>
    <row r="823" spans="1:13" x14ac:dyDescent="0.25">
      <c r="A823" s="2">
        <v>38389</v>
      </c>
      <c r="B823" t="s">
        <v>17</v>
      </c>
      <c r="C823" t="s">
        <v>18</v>
      </c>
      <c r="D823" t="s">
        <v>19</v>
      </c>
      <c r="E823" t="s">
        <v>24</v>
      </c>
      <c r="F823" s="3">
        <v>1615.62</v>
      </c>
      <c r="G823" s="3">
        <v>3757.25</v>
      </c>
      <c r="H823" s="3">
        <f>Table1[[#This Row],[Sale]]-Table1[[#This Row],[Cost]]</f>
        <v>2141.63</v>
      </c>
      <c r="I823" s="4">
        <f>Table1[[#This Row],[Profit]]/Table1[[#This Row],[Sale]]</f>
        <v>0.56999933461973518</v>
      </c>
      <c r="J823" s="5">
        <f t="shared" si="24"/>
        <v>2005</v>
      </c>
      <c r="K823" s="5">
        <f>MONTH(Table1[[#This Row],[Date]])</f>
        <v>2</v>
      </c>
      <c r="L823" s="5">
        <f>DAY(Table1[[#This Row],[Date]])</f>
        <v>6</v>
      </c>
      <c r="M823" s="5" t="str">
        <f t="shared" si="25"/>
        <v>Feb</v>
      </c>
    </row>
    <row r="824" spans="1:13" x14ac:dyDescent="0.25">
      <c r="A824" s="2">
        <v>38671</v>
      </c>
      <c r="B824" t="s">
        <v>15</v>
      </c>
      <c r="C824" t="s">
        <v>27</v>
      </c>
      <c r="D824" t="s">
        <v>19</v>
      </c>
      <c r="E824" t="s">
        <v>24</v>
      </c>
      <c r="F824" s="3">
        <v>2345.62</v>
      </c>
      <c r="G824" s="3">
        <v>2508.6799999999998</v>
      </c>
      <c r="H824" s="3">
        <f>Table1[[#This Row],[Sale]]-Table1[[#This Row],[Cost]]</f>
        <v>163.05999999999995</v>
      </c>
      <c r="I824" s="4">
        <f>Table1[[#This Row],[Profit]]/Table1[[#This Row],[Sale]]</f>
        <v>6.4998325812778021E-2</v>
      </c>
      <c r="J824" s="5">
        <f t="shared" si="24"/>
        <v>2005</v>
      </c>
      <c r="K824" s="5">
        <f>MONTH(Table1[[#This Row],[Date]])</f>
        <v>11</v>
      </c>
      <c r="L824" s="5">
        <f>DAY(Table1[[#This Row],[Date]])</f>
        <v>15</v>
      </c>
      <c r="M824" s="5" t="str">
        <f t="shared" si="25"/>
        <v>Nov</v>
      </c>
    </row>
    <row r="825" spans="1:13" x14ac:dyDescent="0.25">
      <c r="A825" s="2">
        <v>38330</v>
      </c>
      <c r="B825" t="s">
        <v>21</v>
      </c>
      <c r="C825" t="s">
        <v>27</v>
      </c>
      <c r="D825" t="s">
        <v>13</v>
      </c>
      <c r="E825" t="s">
        <v>20</v>
      </c>
      <c r="F825" s="3">
        <v>1918.2</v>
      </c>
      <c r="G825" s="3">
        <v>3251.18</v>
      </c>
      <c r="H825" s="3">
        <f>Table1[[#This Row],[Sale]]-Table1[[#This Row],[Cost]]</f>
        <v>1332.9799999999998</v>
      </c>
      <c r="I825" s="4">
        <f>Table1[[#This Row],[Profit]]/Table1[[#This Row],[Sale]]</f>
        <v>0.40999883119359737</v>
      </c>
      <c r="J825" s="5">
        <f t="shared" si="24"/>
        <v>2004</v>
      </c>
      <c r="K825" s="5">
        <f>MONTH(Table1[[#This Row],[Date]])</f>
        <v>12</v>
      </c>
      <c r="L825" s="5">
        <f>DAY(Table1[[#This Row],[Date]])</f>
        <v>9</v>
      </c>
      <c r="M825" s="5" t="str">
        <f t="shared" si="25"/>
        <v>Dec</v>
      </c>
    </row>
    <row r="826" spans="1:13" x14ac:dyDescent="0.25">
      <c r="A826" s="2">
        <v>38805</v>
      </c>
      <c r="B826" t="s">
        <v>11</v>
      </c>
      <c r="C826" t="s">
        <v>23</v>
      </c>
      <c r="D826" t="s">
        <v>13</v>
      </c>
      <c r="E826" t="s">
        <v>14</v>
      </c>
      <c r="F826" s="3">
        <v>525.55999999999995</v>
      </c>
      <c r="G826" s="3">
        <v>906.14</v>
      </c>
      <c r="H826" s="3">
        <f>Table1[[#This Row],[Sale]]-Table1[[#This Row],[Cost]]</f>
        <v>380.58000000000004</v>
      </c>
      <c r="I826" s="4">
        <f>Table1[[#This Row],[Profit]]/Table1[[#This Row],[Sale]]</f>
        <v>0.42000132429867354</v>
      </c>
      <c r="J826" s="5">
        <f t="shared" si="24"/>
        <v>2006</v>
      </c>
      <c r="K826" s="5">
        <f>MONTH(Table1[[#This Row],[Date]])</f>
        <v>3</v>
      </c>
      <c r="L826" s="5">
        <f>DAY(Table1[[#This Row],[Date]])</f>
        <v>29</v>
      </c>
      <c r="M826" s="5" t="str">
        <f t="shared" si="25"/>
        <v>Mar</v>
      </c>
    </row>
    <row r="827" spans="1:13" x14ac:dyDescent="0.25">
      <c r="A827" s="2">
        <v>38562</v>
      </c>
      <c r="B827" t="s">
        <v>26</v>
      </c>
      <c r="C827" t="s">
        <v>29</v>
      </c>
      <c r="D827" t="s">
        <v>16</v>
      </c>
      <c r="E827" t="s">
        <v>24</v>
      </c>
      <c r="F827" s="3">
        <v>2259.48</v>
      </c>
      <c r="G827" s="3">
        <v>3895.65</v>
      </c>
      <c r="H827" s="3">
        <f>Table1[[#This Row],[Sale]]-Table1[[#This Row],[Cost]]</f>
        <v>1636.17</v>
      </c>
      <c r="I827" s="4">
        <f>Table1[[#This Row],[Profit]]/Table1[[#This Row],[Sale]]</f>
        <v>0.41999922991028454</v>
      </c>
      <c r="J827" s="5">
        <f t="shared" si="24"/>
        <v>2005</v>
      </c>
      <c r="K827" s="5">
        <f>MONTH(Table1[[#This Row],[Date]])</f>
        <v>7</v>
      </c>
      <c r="L827" s="5">
        <f>DAY(Table1[[#This Row],[Date]])</f>
        <v>29</v>
      </c>
      <c r="M827" s="5" t="str">
        <f t="shared" si="25"/>
        <v>Jul</v>
      </c>
    </row>
    <row r="828" spans="1:13" x14ac:dyDescent="0.25">
      <c r="A828" s="2">
        <v>38760</v>
      </c>
      <c r="B828" t="s">
        <v>21</v>
      </c>
      <c r="C828" t="s">
        <v>12</v>
      </c>
      <c r="D828" t="s">
        <v>16</v>
      </c>
      <c r="E828" t="s">
        <v>20</v>
      </c>
      <c r="F828" s="3">
        <v>5925.92</v>
      </c>
      <c r="G828" s="3">
        <v>7901.22</v>
      </c>
      <c r="H828" s="3">
        <f>Table1[[#This Row],[Sale]]-Table1[[#This Row],[Cost]]</f>
        <v>1975.3000000000002</v>
      </c>
      <c r="I828" s="4">
        <f>Table1[[#This Row],[Profit]]/Table1[[#This Row],[Sale]]</f>
        <v>0.24999936718633325</v>
      </c>
      <c r="J828" s="5">
        <f t="shared" si="24"/>
        <v>2006</v>
      </c>
      <c r="K828" s="5">
        <f>MONTH(Table1[[#This Row],[Date]])</f>
        <v>2</v>
      </c>
      <c r="L828" s="5">
        <f>DAY(Table1[[#This Row],[Date]])</f>
        <v>12</v>
      </c>
      <c r="M828" s="5" t="str">
        <f t="shared" si="25"/>
        <v>Feb</v>
      </c>
    </row>
    <row r="829" spans="1:13" x14ac:dyDescent="0.25">
      <c r="A829" s="2">
        <v>38340</v>
      </c>
      <c r="B829" t="s">
        <v>17</v>
      </c>
      <c r="C829" t="s">
        <v>23</v>
      </c>
      <c r="D829" t="s">
        <v>28</v>
      </c>
      <c r="E829" t="s">
        <v>20</v>
      </c>
      <c r="F829" s="3">
        <v>5867.66</v>
      </c>
      <c r="G829" s="3">
        <v>9945.18</v>
      </c>
      <c r="H829" s="3">
        <f>Table1[[#This Row],[Sale]]-Table1[[#This Row],[Cost]]</f>
        <v>4077.5200000000004</v>
      </c>
      <c r="I829" s="4">
        <f>Table1[[#This Row],[Profit]]/Table1[[#This Row],[Sale]]</f>
        <v>0.40999961790535722</v>
      </c>
      <c r="J829" s="5">
        <f t="shared" si="24"/>
        <v>2004</v>
      </c>
      <c r="K829" s="5">
        <f>MONTH(Table1[[#This Row],[Date]])</f>
        <v>12</v>
      </c>
      <c r="L829" s="5">
        <f>DAY(Table1[[#This Row],[Date]])</f>
        <v>19</v>
      </c>
      <c r="M829" s="5" t="str">
        <f t="shared" si="25"/>
        <v>Dec</v>
      </c>
    </row>
    <row r="830" spans="1:13" x14ac:dyDescent="0.25">
      <c r="A830" s="2">
        <v>38672</v>
      </c>
      <c r="B830" t="s">
        <v>11</v>
      </c>
      <c r="C830" t="s">
        <v>29</v>
      </c>
      <c r="D830" t="s">
        <v>28</v>
      </c>
      <c r="E830" t="s">
        <v>20</v>
      </c>
      <c r="F830" s="3">
        <v>816.17</v>
      </c>
      <c r="G830" s="3">
        <v>1407.19</v>
      </c>
      <c r="H830" s="3">
        <f>Table1[[#This Row],[Sale]]-Table1[[#This Row],[Cost]]</f>
        <v>591.0200000000001</v>
      </c>
      <c r="I830" s="4">
        <f>Table1[[#This Row],[Profit]]/Table1[[#This Row],[Sale]]</f>
        <v>0.42000014212721815</v>
      </c>
      <c r="J830" s="5">
        <f t="shared" si="24"/>
        <v>2005</v>
      </c>
      <c r="K830" s="5">
        <f>MONTH(Table1[[#This Row],[Date]])</f>
        <v>11</v>
      </c>
      <c r="L830" s="5">
        <f>DAY(Table1[[#This Row],[Date]])</f>
        <v>16</v>
      </c>
      <c r="M830" s="5" t="str">
        <f t="shared" si="25"/>
        <v>Nov</v>
      </c>
    </row>
    <row r="831" spans="1:13" x14ac:dyDescent="0.25">
      <c r="A831" s="2">
        <v>38228</v>
      </c>
      <c r="B831" t="s">
        <v>22</v>
      </c>
      <c r="C831" t="s">
        <v>12</v>
      </c>
      <c r="D831" t="s">
        <v>16</v>
      </c>
      <c r="E831" t="s">
        <v>25</v>
      </c>
      <c r="F831" s="3">
        <v>3729.2</v>
      </c>
      <c r="G831" s="3">
        <v>4972.2700000000004</v>
      </c>
      <c r="H831" s="3">
        <f>Table1[[#This Row],[Sale]]-Table1[[#This Row],[Cost]]</f>
        <v>1243.0700000000006</v>
      </c>
      <c r="I831" s="4">
        <f>Table1[[#This Row],[Profit]]/Table1[[#This Row],[Sale]]</f>
        <v>0.25000050278846492</v>
      </c>
      <c r="J831" s="5">
        <f t="shared" si="24"/>
        <v>2004</v>
      </c>
      <c r="K831" s="5">
        <f>MONTH(Table1[[#This Row],[Date]])</f>
        <v>8</v>
      </c>
      <c r="L831" s="5">
        <f>DAY(Table1[[#This Row],[Date]])</f>
        <v>29</v>
      </c>
      <c r="M831" s="5" t="str">
        <f t="shared" si="25"/>
        <v>Aug</v>
      </c>
    </row>
    <row r="832" spans="1:13" x14ac:dyDescent="0.25">
      <c r="A832" s="2">
        <v>38492</v>
      </c>
      <c r="B832" t="s">
        <v>11</v>
      </c>
      <c r="C832" t="s">
        <v>29</v>
      </c>
      <c r="D832" t="s">
        <v>28</v>
      </c>
      <c r="E832" t="s">
        <v>20</v>
      </c>
      <c r="F832" s="3">
        <v>3633.72</v>
      </c>
      <c r="G832" s="3">
        <v>8450.52</v>
      </c>
      <c r="H832" s="3">
        <f>Table1[[#This Row],[Sale]]-Table1[[#This Row],[Cost]]</f>
        <v>4816.8000000000011</v>
      </c>
      <c r="I832" s="4">
        <f>Table1[[#This Row],[Profit]]/Table1[[#This Row],[Sale]]</f>
        <v>0.57000042600928713</v>
      </c>
      <c r="J832" s="5">
        <f t="shared" si="24"/>
        <v>2005</v>
      </c>
      <c r="K832" s="5">
        <f>MONTH(Table1[[#This Row],[Date]])</f>
        <v>5</v>
      </c>
      <c r="L832" s="5">
        <f>DAY(Table1[[#This Row],[Date]])</f>
        <v>20</v>
      </c>
      <c r="M832" s="5" t="str">
        <f t="shared" si="25"/>
        <v>May</v>
      </c>
    </row>
    <row r="833" spans="1:13" x14ac:dyDescent="0.25">
      <c r="A833" s="2">
        <v>38607</v>
      </c>
      <c r="B833" t="s">
        <v>22</v>
      </c>
      <c r="C833" t="s">
        <v>12</v>
      </c>
      <c r="D833" t="s">
        <v>19</v>
      </c>
      <c r="E833" t="s">
        <v>25</v>
      </c>
      <c r="F833" s="3">
        <v>974.26</v>
      </c>
      <c r="G833" s="3">
        <v>2165.0300000000002</v>
      </c>
      <c r="H833" s="3">
        <f>Table1[[#This Row],[Sale]]-Table1[[#This Row],[Cost]]</f>
        <v>1190.7700000000002</v>
      </c>
      <c r="I833" s="4">
        <f>Table1[[#This Row],[Profit]]/Table1[[#This Row],[Sale]]</f>
        <v>0.55000161660577451</v>
      </c>
      <c r="J833" s="5">
        <f t="shared" si="24"/>
        <v>2005</v>
      </c>
      <c r="K833" s="5">
        <f>MONTH(Table1[[#This Row],[Date]])</f>
        <v>9</v>
      </c>
      <c r="L833" s="5">
        <f>DAY(Table1[[#This Row],[Date]])</f>
        <v>12</v>
      </c>
      <c r="M833" s="5" t="str">
        <f t="shared" si="25"/>
        <v>Sep</v>
      </c>
    </row>
    <row r="834" spans="1:13" x14ac:dyDescent="0.25">
      <c r="A834" s="2">
        <v>38717</v>
      </c>
      <c r="B834" t="s">
        <v>26</v>
      </c>
      <c r="C834" t="s">
        <v>18</v>
      </c>
      <c r="D834" t="s">
        <v>13</v>
      </c>
      <c r="E834" t="s">
        <v>24</v>
      </c>
      <c r="F834" s="3">
        <v>8192.4699999999993</v>
      </c>
      <c r="G834" s="3">
        <v>9309.6200000000008</v>
      </c>
      <c r="H834" s="3">
        <f>Table1[[#This Row],[Sale]]-Table1[[#This Row],[Cost]]</f>
        <v>1117.1500000000015</v>
      </c>
      <c r="I834" s="4">
        <f>Table1[[#This Row],[Profit]]/Table1[[#This Row],[Sale]]</f>
        <v>0.11999952737061248</v>
      </c>
      <c r="J834" s="5">
        <f t="shared" ref="J834:J897" si="26">YEAR(A:A)</f>
        <v>2005</v>
      </c>
      <c r="K834" s="5">
        <f>MONTH(Table1[[#This Row],[Date]])</f>
        <v>12</v>
      </c>
      <c r="L834" s="5">
        <f>DAY(Table1[[#This Row],[Date]])</f>
        <v>31</v>
      </c>
      <c r="M834" s="5" t="str">
        <f t="shared" ref="M834:M897" si="27">CHOOSE(K834,"Jan", "Feb", "Mar", "Apr", "May", "Jun", "Jul", "Aug", "Sep", "Oct", "Nov", "Dec")</f>
        <v>Dec</v>
      </c>
    </row>
    <row r="835" spans="1:13" x14ac:dyDescent="0.25">
      <c r="A835" s="2">
        <v>38778</v>
      </c>
      <c r="B835" t="s">
        <v>26</v>
      </c>
      <c r="C835" t="s">
        <v>29</v>
      </c>
      <c r="D835" t="s">
        <v>19</v>
      </c>
      <c r="E835" t="s">
        <v>14</v>
      </c>
      <c r="F835" s="3">
        <v>3802.89</v>
      </c>
      <c r="G835" s="3">
        <v>6556.7</v>
      </c>
      <c r="H835" s="3">
        <f>Table1[[#This Row],[Sale]]-Table1[[#This Row],[Cost]]</f>
        <v>2753.81</v>
      </c>
      <c r="I835" s="4">
        <f>Table1[[#This Row],[Profit]]/Table1[[#This Row],[Sale]]</f>
        <v>0.41999938993701103</v>
      </c>
      <c r="J835" s="5">
        <f t="shared" si="26"/>
        <v>2006</v>
      </c>
      <c r="K835" s="5">
        <f>MONTH(Table1[[#This Row],[Date]])</f>
        <v>3</v>
      </c>
      <c r="L835" s="5">
        <f>DAY(Table1[[#This Row],[Date]])</f>
        <v>2</v>
      </c>
      <c r="M835" s="5" t="str">
        <f t="shared" si="27"/>
        <v>Mar</v>
      </c>
    </row>
    <row r="836" spans="1:13" x14ac:dyDescent="0.25">
      <c r="A836" s="2">
        <v>38745</v>
      </c>
      <c r="B836" t="s">
        <v>21</v>
      </c>
      <c r="C836" t="s">
        <v>12</v>
      </c>
      <c r="D836" t="s">
        <v>28</v>
      </c>
      <c r="E836" t="s">
        <v>14</v>
      </c>
      <c r="F836" s="3">
        <v>3479.96</v>
      </c>
      <c r="G836" s="3">
        <v>3954.5</v>
      </c>
      <c r="H836" s="3">
        <f>Table1[[#This Row],[Sale]]-Table1[[#This Row],[Cost]]</f>
        <v>474.53999999999996</v>
      </c>
      <c r="I836" s="4">
        <f>Table1[[#This Row],[Profit]]/Table1[[#This Row],[Sale]]</f>
        <v>0.12</v>
      </c>
      <c r="J836" s="5">
        <f t="shared" si="26"/>
        <v>2006</v>
      </c>
      <c r="K836" s="5">
        <f>MONTH(Table1[[#This Row],[Date]])</f>
        <v>1</v>
      </c>
      <c r="L836" s="5">
        <f>DAY(Table1[[#This Row],[Date]])</f>
        <v>28</v>
      </c>
      <c r="M836" s="5" t="str">
        <f t="shared" si="27"/>
        <v>Jan</v>
      </c>
    </row>
    <row r="837" spans="1:13" x14ac:dyDescent="0.25">
      <c r="A837" s="2">
        <v>38156</v>
      </c>
      <c r="B837" t="s">
        <v>26</v>
      </c>
      <c r="C837" t="s">
        <v>12</v>
      </c>
      <c r="D837" t="s">
        <v>13</v>
      </c>
      <c r="E837" t="s">
        <v>24</v>
      </c>
      <c r="F837" s="3">
        <v>3852.53</v>
      </c>
      <c r="G837" s="3">
        <v>8561.17</v>
      </c>
      <c r="H837" s="3">
        <f>Table1[[#This Row],[Sale]]-Table1[[#This Row],[Cost]]</f>
        <v>4708.6399999999994</v>
      </c>
      <c r="I837" s="4">
        <f>Table1[[#This Row],[Profit]]/Table1[[#This Row],[Sale]]</f>
        <v>0.54999959117737407</v>
      </c>
      <c r="J837" s="5">
        <f t="shared" si="26"/>
        <v>2004</v>
      </c>
      <c r="K837" s="5">
        <f>MONTH(Table1[[#This Row],[Date]])</f>
        <v>6</v>
      </c>
      <c r="L837" s="5">
        <f>DAY(Table1[[#This Row],[Date]])</f>
        <v>18</v>
      </c>
      <c r="M837" s="5" t="str">
        <f t="shared" si="27"/>
        <v>Jun</v>
      </c>
    </row>
    <row r="838" spans="1:13" x14ac:dyDescent="0.25">
      <c r="A838" s="2">
        <v>38439</v>
      </c>
      <c r="B838" t="s">
        <v>15</v>
      </c>
      <c r="C838" t="s">
        <v>23</v>
      </c>
      <c r="D838" t="s">
        <v>19</v>
      </c>
      <c r="E838" t="s">
        <v>25</v>
      </c>
      <c r="F838" s="3">
        <v>4341.22</v>
      </c>
      <c r="G838" s="3">
        <v>7484.87</v>
      </c>
      <c r="H838" s="3">
        <f>Table1[[#This Row],[Sale]]-Table1[[#This Row],[Cost]]</f>
        <v>3143.6499999999996</v>
      </c>
      <c r="I838" s="4">
        <f>Table1[[#This Row],[Profit]]/Table1[[#This Row],[Sale]]</f>
        <v>0.42000061457313215</v>
      </c>
      <c r="J838" s="5">
        <f t="shared" si="26"/>
        <v>2005</v>
      </c>
      <c r="K838" s="5">
        <f>MONTH(Table1[[#This Row],[Date]])</f>
        <v>3</v>
      </c>
      <c r="L838" s="5">
        <f>DAY(Table1[[#This Row],[Date]])</f>
        <v>28</v>
      </c>
      <c r="M838" s="5" t="str">
        <f t="shared" si="27"/>
        <v>Mar</v>
      </c>
    </row>
    <row r="839" spans="1:13" x14ac:dyDescent="0.25">
      <c r="A839" s="2">
        <v>38628</v>
      </c>
      <c r="B839" t="s">
        <v>22</v>
      </c>
      <c r="C839" t="s">
        <v>12</v>
      </c>
      <c r="D839" t="s">
        <v>28</v>
      </c>
      <c r="E839" t="s">
        <v>25</v>
      </c>
      <c r="F839" s="3">
        <v>9189.7800000000007</v>
      </c>
      <c r="G839" s="3">
        <v>9828.64</v>
      </c>
      <c r="H839" s="3">
        <f>Table1[[#This Row],[Sale]]-Table1[[#This Row],[Cost]]</f>
        <v>638.85999999999876</v>
      </c>
      <c r="I839" s="4">
        <f>Table1[[#This Row],[Profit]]/Table1[[#This Row],[Sale]]</f>
        <v>6.499983721043795E-2</v>
      </c>
      <c r="J839" s="5">
        <f t="shared" si="26"/>
        <v>2005</v>
      </c>
      <c r="K839" s="5">
        <f>MONTH(Table1[[#This Row],[Date]])</f>
        <v>10</v>
      </c>
      <c r="L839" s="5">
        <f>DAY(Table1[[#This Row],[Date]])</f>
        <v>3</v>
      </c>
      <c r="M839" s="5" t="str">
        <f t="shared" si="27"/>
        <v>Oct</v>
      </c>
    </row>
    <row r="840" spans="1:13" x14ac:dyDescent="0.25">
      <c r="A840" s="2">
        <v>38323</v>
      </c>
      <c r="B840" t="s">
        <v>22</v>
      </c>
      <c r="C840" t="s">
        <v>23</v>
      </c>
      <c r="D840" t="s">
        <v>13</v>
      </c>
      <c r="E840" t="s">
        <v>25</v>
      </c>
      <c r="F840" s="3">
        <v>2965.04</v>
      </c>
      <c r="G840" s="3">
        <v>6895.44</v>
      </c>
      <c r="H840" s="3">
        <f>Table1[[#This Row],[Sale]]-Table1[[#This Row],[Cost]]</f>
        <v>3930.3999999999996</v>
      </c>
      <c r="I840" s="4">
        <f>Table1[[#This Row],[Profit]]/Table1[[#This Row],[Sale]]</f>
        <v>0.56999988398129775</v>
      </c>
      <c r="J840" s="5">
        <f t="shared" si="26"/>
        <v>2004</v>
      </c>
      <c r="K840" s="5">
        <f>MONTH(Table1[[#This Row],[Date]])</f>
        <v>12</v>
      </c>
      <c r="L840" s="5">
        <f>DAY(Table1[[#This Row],[Date]])</f>
        <v>2</v>
      </c>
      <c r="M840" s="5" t="str">
        <f t="shared" si="27"/>
        <v>Dec</v>
      </c>
    </row>
    <row r="841" spans="1:13" x14ac:dyDescent="0.25">
      <c r="A841" s="2">
        <v>38855</v>
      </c>
      <c r="B841" t="s">
        <v>17</v>
      </c>
      <c r="C841" t="s">
        <v>23</v>
      </c>
      <c r="D841" t="s">
        <v>19</v>
      </c>
      <c r="E841" t="s">
        <v>14</v>
      </c>
      <c r="F841" s="3">
        <v>2442.52</v>
      </c>
      <c r="G841" s="3">
        <v>6601.4</v>
      </c>
      <c r="H841" s="3">
        <f>Table1[[#This Row],[Sale]]-Table1[[#This Row],[Cost]]</f>
        <v>4158.8799999999992</v>
      </c>
      <c r="I841" s="4">
        <f>Table1[[#This Row],[Profit]]/Table1[[#This Row],[Sale]]</f>
        <v>0.62999969703396241</v>
      </c>
      <c r="J841" s="5">
        <f t="shared" si="26"/>
        <v>2006</v>
      </c>
      <c r="K841" s="5">
        <f>MONTH(Table1[[#This Row],[Date]])</f>
        <v>5</v>
      </c>
      <c r="L841" s="5">
        <f>DAY(Table1[[#This Row],[Date]])</f>
        <v>18</v>
      </c>
      <c r="M841" s="5" t="str">
        <f t="shared" si="27"/>
        <v>May</v>
      </c>
    </row>
    <row r="842" spans="1:13" x14ac:dyDescent="0.25">
      <c r="A842" s="2">
        <v>38510</v>
      </c>
      <c r="B842" t="s">
        <v>26</v>
      </c>
      <c r="C842" t="s">
        <v>18</v>
      </c>
      <c r="D842" t="s">
        <v>28</v>
      </c>
      <c r="E842" t="s">
        <v>24</v>
      </c>
      <c r="F842" s="3">
        <v>3612.19</v>
      </c>
      <c r="G842" s="3">
        <v>5312.05</v>
      </c>
      <c r="H842" s="3">
        <f>Table1[[#This Row],[Sale]]-Table1[[#This Row],[Cost]]</f>
        <v>1699.8600000000001</v>
      </c>
      <c r="I842" s="4">
        <f>Table1[[#This Row],[Profit]]/Table1[[#This Row],[Sale]]</f>
        <v>0.32000075300496045</v>
      </c>
      <c r="J842" s="5">
        <f t="shared" si="26"/>
        <v>2005</v>
      </c>
      <c r="K842" s="5">
        <f>MONTH(Table1[[#This Row],[Date]])</f>
        <v>6</v>
      </c>
      <c r="L842" s="5">
        <f>DAY(Table1[[#This Row],[Date]])</f>
        <v>7</v>
      </c>
      <c r="M842" s="5" t="str">
        <f t="shared" si="27"/>
        <v>Jun</v>
      </c>
    </row>
    <row r="843" spans="1:13" x14ac:dyDescent="0.25">
      <c r="A843" s="2">
        <v>38825</v>
      </c>
      <c r="B843" t="s">
        <v>21</v>
      </c>
      <c r="C843" t="s">
        <v>29</v>
      </c>
      <c r="D843" t="s">
        <v>16</v>
      </c>
      <c r="E843" t="s">
        <v>20</v>
      </c>
      <c r="F843" s="3">
        <v>3239.99</v>
      </c>
      <c r="G843" s="3">
        <v>3465.23</v>
      </c>
      <c r="H843" s="3">
        <f>Table1[[#This Row],[Sale]]-Table1[[#This Row],[Cost]]</f>
        <v>225.24000000000024</v>
      </c>
      <c r="I843" s="4">
        <f>Table1[[#This Row],[Profit]]/Table1[[#This Row],[Sale]]</f>
        <v>6.5000014429056729E-2</v>
      </c>
      <c r="J843" s="5">
        <f t="shared" si="26"/>
        <v>2006</v>
      </c>
      <c r="K843" s="5">
        <f>MONTH(Table1[[#This Row],[Date]])</f>
        <v>4</v>
      </c>
      <c r="L843" s="5">
        <f>DAY(Table1[[#This Row],[Date]])</f>
        <v>18</v>
      </c>
      <c r="M843" s="5" t="str">
        <f t="shared" si="27"/>
        <v>Apr</v>
      </c>
    </row>
    <row r="844" spans="1:13" x14ac:dyDescent="0.25">
      <c r="A844" s="2">
        <v>38743</v>
      </c>
      <c r="B844" t="s">
        <v>15</v>
      </c>
      <c r="C844" t="s">
        <v>12</v>
      </c>
      <c r="D844" t="s">
        <v>28</v>
      </c>
      <c r="E844" t="s">
        <v>24</v>
      </c>
      <c r="F844" s="3">
        <v>6053.6</v>
      </c>
      <c r="G844" s="3">
        <v>8071.46</v>
      </c>
      <c r="H844" s="3">
        <f>Table1[[#This Row],[Sale]]-Table1[[#This Row],[Cost]]</f>
        <v>2017.8599999999997</v>
      </c>
      <c r="I844" s="4">
        <f>Table1[[#This Row],[Profit]]/Table1[[#This Row],[Sale]]</f>
        <v>0.2499993805333855</v>
      </c>
      <c r="J844" s="5">
        <f t="shared" si="26"/>
        <v>2006</v>
      </c>
      <c r="K844" s="5">
        <f>MONTH(Table1[[#This Row],[Date]])</f>
        <v>1</v>
      </c>
      <c r="L844" s="5">
        <f>DAY(Table1[[#This Row],[Date]])</f>
        <v>26</v>
      </c>
      <c r="M844" s="5" t="str">
        <f t="shared" si="27"/>
        <v>Jan</v>
      </c>
    </row>
    <row r="845" spans="1:13" x14ac:dyDescent="0.25">
      <c r="A845" s="2">
        <v>38848</v>
      </c>
      <c r="B845" t="s">
        <v>21</v>
      </c>
      <c r="C845" t="s">
        <v>23</v>
      </c>
      <c r="D845" t="s">
        <v>19</v>
      </c>
      <c r="E845" t="s">
        <v>24</v>
      </c>
      <c r="F845" s="3">
        <v>2293.84</v>
      </c>
      <c r="G845" s="3">
        <v>3058.46</v>
      </c>
      <c r="H845" s="3">
        <f>Table1[[#This Row],[Sale]]-Table1[[#This Row],[Cost]]</f>
        <v>764.61999999999989</v>
      </c>
      <c r="I845" s="4">
        <f>Table1[[#This Row],[Profit]]/Table1[[#This Row],[Sale]]</f>
        <v>0.25000163480967541</v>
      </c>
      <c r="J845" s="5">
        <f t="shared" si="26"/>
        <v>2006</v>
      </c>
      <c r="K845" s="5">
        <f>MONTH(Table1[[#This Row],[Date]])</f>
        <v>5</v>
      </c>
      <c r="L845" s="5">
        <f>DAY(Table1[[#This Row],[Date]])</f>
        <v>11</v>
      </c>
      <c r="M845" s="5" t="str">
        <f t="shared" si="27"/>
        <v>May</v>
      </c>
    </row>
    <row r="846" spans="1:13" x14ac:dyDescent="0.25">
      <c r="A846" s="2">
        <v>38169</v>
      </c>
      <c r="B846" t="s">
        <v>11</v>
      </c>
      <c r="C846" t="s">
        <v>18</v>
      </c>
      <c r="D846" t="s">
        <v>16</v>
      </c>
      <c r="E846" t="s">
        <v>25</v>
      </c>
      <c r="F846" s="3">
        <v>105.4</v>
      </c>
      <c r="G846" s="3">
        <v>284.87</v>
      </c>
      <c r="H846" s="3">
        <f>Table1[[#This Row],[Sale]]-Table1[[#This Row],[Cost]]</f>
        <v>179.47</v>
      </c>
      <c r="I846" s="4">
        <f>Table1[[#This Row],[Profit]]/Table1[[#This Row],[Sale]]</f>
        <v>0.63000666970899</v>
      </c>
      <c r="J846" s="5">
        <f t="shared" si="26"/>
        <v>2004</v>
      </c>
      <c r="K846" s="5">
        <f>MONTH(Table1[[#This Row],[Date]])</f>
        <v>7</v>
      </c>
      <c r="L846" s="5">
        <f>DAY(Table1[[#This Row],[Date]])</f>
        <v>1</v>
      </c>
      <c r="M846" s="5" t="str">
        <f t="shared" si="27"/>
        <v>Jul</v>
      </c>
    </row>
    <row r="847" spans="1:13" x14ac:dyDescent="0.25">
      <c r="A847" s="2">
        <v>38381</v>
      </c>
      <c r="B847" t="s">
        <v>11</v>
      </c>
      <c r="C847" t="s">
        <v>29</v>
      </c>
      <c r="D847" t="s">
        <v>19</v>
      </c>
      <c r="E847" t="s">
        <v>14</v>
      </c>
      <c r="F847" s="3">
        <v>5831.52</v>
      </c>
      <c r="G847" s="3">
        <v>9883.93</v>
      </c>
      <c r="H847" s="3">
        <f>Table1[[#This Row],[Sale]]-Table1[[#This Row],[Cost]]</f>
        <v>4052.41</v>
      </c>
      <c r="I847" s="4">
        <f>Table1[[#This Row],[Profit]]/Table1[[#This Row],[Sale]]</f>
        <v>0.40999986847337039</v>
      </c>
      <c r="J847" s="5">
        <f t="shared" si="26"/>
        <v>2005</v>
      </c>
      <c r="K847" s="5">
        <f>MONTH(Table1[[#This Row],[Date]])</f>
        <v>1</v>
      </c>
      <c r="L847" s="5">
        <f>DAY(Table1[[#This Row],[Date]])</f>
        <v>29</v>
      </c>
      <c r="M847" s="5" t="str">
        <f t="shared" si="27"/>
        <v>Jan</v>
      </c>
    </row>
    <row r="848" spans="1:13" x14ac:dyDescent="0.25">
      <c r="A848" s="2">
        <v>38715</v>
      </c>
      <c r="B848" t="s">
        <v>26</v>
      </c>
      <c r="C848" t="s">
        <v>12</v>
      </c>
      <c r="D848" t="s">
        <v>16</v>
      </c>
      <c r="E848" t="s">
        <v>24</v>
      </c>
      <c r="F848" s="3">
        <v>687.21</v>
      </c>
      <c r="G848" s="3">
        <v>1249.47</v>
      </c>
      <c r="H848" s="3">
        <f>Table1[[#This Row],[Sale]]-Table1[[#This Row],[Cost]]</f>
        <v>562.26</v>
      </c>
      <c r="I848" s="4">
        <f>Table1[[#This Row],[Profit]]/Table1[[#This Row],[Sale]]</f>
        <v>0.44999879949098415</v>
      </c>
      <c r="J848" s="5">
        <f t="shared" si="26"/>
        <v>2005</v>
      </c>
      <c r="K848" s="5">
        <f>MONTH(Table1[[#This Row],[Date]])</f>
        <v>12</v>
      </c>
      <c r="L848" s="5">
        <f>DAY(Table1[[#This Row],[Date]])</f>
        <v>29</v>
      </c>
      <c r="M848" s="5" t="str">
        <f t="shared" si="27"/>
        <v>Dec</v>
      </c>
    </row>
    <row r="849" spans="1:13" x14ac:dyDescent="0.25">
      <c r="A849" s="2">
        <v>38251</v>
      </c>
      <c r="B849" t="s">
        <v>11</v>
      </c>
      <c r="C849" t="s">
        <v>12</v>
      </c>
      <c r="D849" t="s">
        <v>28</v>
      </c>
      <c r="E849" t="s">
        <v>25</v>
      </c>
      <c r="F849" s="3">
        <v>2177.0100000000002</v>
      </c>
      <c r="G849" s="3">
        <v>5883.8</v>
      </c>
      <c r="H849" s="3">
        <f>Table1[[#This Row],[Sale]]-Table1[[#This Row],[Cost]]</f>
        <v>3706.79</v>
      </c>
      <c r="I849" s="4">
        <f>Table1[[#This Row],[Profit]]/Table1[[#This Row],[Sale]]</f>
        <v>0.62999932016723881</v>
      </c>
      <c r="J849" s="5">
        <f t="shared" si="26"/>
        <v>2004</v>
      </c>
      <c r="K849" s="5">
        <f>MONTH(Table1[[#This Row],[Date]])</f>
        <v>9</v>
      </c>
      <c r="L849" s="5">
        <f>DAY(Table1[[#This Row],[Date]])</f>
        <v>21</v>
      </c>
      <c r="M849" s="5" t="str">
        <f t="shared" si="27"/>
        <v>Sep</v>
      </c>
    </row>
    <row r="850" spans="1:13" x14ac:dyDescent="0.25">
      <c r="A850" s="2">
        <v>38587</v>
      </c>
      <c r="B850" t="s">
        <v>15</v>
      </c>
      <c r="C850" t="s">
        <v>27</v>
      </c>
      <c r="D850" t="s">
        <v>13</v>
      </c>
      <c r="E850" t="s">
        <v>24</v>
      </c>
      <c r="F850" s="3">
        <v>3975.27</v>
      </c>
      <c r="G850" s="3">
        <v>5300.36</v>
      </c>
      <c r="H850" s="3">
        <f>Table1[[#This Row],[Sale]]-Table1[[#This Row],[Cost]]</f>
        <v>1325.0899999999997</v>
      </c>
      <c r="I850" s="4">
        <f>Table1[[#This Row],[Profit]]/Table1[[#This Row],[Sale]]</f>
        <v>0.24999999999999994</v>
      </c>
      <c r="J850" s="5">
        <f t="shared" si="26"/>
        <v>2005</v>
      </c>
      <c r="K850" s="5">
        <f>MONTH(Table1[[#This Row],[Date]])</f>
        <v>8</v>
      </c>
      <c r="L850" s="5">
        <f>DAY(Table1[[#This Row],[Date]])</f>
        <v>23</v>
      </c>
      <c r="M850" s="5" t="str">
        <f t="shared" si="27"/>
        <v>Aug</v>
      </c>
    </row>
    <row r="851" spans="1:13" x14ac:dyDescent="0.25">
      <c r="A851" s="2">
        <v>38687</v>
      </c>
      <c r="B851" t="s">
        <v>11</v>
      </c>
      <c r="C851" t="s">
        <v>27</v>
      </c>
      <c r="D851" t="s">
        <v>28</v>
      </c>
      <c r="E851" t="s">
        <v>20</v>
      </c>
      <c r="F851" s="3">
        <v>3436.89</v>
      </c>
      <c r="G851" s="3">
        <v>4582.5200000000004</v>
      </c>
      <c r="H851" s="3">
        <f>Table1[[#This Row],[Sale]]-Table1[[#This Row],[Cost]]</f>
        <v>1145.6300000000006</v>
      </c>
      <c r="I851" s="4">
        <f>Table1[[#This Row],[Profit]]/Table1[[#This Row],[Sale]]</f>
        <v>0.25000000000000011</v>
      </c>
      <c r="J851" s="5">
        <f t="shared" si="26"/>
        <v>2005</v>
      </c>
      <c r="K851" s="5">
        <f>MONTH(Table1[[#This Row],[Date]])</f>
        <v>12</v>
      </c>
      <c r="L851" s="5">
        <f>DAY(Table1[[#This Row],[Date]])</f>
        <v>1</v>
      </c>
      <c r="M851" s="5" t="str">
        <f t="shared" si="27"/>
        <v>Dec</v>
      </c>
    </row>
    <row r="852" spans="1:13" x14ac:dyDescent="0.25">
      <c r="A852" s="2">
        <v>38166</v>
      </c>
      <c r="B852" t="s">
        <v>21</v>
      </c>
      <c r="C852" t="s">
        <v>12</v>
      </c>
      <c r="D852" t="s">
        <v>13</v>
      </c>
      <c r="E852" t="s">
        <v>25</v>
      </c>
      <c r="F852" s="3">
        <v>2043.56</v>
      </c>
      <c r="G852" s="3">
        <v>4752.46</v>
      </c>
      <c r="H852" s="3">
        <f>Table1[[#This Row],[Sale]]-Table1[[#This Row],[Cost]]</f>
        <v>2708.9</v>
      </c>
      <c r="I852" s="4">
        <f>Table1[[#This Row],[Profit]]/Table1[[#This Row],[Sale]]</f>
        <v>0.56999953708184814</v>
      </c>
      <c r="J852" s="5">
        <f t="shared" si="26"/>
        <v>2004</v>
      </c>
      <c r="K852" s="5">
        <f>MONTH(Table1[[#This Row],[Date]])</f>
        <v>6</v>
      </c>
      <c r="L852" s="5">
        <f>DAY(Table1[[#This Row],[Date]])</f>
        <v>28</v>
      </c>
      <c r="M852" s="5" t="str">
        <f t="shared" si="27"/>
        <v>Jun</v>
      </c>
    </row>
    <row r="853" spans="1:13" x14ac:dyDescent="0.25">
      <c r="A853" s="2">
        <v>38370</v>
      </c>
      <c r="B853" t="s">
        <v>21</v>
      </c>
      <c r="C853" t="s">
        <v>18</v>
      </c>
      <c r="D853" t="s">
        <v>28</v>
      </c>
      <c r="E853" t="s">
        <v>20</v>
      </c>
      <c r="F853" s="3">
        <v>404.3</v>
      </c>
      <c r="G853" s="3">
        <v>539.07000000000005</v>
      </c>
      <c r="H853" s="3">
        <f>Table1[[#This Row],[Sale]]-Table1[[#This Row],[Cost]]</f>
        <v>134.77000000000004</v>
      </c>
      <c r="I853" s="4">
        <f>Table1[[#This Row],[Profit]]/Table1[[#This Row],[Sale]]</f>
        <v>0.25000463761663611</v>
      </c>
      <c r="J853" s="5">
        <f t="shared" si="26"/>
        <v>2005</v>
      </c>
      <c r="K853" s="5">
        <f>MONTH(Table1[[#This Row],[Date]])</f>
        <v>1</v>
      </c>
      <c r="L853" s="5">
        <f>DAY(Table1[[#This Row],[Date]])</f>
        <v>18</v>
      </c>
      <c r="M853" s="5" t="str">
        <f t="shared" si="27"/>
        <v>Jan</v>
      </c>
    </row>
    <row r="854" spans="1:13" x14ac:dyDescent="0.25">
      <c r="A854" s="2">
        <v>38234</v>
      </c>
      <c r="B854" t="s">
        <v>11</v>
      </c>
      <c r="C854" t="s">
        <v>23</v>
      </c>
      <c r="D854" t="s">
        <v>19</v>
      </c>
      <c r="E854" t="s">
        <v>14</v>
      </c>
      <c r="F854" s="3">
        <v>5157.05</v>
      </c>
      <c r="G854" s="3">
        <v>9376.4500000000007</v>
      </c>
      <c r="H854" s="3">
        <f>Table1[[#This Row],[Sale]]-Table1[[#This Row],[Cost]]</f>
        <v>4219.4000000000005</v>
      </c>
      <c r="I854" s="4">
        <f>Table1[[#This Row],[Profit]]/Table1[[#This Row],[Sale]]</f>
        <v>0.44999973337457144</v>
      </c>
      <c r="J854" s="5">
        <f t="shared" si="26"/>
        <v>2004</v>
      </c>
      <c r="K854" s="5">
        <f>MONTH(Table1[[#This Row],[Date]])</f>
        <v>9</v>
      </c>
      <c r="L854" s="5">
        <f>DAY(Table1[[#This Row],[Date]])</f>
        <v>4</v>
      </c>
      <c r="M854" s="5" t="str">
        <f t="shared" si="27"/>
        <v>Sep</v>
      </c>
    </row>
    <row r="855" spans="1:13" x14ac:dyDescent="0.25">
      <c r="A855" s="2">
        <v>38611</v>
      </c>
      <c r="B855" t="s">
        <v>17</v>
      </c>
      <c r="C855" t="s">
        <v>29</v>
      </c>
      <c r="D855" t="s">
        <v>16</v>
      </c>
      <c r="E855" t="s">
        <v>14</v>
      </c>
      <c r="F855" s="3">
        <v>4240.1000000000004</v>
      </c>
      <c r="G855" s="3">
        <v>9860.69</v>
      </c>
      <c r="H855" s="3">
        <f>Table1[[#This Row],[Sale]]-Table1[[#This Row],[Cost]]</f>
        <v>5620.59</v>
      </c>
      <c r="I855" s="4">
        <f>Table1[[#This Row],[Profit]]/Table1[[#This Row],[Sale]]</f>
        <v>0.5699996653378212</v>
      </c>
      <c r="J855" s="5">
        <f t="shared" si="26"/>
        <v>2005</v>
      </c>
      <c r="K855" s="5">
        <f>MONTH(Table1[[#This Row],[Date]])</f>
        <v>9</v>
      </c>
      <c r="L855" s="5">
        <f>DAY(Table1[[#This Row],[Date]])</f>
        <v>16</v>
      </c>
      <c r="M855" s="5" t="str">
        <f t="shared" si="27"/>
        <v>Sep</v>
      </c>
    </row>
    <row r="856" spans="1:13" x14ac:dyDescent="0.25">
      <c r="A856" s="2">
        <v>38408</v>
      </c>
      <c r="B856" t="s">
        <v>15</v>
      </c>
      <c r="C856" t="s">
        <v>27</v>
      </c>
      <c r="D856" t="s">
        <v>13</v>
      </c>
      <c r="E856" t="s">
        <v>20</v>
      </c>
      <c r="F856" s="3">
        <v>8385.2800000000007</v>
      </c>
      <c r="G856" s="3">
        <v>9528.73</v>
      </c>
      <c r="H856" s="3">
        <f>Table1[[#This Row],[Sale]]-Table1[[#This Row],[Cost]]</f>
        <v>1143.4499999999989</v>
      </c>
      <c r="I856" s="4">
        <f>Table1[[#This Row],[Profit]]/Table1[[#This Row],[Sale]]</f>
        <v>0.12000025186987132</v>
      </c>
      <c r="J856" s="5">
        <f t="shared" si="26"/>
        <v>2005</v>
      </c>
      <c r="K856" s="5">
        <f>MONTH(Table1[[#This Row],[Date]])</f>
        <v>2</v>
      </c>
      <c r="L856" s="5">
        <f>DAY(Table1[[#This Row],[Date]])</f>
        <v>25</v>
      </c>
      <c r="M856" s="5" t="str">
        <f t="shared" si="27"/>
        <v>Feb</v>
      </c>
    </row>
    <row r="857" spans="1:13" x14ac:dyDescent="0.25">
      <c r="A857" s="2">
        <v>38584</v>
      </c>
      <c r="B857" t="s">
        <v>22</v>
      </c>
      <c r="C857" t="s">
        <v>18</v>
      </c>
      <c r="D857" t="s">
        <v>16</v>
      </c>
      <c r="E857" t="s">
        <v>20</v>
      </c>
      <c r="F857" s="3">
        <v>196.46</v>
      </c>
      <c r="G857" s="3">
        <v>456.88</v>
      </c>
      <c r="H857" s="3">
        <f>Table1[[#This Row],[Sale]]-Table1[[#This Row],[Cost]]</f>
        <v>260.41999999999996</v>
      </c>
      <c r="I857" s="4">
        <f>Table1[[#This Row],[Profit]]/Table1[[#This Row],[Sale]]</f>
        <v>0.56999649798634211</v>
      </c>
      <c r="J857" s="5">
        <f t="shared" si="26"/>
        <v>2005</v>
      </c>
      <c r="K857" s="5">
        <f>MONTH(Table1[[#This Row],[Date]])</f>
        <v>8</v>
      </c>
      <c r="L857" s="5">
        <f>DAY(Table1[[#This Row],[Date]])</f>
        <v>20</v>
      </c>
      <c r="M857" s="5" t="str">
        <f t="shared" si="27"/>
        <v>Aug</v>
      </c>
    </row>
    <row r="858" spans="1:13" x14ac:dyDescent="0.25">
      <c r="A858" s="2">
        <v>38836</v>
      </c>
      <c r="B858" t="s">
        <v>17</v>
      </c>
      <c r="C858" t="s">
        <v>18</v>
      </c>
      <c r="D858" t="s">
        <v>16</v>
      </c>
      <c r="E858" t="s">
        <v>14</v>
      </c>
      <c r="F858" s="3">
        <v>195.22</v>
      </c>
      <c r="G858" s="3">
        <v>433.82</v>
      </c>
      <c r="H858" s="3">
        <f>Table1[[#This Row],[Sale]]-Table1[[#This Row],[Cost]]</f>
        <v>238.6</v>
      </c>
      <c r="I858" s="4">
        <f>Table1[[#This Row],[Profit]]/Table1[[#This Row],[Sale]]</f>
        <v>0.54999769489650085</v>
      </c>
      <c r="J858" s="5">
        <f t="shared" si="26"/>
        <v>2006</v>
      </c>
      <c r="K858" s="5">
        <f>MONTH(Table1[[#This Row],[Date]])</f>
        <v>4</v>
      </c>
      <c r="L858" s="5">
        <f>DAY(Table1[[#This Row],[Date]])</f>
        <v>29</v>
      </c>
      <c r="M858" s="5" t="str">
        <f t="shared" si="27"/>
        <v>Apr</v>
      </c>
    </row>
    <row r="859" spans="1:13" x14ac:dyDescent="0.25">
      <c r="A859" s="2">
        <v>38205</v>
      </c>
      <c r="B859" t="s">
        <v>21</v>
      </c>
      <c r="C859" t="s">
        <v>12</v>
      </c>
      <c r="D859" t="s">
        <v>16</v>
      </c>
      <c r="E859" t="s">
        <v>14</v>
      </c>
      <c r="F859" s="3">
        <v>3617.08</v>
      </c>
      <c r="G859" s="3">
        <v>8411.81</v>
      </c>
      <c r="H859" s="3">
        <f>Table1[[#This Row],[Sale]]-Table1[[#This Row],[Cost]]</f>
        <v>4794.7299999999996</v>
      </c>
      <c r="I859" s="4">
        <f>Table1[[#This Row],[Profit]]/Table1[[#This Row],[Sale]]</f>
        <v>0.56999979790318611</v>
      </c>
      <c r="J859" s="5">
        <f t="shared" si="26"/>
        <v>2004</v>
      </c>
      <c r="K859" s="5">
        <f>MONTH(Table1[[#This Row],[Date]])</f>
        <v>8</v>
      </c>
      <c r="L859" s="5">
        <f>DAY(Table1[[#This Row],[Date]])</f>
        <v>6</v>
      </c>
      <c r="M859" s="5" t="str">
        <f t="shared" si="27"/>
        <v>Aug</v>
      </c>
    </row>
    <row r="860" spans="1:13" x14ac:dyDescent="0.25">
      <c r="A860" s="2">
        <v>38463</v>
      </c>
      <c r="B860" t="s">
        <v>11</v>
      </c>
      <c r="C860" t="s">
        <v>12</v>
      </c>
      <c r="D860" t="s">
        <v>13</v>
      </c>
      <c r="E860" t="s">
        <v>25</v>
      </c>
      <c r="F860" s="3">
        <v>731.82</v>
      </c>
      <c r="G860" s="3">
        <v>1977.89</v>
      </c>
      <c r="H860" s="3">
        <f>Table1[[#This Row],[Sale]]-Table1[[#This Row],[Cost]]</f>
        <v>1246.0700000000002</v>
      </c>
      <c r="I860" s="4">
        <f>Table1[[#This Row],[Profit]]/Table1[[#This Row],[Sale]]</f>
        <v>0.62999964608749737</v>
      </c>
      <c r="J860" s="5">
        <f t="shared" si="26"/>
        <v>2005</v>
      </c>
      <c r="K860" s="5">
        <f>MONTH(Table1[[#This Row],[Date]])</f>
        <v>4</v>
      </c>
      <c r="L860" s="5">
        <f>DAY(Table1[[#This Row],[Date]])</f>
        <v>21</v>
      </c>
      <c r="M860" s="5" t="str">
        <f t="shared" si="27"/>
        <v>Apr</v>
      </c>
    </row>
    <row r="861" spans="1:13" x14ac:dyDescent="0.25">
      <c r="A861" s="2">
        <v>38735</v>
      </c>
      <c r="B861" t="s">
        <v>22</v>
      </c>
      <c r="C861" t="s">
        <v>18</v>
      </c>
      <c r="D861" t="s">
        <v>16</v>
      </c>
      <c r="E861" t="s">
        <v>20</v>
      </c>
      <c r="F861" s="3">
        <v>3651.71</v>
      </c>
      <c r="G861" s="3">
        <v>8492.35</v>
      </c>
      <c r="H861" s="3">
        <f>Table1[[#This Row],[Sale]]-Table1[[#This Row],[Cost]]</f>
        <v>4840.6400000000003</v>
      </c>
      <c r="I861" s="4">
        <f>Table1[[#This Row],[Profit]]/Table1[[#This Row],[Sale]]</f>
        <v>0.57000005887651828</v>
      </c>
      <c r="J861" s="5">
        <f t="shared" si="26"/>
        <v>2006</v>
      </c>
      <c r="K861" s="5">
        <f>MONTH(Table1[[#This Row],[Date]])</f>
        <v>1</v>
      </c>
      <c r="L861" s="5">
        <f>DAY(Table1[[#This Row],[Date]])</f>
        <v>18</v>
      </c>
      <c r="M861" s="5" t="str">
        <f t="shared" si="27"/>
        <v>Jan</v>
      </c>
    </row>
    <row r="862" spans="1:13" x14ac:dyDescent="0.25">
      <c r="A862" s="2">
        <v>38372</v>
      </c>
      <c r="B862" t="s">
        <v>22</v>
      </c>
      <c r="C862" t="s">
        <v>23</v>
      </c>
      <c r="D862" t="s">
        <v>19</v>
      </c>
      <c r="E862" t="s">
        <v>20</v>
      </c>
      <c r="F862" s="3">
        <v>5085.3100000000004</v>
      </c>
      <c r="G862" s="3">
        <v>6780.41</v>
      </c>
      <c r="H862" s="3">
        <f>Table1[[#This Row],[Sale]]-Table1[[#This Row],[Cost]]</f>
        <v>1695.0999999999995</v>
      </c>
      <c r="I862" s="4">
        <f>Table1[[#This Row],[Profit]]/Table1[[#This Row],[Sale]]</f>
        <v>0.24999963129073308</v>
      </c>
      <c r="J862" s="5">
        <f t="shared" si="26"/>
        <v>2005</v>
      </c>
      <c r="K862" s="5">
        <f>MONTH(Table1[[#This Row],[Date]])</f>
        <v>1</v>
      </c>
      <c r="L862" s="5">
        <f>DAY(Table1[[#This Row],[Date]])</f>
        <v>20</v>
      </c>
      <c r="M862" s="5" t="str">
        <f t="shared" si="27"/>
        <v>Jan</v>
      </c>
    </row>
    <row r="863" spans="1:13" x14ac:dyDescent="0.25">
      <c r="A863" s="2">
        <v>38814</v>
      </c>
      <c r="B863" t="s">
        <v>15</v>
      </c>
      <c r="C863" t="s">
        <v>27</v>
      </c>
      <c r="D863" t="s">
        <v>28</v>
      </c>
      <c r="E863" t="s">
        <v>25</v>
      </c>
      <c r="F863" s="3">
        <v>913.3</v>
      </c>
      <c r="G863" s="3">
        <v>1574.66</v>
      </c>
      <c r="H863" s="3">
        <f>Table1[[#This Row],[Sale]]-Table1[[#This Row],[Cost]]</f>
        <v>661.36000000000013</v>
      </c>
      <c r="I863" s="4">
        <f>Table1[[#This Row],[Profit]]/Table1[[#This Row],[Sale]]</f>
        <v>0.42000177816163498</v>
      </c>
      <c r="J863" s="5">
        <f t="shared" si="26"/>
        <v>2006</v>
      </c>
      <c r="K863" s="5">
        <f>MONTH(Table1[[#This Row],[Date]])</f>
        <v>4</v>
      </c>
      <c r="L863" s="5">
        <f>DAY(Table1[[#This Row],[Date]])</f>
        <v>7</v>
      </c>
      <c r="M863" s="5" t="str">
        <f t="shared" si="27"/>
        <v>Apr</v>
      </c>
    </row>
    <row r="864" spans="1:13" x14ac:dyDescent="0.25">
      <c r="A864" s="2">
        <v>38712</v>
      </c>
      <c r="B864" t="s">
        <v>26</v>
      </c>
      <c r="C864" t="s">
        <v>23</v>
      </c>
      <c r="D864" t="s">
        <v>28</v>
      </c>
      <c r="E864" t="s">
        <v>20</v>
      </c>
      <c r="F864" s="3">
        <v>5533.4</v>
      </c>
      <c r="G864" s="3">
        <v>5918.08</v>
      </c>
      <c r="H864" s="3">
        <f>Table1[[#This Row],[Sale]]-Table1[[#This Row],[Cost]]</f>
        <v>384.68000000000029</v>
      </c>
      <c r="I864" s="4">
        <f>Table1[[#This Row],[Profit]]/Table1[[#This Row],[Sale]]</f>
        <v>6.5000811073861839E-2</v>
      </c>
      <c r="J864" s="5">
        <f t="shared" si="26"/>
        <v>2005</v>
      </c>
      <c r="K864" s="5">
        <f>MONTH(Table1[[#This Row],[Date]])</f>
        <v>12</v>
      </c>
      <c r="L864" s="5">
        <f>DAY(Table1[[#This Row],[Date]])</f>
        <v>26</v>
      </c>
      <c r="M864" s="5" t="str">
        <f t="shared" si="27"/>
        <v>Dec</v>
      </c>
    </row>
    <row r="865" spans="1:13" x14ac:dyDescent="0.25">
      <c r="A865" s="2">
        <v>38437</v>
      </c>
      <c r="B865" t="s">
        <v>26</v>
      </c>
      <c r="C865" t="s">
        <v>18</v>
      </c>
      <c r="D865" t="s">
        <v>28</v>
      </c>
      <c r="E865" t="s">
        <v>25</v>
      </c>
      <c r="F865" s="3">
        <v>6043.74</v>
      </c>
      <c r="G865" s="3">
        <v>8058.32</v>
      </c>
      <c r="H865" s="3">
        <f>Table1[[#This Row],[Sale]]-Table1[[#This Row],[Cost]]</f>
        <v>2014.58</v>
      </c>
      <c r="I865" s="4">
        <f>Table1[[#This Row],[Profit]]/Table1[[#This Row],[Sale]]</f>
        <v>0.25</v>
      </c>
      <c r="J865" s="5">
        <f t="shared" si="26"/>
        <v>2005</v>
      </c>
      <c r="K865" s="5">
        <f>MONTH(Table1[[#This Row],[Date]])</f>
        <v>3</v>
      </c>
      <c r="L865" s="5">
        <f>DAY(Table1[[#This Row],[Date]])</f>
        <v>26</v>
      </c>
      <c r="M865" s="5" t="str">
        <f t="shared" si="27"/>
        <v>Mar</v>
      </c>
    </row>
    <row r="866" spans="1:13" x14ac:dyDescent="0.25">
      <c r="A866" s="2">
        <v>38447</v>
      </c>
      <c r="B866" t="s">
        <v>26</v>
      </c>
      <c r="C866" t="s">
        <v>23</v>
      </c>
      <c r="D866" t="s">
        <v>16</v>
      </c>
      <c r="E866" t="s">
        <v>14</v>
      </c>
      <c r="F866" s="3">
        <v>4007.99</v>
      </c>
      <c r="G866" s="3">
        <v>4554.53</v>
      </c>
      <c r="H866" s="3">
        <f>Table1[[#This Row],[Sale]]-Table1[[#This Row],[Cost]]</f>
        <v>546.54</v>
      </c>
      <c r="I866" s="4">
        <f>Table1[[#This Row],[Profit]]/Table1[[#This Row],[Sale]]</f>
        <v>0.11999920957815625</v>
      </c>
      <c r="J866" s="5">
        <f t="shared" si="26"/>
        <v>2005</v>
      </c>
      <c r="K866" s="5">
        <f>MONTH(Table1[[#This Row],[Date]])</f>
        <v>4</v>
      </c>
      <c r="L866" s="5">
        <f>DAY(Table1[[#This Row],[Date]])</f>
        <v>5</v>
      </c>
      <c r="M866" s="5" t="str">
        <f t="shared" si="27"/>
        <v>Apr</v>
      </c>
    </row>
    <row r="867" spans="1:13" x14ac:dyDescent="0.25">
      <c r="A867" s="2">
        <v>38647</v>
      </c>
      <c r="B867" t="s">
        <v>26</v>
      </c>
      <c r="C867" t="s">
        <v>29</v>
      </c>
      <c r="D867" t="s">
        <v>19</v>
      </c>
      <c r="E867" t="s">
        <v>14</v>
      </c>
      <c r="F867" s="3">
        <v>819.24</v>
      </c>
      <c r="G867" s="3">
        <v>1204.76</v>
      </c>
      <c r="H867" s="3">
        <f>Table1[[#This Row],[Sale]]-Table1[[#This Row],[Cost]]</f>
        <v>385.52</v>
      </c>
      <c r="I867" s="4">
        <f>Table1[[#This Row],[Profit]]/Table1[[#This Row],[Sale]]</f>
        <v>0.31999734386931838</v>
      </c>
      <c r="J867" s="5">
        <f t="shared" si="26"/>
        <v>2005</v>
      </c>
      <c r="K867" s="5">
        <f>MONTH(Table1[[#This Row],[Date]])</f>
        <v>10</v>
      </c>
      <c r="L867" s="5">
        <f>DAY(Table1[[#This Row],[Date]])</f>
        <v>22</v>
      </c>
      <c r="M867" s="5" t="str">
        <f t="shared" si="27"/>
        <v>Oct</v>
      </c>
    </row>
    <row r="868" spans="1:13" x14ac:dyDescent="0.25">
      <c r="A868" s="2">
        <v>38881</v>
      </c>
      <c r="B868" t="s">
        <v>17</v>
      </c>
      <c r="C868" t="s">
        <v>12</v>
      </c>
      <c r="D868" t="s">
        <v>16</v>
      </c>
      <c r="E868" t="s">
        <v>25</v>
      </c>
      <c r="F868" s="3">
        <v>2187.71</v>
      </c>
      <c r="G868" s="3">
        <v>3771.92</v>
      </c>
      <c r="H868" s="3">
        <f>Table1[[#This Row],[Sale]]-Table1[[#This Row],[Cost]]</f>
        <v>1584.21</v>
      </c>
      <c r="I868" s="4">
        <f>Table1[[#This Row],[Profit]]/Table1[[#This Row],[Sale]]</f>
        <v>0.42000095442109059</v>
      </c>
      <c r="J868" s="5">
        <f t="shared" si="26"/>
        <v>2006</v>
      </c>
      <c r="K868" s="5">
        <f>MONTH(Table1[[#This Row],[Date]])</f>
        <v>6</v>
      </c>
      <c r="L868" s="5">
        <f>DAY(Table1[[#This Row],[Date]])</f>
        <v>13</v>
      </c>
      <c r="M868" s="5" t="str">
        <f t="shared" si="27"/>
        <v>Jun</v>
      </c>
    </row>
    <row r="869" spans="1:13" x14ac:dyDescent="0.25">
      <c r="A869" s="2">
        <v>38260</v>
      </c>
      <c r="B869" t="s">
        <v>11</v>
      </c>
      <c r="C869" t="s">
        <v>23</v>
      </c>
      <c r="D869" t="s">
        <v>19</v>
      </c>
      <c r="E869" t="s">
        <v>25</v>
      </c>
      <c r="F869" s="3">
        <v>2844.61</v>
      </c>
      <c r="G869" s="3">
        <v>7688.14</v>
      </c>
      <c r="H869" s="3">
        <f>Table1[[#This Row],[Sale]]-Table1[[#This Row],[Cost]]</f>
        <v>4843.5300000000007</v>
      </c>
      <c r="I869" s="4">
        <f>Table1[[#This Row],[Profit]]/Table1[[#This Row],[Sale]]</f>
        <v>0.63000023412685002</v>
      </c>
      <c r="J869" s="5">
        <f t="shared" si="26"/>
        <v>2004</v>
      </c>
      <c r="K869" s="5">
        <f>MONTH(Table1[[#This Row],[Date]])</f>
        <v>9</v>
      </c>
      <c r="L869" s="5">
        <f>DAY(Table1[[#This Row],[Date]])</f>
        <v>30</v>
      </c>
      <c r="M869" s="5" t="str">
        <f t="shared" si="27"/>
        <v>Sep</v>
      </c>
    </row>
    <row r="870" spans="1:13" x14ac:dyDescent="0.25">
      <c r="A870" s="2">
        <v>38242</v>
      </c>
      <c r="B870" t="s">
        <v>11</v>
      </c>
      <c r="C870" t="s">
        <v>12</v>
      </c>
      <c r="D870" t="s">
        <v>16</v>
      </c>
      <c r="E870" t="s">
        <v>24</v>
      </c>
      <c r="F870" s="3">
        <v>3673.27</v>
      </c>
      <c r="G870" s="3">
        <v>4174.17</v>
      </c>
      <c r="H870" s="3">
        <f>Table1[[#This Row],[Sale]]-Table1[[#This Row],[Cost]]</f>
        <v>500.90000000000009</v>
      </c>
      <c r="I870" s="4">
        <f>Table1[[#This Row],[Profit]]/Table1[[#This Row],[Sale]]</f>
        <v>0.11999990417256606</v>
      </c>
      <c r="J870" s="5">
        <f t="shared" si="26"/>
        <v>2004</v>
      </c>
      <c r="K870" s="5">
        <f>MONTH(Table1[[#This Row],[Date]])</f>
        <v>9</v>
      </c>
      <c r="L870" s="5">
        <f>DAY(Table1[[#This Row],[Date]])</f>
        <v>12</v>
      </c>
      <c r="M870" s="5" t="str">
        <f t="shared" si="27"/>
        <v>Sep</v>
      </c>
    </row>
    <row r="871" spans="1:13" x14ac:dyDescent="0.25">
      <c r="A871" s="2">
        <v>38823</v>
      </c>
      <c r="B871" t="s">
        <v>17</v>
      </c>
      <c r="C871" t="s">
        <v>27</v>
      </c>
      <c r="D871" t="s">
        <v>19</v>
      </c>
      <c r="E871" t="s">
        <v>20</v>
      </c>
      <c r="F871" s="3">
        <v>2521.9499999999998</v>
      </c>
      <c r="G871" s="3">
        <v>5865.01</v>
      </c>
      <c r="H871" s="3">
        <f>Table1[[#This Row],[Sale]]-Table1[[#This Row],[Cost]]</f>
        <v>3343.0600000000004</v>
      </c>
      <c r="I871" s="4">
        <f>Table1[[#This Row],[Profit]]/Table1[[#This Row],[Sale]]</f>
        <v>0.57000073316158029</v>
      </c>
      <c r="J871" s="5">
        <f t="shared" si="26"/>
        <v>2006</v>
      </c>
      <c r="K871" s="5">
        <f>MONTH(Table1[[#This Row],[Date]])</f>
        <v>4</v>
      </c>
      <c r="L871" s="5">
        <f>DAY(Table1[[#This Row],[Date]])</f>
        <v>16</v>
      </c>
      <c r="M871" s="5" t="str">
        <f t="shared" si="27"/>
        <v>Apr</v>
      </c>
    </row>
    <row r="872" spans="1:13" x14ac:dyDescent="0.25">
      <c r="A872" s="2">
        <v>38176</v>
      </c>
      <c r="B872" t="s">
        <v>22</v>
      </c>
      <c r="C872" t="s">
        <v>29</v>
      </c>
      <c r="D872" t="s">
        <v>13</v>
      </c>
      <c r="E872" t="s">
        <v>20</v>
      </c>
      <c r="F872" s="3">
        <v>3708.54</v>
      </c>
      <c r="G872" s="3">
        <v>4944.72</v>
      </c>
      <c r="H872" s="3">
        <f>Table1[[#This Row],[Sale]]-Table1[[#This Row],[Cost]]</f>
        <v>1236.1800000000003</v>
      </c>
      <c r="I872" s="4">
        <f>Table1[[#This Row],[Profit]]/Table1[[#This Row],[Sale]]</f>
        <v>0.25000000000000006</v>
      </c>
      <c r="J872" s="5">
        <f t="shared" si="26"/>
        <v>2004</v>
      </c>
      <c r="K872" s="5">
        <f>MONTH(Table1[[#This Row],[Date]])</f>
        <v>7</v>
      </c>
      <c r="L872" s="5">
        <f>DAY(Table1[[#This Row],[Date]])</f>
        <v>8</v>
      </c>
      <c r="M872" s="5" t="str">
        <f t="shared" si="27"/>
        <v>Jul</v>
      </c>
    </row>
    <row r="873" spans="1:13" x14ac:dyDescent="0.25">
      <c r="A873" s="2">
        <v>38449</v>
      </c>
      <c r="B873" t="s">
        <v>15</v>
      </c>
      <c r="C873" t="s">
        <v>29</v>
      </c>
      <c r="D873" t="s">
        <v>28</v>
      </c>
      <c r="E873" t="s">
        <v>14</v>
      </c>
      <c r="F873" s="3">
        <v>5761.58</v>
      </c>
      <c r="G873" s="3">
        <v>6162.12</v>
      </c>
      <c r="H873" s="3">
        <f>Table1[[#This Row],[Sale]]-Table1[[#This Row],[Cost]]</f>
        <v>400.53999999999996</v>
      </c>
      <c r="I873" s="4">
        <f>Table1[[#This Row],[Profit]]/Table1[[#This Row],[Sale]]</f>
        <v>6.5000357019986618E-2</v>
      </c>
      <c r="J873" s="5">
        <f t="shared" si="26"/>
        <v>2005</v>
      </c>
      <c r="K873" s="5">
        <f>MONTH(Table1[[#This Row],[Date]])</f>
        <v>4</v>
      </c>
      <c r="L873" s="5">
        <f>DAY(Table1[[#This Row],[Date]])</f>
        <v>7</v>
      </c>
      <c r="M873" s="5" t="str">
        <f t="shared" si="27"/>
        <v>Apr</v>
      </c>
    </row>
    <row r="874" spans="1:13" x14ac:dyDescent="0.25">
      <c r="A874" s="2">
        <v>38671</v>
      </c>
      <c r="B874" t="s">
        <v>26</v>
      </c>
      <c r="C874" t="s">
        <v>18</v>
      </c>
      <c r="D874" t="s">
        <v>16</v>
      </c>
      <c r="E874" t="s">
        <v>24</v>
      </c>
      <c r="F874" s="3">
        <v>4854.34</v>
      </c>
      <c r="G874" s="3">
        <v>7138.73</v>
      </c>
      <c r="H874" s="3">
        <f>Table1[[#This Row],[Sale]]-Table1[[#This Row],[Cost]]</f>
        <v>2284.3899999999994</v>
      </c>
      <c r="I874" s="4">
        <f>Table1[[#This Row],[Profit]]/Table1[[#This Row],[Sale]]</f>
        <v>0.31999949570862035</v>
      </c>
      <c r="J874" s="5">
        <f t="shared" si="26"/>
        <v>2005</v>
      </c>
      <c r="K874" s="5">
        <f>MONTH(Table1[[#This Row],[Date]])</f>
        <v>11</v>
      </c>
      <c r="L874" s="5">
        <f>DAY(Table1[[#This Row],[Date]])</f>
        <v>15</v>
      </c>
      <c r="M874" s="5" t="str">
        <f t="shared" si="27"/>
        <v>Nov</v>
      </c>
    </row>
    <row r="875" spans="1:13" x14ac:dyDescent="0.25">
      <c r="A875" s="2">
        <v>38609</v>
      </c>
      <c r="B875" t="s">
        <v>21</v>
      </c>
      <c r="C875" t="s">
        <v>12</v>
      </c>
      <c r="D875" t="s">
        <v>13</v>
      </c>
      <c r="E875" t="s">
        <v>14</v>
      </c>
      <c r="F875" s="3">
        <v>4949.87</v>
      </c>
      <c r="G875" s="3">
        <v>6599.83</v>
      </c>
      <c r="H875" s="3">
        <f>Table1[[#This Row],[Sale]]-Table1[[#This Row],[Cost]]</f>
        <v>1649.96</v>
      </c>
      <c r="I875" s="4">
        <f>Table1[[#This Row],[Profit]]/Table1[[#This Row],[Sale]]</f>
        <v>0.2500003787976357</v>
      </c>
      <c r="J875" s="5">
        <f t="shared" si="26"/>
        <v>2005</v>
      </c>
      <c r="K875" s="5">
        <f>MONTH(Table1[[#This Row],[Date]])</f>
        <v>9</v>
      </c>
      <c r="L875" s="5">
        <f>DAY(Table1[[#This Row],[Date]])</f>
        <v>14</v>
      </c>
      <c r="M875" s="5" t="str">
        <f t="shared" si="27"/>
        <v>Sep</v>
      </c>
    </row>
    <row r="876" spans="1:13" x14ac:dyDescent="0.25">
      <c r="A876" s="2">
        <v>38378</v>
      </c>
      <c r="B876" t="s">
        <v>22</v>
      </c>
      <c r="C876" t="s">
        <v>12</v>
      </c>
      <c r="D876" t="s">
        <v>28</v>
      </c>
      <c r="E876" t="s">
        <v>25</v>
      </c>
      <c r="F876" s="3">
        <v>916.59</v>
      </c>
      <c r="G876" s="3">
        <v>1222.1199999999999</v>
      </c>
      <c r="H876" s="3">
        <f>Table1[[#This Row],[Sale]]-Table1[[#This Row],[Cost]]</f>
        <v>305.52999999999986</v>
      </c>
      <c r="I876" s="4">
        <f>Table1[[#This Row],[Profit]]/Table1[[#This Row],[Sale]]</f>
        <v>0.24999999999999992</v>
      </c>
      <c r="J876" s="5">
        <f t="shared" si="26"/>
        <v>2005</v>
      </c>
      <c r="K876" s="5">
        <f>MONTH(Table1[[#This Row],[Date]])</f>
        <v>1</v>
      </c>
      <c r="L876" s="5">
        <f>DAY(Table1[[#This Row],[Date]])</f>
        <v>26</v>
      </c>
      <c r="M876" s="5" t="str">
        <f t="shared" si="27"/>
        <v>Jan</v>
      </c>
    </row>
    <row r="877" spans="1:13" x14ac:dyDescent="0.25">
      <c r="A877" s="2">
        <v>38863</v>
      </c>
      <c r="B877" t="s">
        <v>11</v>
      </c>
      <c r="C877" t="s">
        <v>27</v>
      </c>
      <c r="D877" t="s">
        <v>19</v>
      </c>
      <c r="E877" t="s">
        <v>14</v>
      </c>
      <c r="F877" s="3">
        <v>3631.51</v>
      </c>
      <c r="G877" s="3">
        <v>6155.11</v>
      </c>
      <c r="H877" s="3">
        <f>Table1[[#This Row],[Sale]]-Table1[[#This Row],[Cost]]</f>
        <v>2523.5999999999995</v>
      </c>
      <c r="I877" s="4">
        <f>Table1[[#This Row],[Profit]]/Table1[[#This Row],[Sale]]</f>
        <v>0.41000079608650369</v>
      </c>
      <c r="J877" s="5">
        <f t="shared" si="26"/>
        <v>2006</v>
      </c>
      <c r="K877" s="5">
        <f>MONTH(Table1[[#This Row],[Date]])</f>
        <v>5</v>
      </c>
      <c r="L877" s="5">
        <f>DAY(Table1[[#This Row],[Date]])</f>
        <v>26</v>
      </c>
      <c r="M877" s="5" t="str">
        <f t="shared" si="27"/>
        <v>May</v>
      </c>
    </row>
    <row r="878" spans="1:13" x14ac:dyDescent="0.25">
      <c r="A878" s="2">
        <v>38659</v>
      </c>
      <c r="B878" t="s">
        <v>26</v>
      </c>
      <c r="C878" t="s">
        <v>27</v>
      </c>
      <c r="D878" t="s">
        <v>19</v>
      </c>
      <c r="E878" t="s">
        <v>24</v>
      </c>
      <c r="F878" s="3">
        <v>1380.91</v>
      </c>
      <c r="G878" s="3">
        <v>3732.18</v>
      </c>
      <c r="H878" s="3">
        <f>Table1[[#This Row],[Sale]]-Table1[[#This Row],[Cost]]</f>
        <v>2351.2699999999995</v>
      </c>
      <c r="I878" s="4">
        <f>Table1[[#This Row],[Profit]]/Table1[[#This Row],[Sale]]</f>
        <v>0.62999908900428159</v>
      </c>
      <c r="J878" s="5">
        <f t="shared" si="26"/>
        <v>2005</v>
      </c>
      <c r="K878" s="5">
        <f>MONTH(Table1[[#This Row],[Date]])</f>
        <v>11</v>
      </c>
      <c r="L878" s="5">
        <f>DAY(Table1[[#This Row],[Date]])</f>
        <v>3</v>
      </c>
      <c r="M878" s="5" t="str">
        <f t="shared" si="27"/>
        <v>Nov</v>
      </c>
    </row>
    <row r="879" spans="1:13" x14ac:dyDescent="0.25">
      <c r="A879" s="2">
        <v>38558</v>
      </c>
      <c r="B879" t="s">
        <v>17</v>
      </c>
      <c r="C879" t="s">
        <v>12</v>
      </c>
      <c r="D879" t="s">
        <v>19</v>
      </c>
      <c r="E879" t="s">
        <v>14</v>
      </c>
      <c r="F879" s="3">
        <v>1394.72</v>
      </c>
      <c r="G879" s="3">
        <v>3243.54</v>
      </c>
      <c r="H879" s="3">
        <f>Table1[[#This Row],[Sale]]-Table1[[#This Row],[Cost]]</f>
        <v>1848.82</v>
      </c>
      <c r="I879" s="4">
        <f>Table1[[#This Row],[Profit]]/Table1[[#This Row],[Sale]]</f>
        <v>0.57000067827127154</v>
      </c>
      <c r="J879" s="5">
        <f t="shared" si="26"/>
        <v>2005</v>
      </c>
      <c r="K879" s="5">
        <f>MONTH(Table1[[#This Row],[Date]])</f>
        <v>7</v>
      </c>
      <c r="L879" s="5">
        <f>DAY(Table1[[#This Row],[Date]])</f>
        <v>25</v>
      </c>
      <c r="M879" s="5" t="str">
        <f t="shared" si="27"/>
        <v>Jul</v>
      </c>
    </row>
    <row r="880" spans="1:13" x14ac:dyDescent="0.25">
      <c r="A880" s="2">
        <v>38737</v>
      </c>
      <c r="B880" t="s">
        <v>15</v>
      </c>
      <c r="C880" t="s">
        <v>27</v>
      </c>
      <c r="D880" t="s">
        <v>28</v>
      </c>
      <c r="E880" t="s">
        <v>20</v>
      </c>
      <c r="F880" s="3">
        <v>2790.65</v>
      </c>
      <c r="G880" s="3">
        <v>4811.47</v>
      </c>
      <c r="H880" s="3">
        <f>Table1[[#This Row],[Sale]]-Table1[[#This Row],[Cost]]</f>
        <v>2020.8200000000002</v>
      </c>
      <c r="I880" s="4">
        <f>Table1[[#This Row],[Profit]]/Table1[[#This Row],[Sale]]</f>
        <v>0.42000054037539464</v>
      </c>
      <c r="J880" s="5">
        <f t="shared" si="26"/>
        <v>2006</v>
      </c>
      <c r="K880" s="5">
        <f>MONTH(Table1[[#This Row],[Date]])</f>
        <v>1</v>
      </c>
      <c r="L880" s="5">
        <f>DAY(Table1[[#This Row],[Date]])</f>
        <v>20</v>
      </c>
      <c r="M880" s="5" t="str">
        <f t="shared" si="27"/>
        <v>Jan</v>
      </c>
    </row>
    <row r="881" spans="1:13" x14ac:dyDescent="0.25">
      <c r="A881" s="2">
        <v>38618</v>
      </c>
      <c r="B881" t="s">
        <v>22</v>
      </c>
      <c r="C881" t="s">
        <v>23</v>
      </c>
      <c r="D881" t="s">
        <v>28</v>
      </c>
      <c r="E881" t="s">
        <v>24</v>
      </c>
      <c r="F881" s="3">
        <v>2421.2399999999998</v>
      </c>
      <c r="G881" s="3">
        <v>3560.65</v>
      </c>
      <c r="H881" s="3">
        <f>Table1[[#This Row],[Sale]]-Table1[[#This Row],[Cost]]</f>
        <v>1139.4100000000003</v>
      </c>
      <c r="I881" s="4">
        <f>Table1[[#This Row],[Profit]]/Table1[[#This Row],[Sale]]</f>
        <v>0.3200005616951962</v>
      </c>
      <c r="J881" s="5">
        <f t="shared" si="26"/>
        <v>2005</v>
      </c>
      <c r="K881" s="5">
        <f>MONTH(Table1[[#This Row],[Date]])</f>
        <v>9</v>
      </c>
      <c r="L881" s="5">
        <f>DAY(Table1[[#This Row],[Date]])</f>
        <v>23</v>
      </c>
      <c r="M881" s="5" t="str">
        <f t="shared" si="27"/>
        <v>Sep</v>
      </c>
    </row>
    <row r="882" spans="1:13" x14ac:dyDescent="0.25">
      <c r="A882" s="2">
        <v>38708</v>
      </c>
      <c r="B882" t="s">
        <v>21</v>
      </c>
      <c r="C882" t="s">
        <v>29</v>
      </c>
      <c r="D882" t="s">
        <v>16</v>
      </c>
      <c r="E882" t="s">
        <v>14</v>
      </c>
      <c r="F882" s="3">
        <v>2974.3</v>
      </c>
      <c r="G882" s="3">
        <v>3181.07</v>
      </c>
      <c r="H882" s="3">
        <f>Table1[[#This Row],[Sale]]-Table1[[#This Row],[Cost]]</f>
        <v>206.76999999999998</v>
      </c>
      <c r="I882" s="4">
        <f>Table1[[#This Row],[Profit]]/Table1[[#This Row],[Sale]]</f>
        <v>6.5000141461835165E-2</v>
      </c>
      <c r="J882" s="5">
        <f t="shared" si="26"/>
        <v>2005</v>
      </c>
      <c r="K882" s="5">
        <f>MONTH(Table1[[#This Row],[Date]])</f>
        <v>12</v>
      </c>
      <c r="L882" s="5">
        <f>DAY(Table1[[#This Row],[Date]])</f>
        <v>22</v>
      </c>
      <c r="M882" s="5" t="str">
        <f t="shared" si="27"/>
        <v>Dec</v>
      </c>
    </row>
    <row r="883" spans="1:13" x14ac:dyDescent="0.25">
      <c r="A883" s="2">
        <v>38312</v>
      </c>
      <c r="B883" t="s">
        <v>17</v>
      </c>
      <c r="C883" t="s">
        <v>12</v>
      </c>
      <c r="D883" t="s">
        <v>28</v>
      </c>
      <c r="E883" t="s">
        <v>14</v>
      </c>
      <c r="F883" s="3">
        <v>3386.79</v>
      </c>
      <c r="G883" s="3">
        <v>6157.8</v>
      </c>
      <c r="H883" s="3">
        <f>Table1[[#This Row],[Sale]]-Table1[[#This Row],[Cost]]</f>
        <v>2771.01</v>
      </c>
      <c r="I883" s="4">
        <f>Table1[[#This Row],[Profit]]/Table1[[#This Row],[Sale]]</f>
        <v>0.45</v>
      </c>
      <c r="J883" s="5">
        <f t="shared" si="26"/>
        <v>2004</v>
      </c>
      <c r="K883" s="5">
        <f>MONTH(Table1[[#This Row],[Date]])</f>
        <v>11</v>
      </c>
      <c r="L883" s="5">
        <f>DAY(Table1[[#This Row],[Date]])</f>
        <v>21</v>
      </c>
      <c r="M883" s="5" t="str">
        <f t="shared" si="27"/>
        <v>Nov</v>
      </c>
    </row>
    <row r="884" spans="1:13" x14ac:dyDescent="0.25">
      <c r="A884" s="2">
        <v>38665</v>
      </c>
      <c r="B884" t="s">
        <v>11</v>
      </c>
      <c r="C884" t="s">
        <v>23</v>
      </c>
      <c r="D884" t="s">
        <v>13</v>
      </c>
      <c r="E884" t="s">
        <v>14</v>
      </c>
      <c r="F884" s="3">
        <v>2245.15</v>
      </c>
      <c r="G884" s="3">
        <v>3301.69</v>
      </c>
      <c r="H884" s="3">
        <f>Table1[[#This Row],[Sale]]-Table1[[#This Row],[Cost]]</f>
        <v>1056.54</v>
      </c>
      <c r="I884" s="4">
        <f>Table1[[#This Row],[Profit]]/Table1[[#This Row],[Sale]]</f>
        <v>0.31999975769984462</v>
      </c>
      <c r="J884" s="5">
        <f t="shared" si="26"/>
        <v>2005</v>
      </c>
      <c r="K884" s="5">
        <f>MONTH(Table1[[#This Row],[Date]])</f>
        <v>11</v>
      </c>
      <c r="L884" s="5">
        <f>DAY(Table1[[#This Row],[Date]])</f>
        <v>9</v>
      </c>
      <c r="M884" s="5" t="str">
        <f t="shared" si="27"/>
        <v>Nov</v>
      </c>
    </row>
    <row r="885" spans="1:13" x14ac:dyDescent="0.25">
      <c r="A885" s="2">
        <v>38476</v>
      </c>
      <c r="B885" t="s">
        <v>22</v>
      </c>
      <c r="C885" t="s">
        <v>27</v>
      </c>
      <c r="D885" t="s">
        <v>16</v>
      </c>
      <c r="E885" t="s">
        <v>25</v>
      </c>
      <c r="F885" s="3">
        <v>1018.35</v>
      </c>
      <c r="G885" s="3">
        <v>1851.54</v>
      </c>
      <c r="H885" s="3">
        <f>Table1[[#This Row],[Sale]]-Table1[[#This Row],[Cost]]</f>
        <v>833.18999999999994</v>
      </c>
      <c r="I885" s="4">
        <f>Table1[[#This Row],[Profit]]/Table1[[#This Row],[Sale]]</f>
        <v>0.44999837972714601</v>
      </c>
      <c r="J885" s="5">
        <f t="shared" si="26"/>
        <v>2005</v>
      </c>
      <c r="K885" s="5">
        <f>MONTH(Table1[[#This Row],[Date]])</f>
        <v>5</v>
      </c>
      <c r="L885" s="5">
        <f>DAY(Table1[[#This Row],[Date]])</f>
        <v>4</v>
      </c>
      <c r="M885" s="5" t="str">
        <f t="shared" si="27"/>
        <v>May</v>
      </c>
    </row>
    <row r="886" spans="1:13" x14ac:dyDescent="0.25">
      <c r="A886" s="2">
        <v>38756</v>
      </c>
      <c r="B886" t="s">
        <v>17</v>
      </c>
      <c r="C886" t="s">
        <v>29</v>
      </c>
      <c r="D886" t="s">
        <v>13</v>
      </c>
      <c r="E886" t="s">
        <v>24</v>
      </c>
      <c r="F886" s="3">
        <v>2764.69</v>
      </c>
      <c r="G886" s="3">
        <v>7472.14</v>
      </c>
      <c r="H886" s="3">
        <f>Table1[[#This Row],[Sale]]-Table1[[#This Row],[Cost]]</f>
        <v>4707.4500000000007</v>
      </c>
      <c r="I886" s="4">
        <f>Table1[[#This Row],[Profit]]/Table1[[#This Row],[Sale]]</f>
        <v>0.63000024089484408</v>
      </c>
      <c r="J886" s="5">
        <f t="shared" si="26"/>
        <v>2006</v>
      </c>
      <c r="K886" s="5">
        <f>MONTH(Table1[[#This Row],[Date]])</f>
        <v>2</v>
      </c>
      <c r="L886" s="5">
        <f>DAY(Table1[[#This Row],[Date]])</f>
        <v>8</v>
      </c>
      <c r="M886" s="5" t="str">
        <f t="shared" si="27"/>
        <v>Feb</v>
      </c>
    </row>
    <row r="887" spans="1:13" x14ac:dyDescent="0.25">
      <c r="A887" s="2">
        <v>38222</v>
      </c>
      <c r="B887" t="s">
        <v>22</v>
      </c>
      <c r="C887" t="s">
        <v>23</v>
      </c>
      <c r="D887" t="s">
        <v>28</v>
      </c>
      <c r="E887" t="s">
        <v>20</v>
      </c>
      <c r="F887" s="3">
        <v>8622.15</v>
      </c>
      <c r="G887" s="3">
        <v>9221.5499999999993</v>
      </c>
      <c r="H887" s="3">
        <f>Table1[[#This Row],[Sale]]-Table1[[#This Row],[Cost]]</f>
        <v>599.39999999999964</v>
      </c>
      <c r="I887" s="4">
        <f>Table1[[#This Row],[Profit]]/Table1[[#This Row],[Sale]]</f>
        <v>6.4999918668770404E-2</v>
      </c>
      <c r="J887" s="5">
        <f t="shared" si="26"/>
        <v>2004</v>
      </c>
      <c r="K887" s="5">
        <f>MONTH(Table1[[#This Row],[Date]])</f>
        <v>8</v>
      </c>
      <c r="L887" s="5">
        <f>DAY(Table1[[#This Row],[Date]])</f>
        <v>23</v>
      </c>
      <c r="M887" s="5" t="str">
        <f t="shared" si="27"/>
        <v>Aug</v>
      </c>
    </row>
    <row r="888" spans="1:13" x14ac:dyDescent="0.25">
      <c r="A888" s="2">
        <v>38191</v>
      </c>
      <c r="B888" t="s">
        <v>11</v>
      </c>
      <c r="C888" t="s">
        <v>29</v>
      </c>
      <c r="D888" t="s">
        <v>28</v>
      </c>
      <c r="E888" t="s">
        <v>25</v>
      </c>
      <c r="F888" s="3">
        <v>1152.17</v>
      </c>
      <c r="G888" s="3">
        <v>3113.97</v>
      </c>
      <c r="H888" s="3">
        <f>Table1[[#This Row],[Sale]]-Table1[[#This Row],[Cost]]</f>
        <v>1961.7999999999997</v>
      </c>
      <c r="I888" s="4">
        <f>Table1[[#This Row],[Profit]]/Table1[[#This Row],[Sale]]</f>
        <v>0.62999964675317999</v>
      </c>
      <c r="J888" s="5">
        <f t="shared" si="26"/>
        <v>2004</v>
      </c>
      <c r="K888" s="5">
        <f>MONTH(Table1[[#This Row],[Date]])</f>
        <v>7</v>
      </c>
      <c r="L888" s="5">
        <f>DAY(Table1[[#This Row],[Date]])</f>
        <v>23</v>
      </c>
      <c r="M888" s="5" t="str">
        <f t="shared" si="27"/>
        <v>Jul</v>
      </c>
    </row>
    <row r="889" spans="1:13" x14ac:dyDescent="0.25">
      <c r="A889" s="2">
        <v>38176</v>
      </c>
      <c r="B889" t="s">
        <v>15</v>
      </c>
      <c r="C889" t="s">
        <v>12</v>
      </c>
      <c r="D889" t="s">
        <v>16</v>
      </c>
      <c r="E889" t="s">
        <v>25</v>
      </c>
      <c r="F889" s="3">
        <v>1829.65</v>
      </c>
      <c r="G889" s="3">
        <v>2079.15</v>
      </c>
      <c r="H889" s="3">
        <f>Table1[[#This Row],[Sale]]-Table1[[#This Row],[Cost]]</f>
        <v>249.5</v>
      </c>
      <c r="I889" s="4">
        <f>Table1[[#This Row],[Profit]]/Table1[[#This Row],[Sale]]</f>
        <v>0.12000096193155857</v>
      </c>
      <c r="J889" s="5">
        <f t="shared" si="26"/>
        <v>2004</v>
      </c>
      <c r="K889" s="5">
        <f>MONTH(Table1[[#This Row],[Date]])</f>
        <v>7</v>
      </c>
      <c r="L889" s="5">
        <f>DAY(Table1[[#This Row],[Date]])</f>
        <v>8</v>
      </c>
      <c r="M889" s="5" t="str">
        <f t="shared" si="27"/>
        <v>Jul</v>
      </c>
    </row>
    <row r="890" spans="1:13" x14ac:dyDescent="0.25">
      <c r="A890" s="2">
        <v>38856</v>
      </c>
      <c r="B890" t="s">
        <v>15</v>
      </c>
      <c r="C890" t="s">
        <v>18</v>
      </c>
      <c r="D890" t="s">
        <v>16</v>
      </c>
      <c r="E890" t="s">
        <v>24</v>
      </c>
      <c r="F890" s="3">
        <v>1854.61</v>
      </c>
      <c r="G890" s="3">
        <v>4313.04</v>
      </c>
      <c r="H890" s="3">
        <f>Table1[[#This Row],[Sale]]-Table1[[#This Row],[Cost]]</f>
        <v>2458.4300000000003</v>
      </c>
      <c r="I890" s="4">
        <f>Table1[[#This Row],[Profit]]/Table1[[#This Row],[Sale]]</f>
        <v>0.56999935080592812</v>
      </c>
      <c r="J890" s="5">
        <f t="shared" si="26"/>
        <v>2006</v>
      </c>
      <c r="K890" s="5">
        <f>MONTH(Table1[[#This Row],[Date]])</f>
        <v>5</v>
      </c>
      <c r="L890" s="5">
        <f>DAY(Table1[[#This Row],[Date]])</f>
        <v>19</v>
      </c>
      <c r="M890" s="5" t="str">
        <f t="shared" si="27"/>
        <v>May</v>
      </c>
    </row>
    <row r="891" spans="1:13" x14ac:dyDescent="0.25">
      <c r="A891" s="2">
        <v>38745</v>
      </c>
      <c r="B891" t="s">
        <v>17</v>
      </c>
      <c r="C891" t="s">
        <v>12</v>
      </c>
      <c r="D891" t="s">
        <v>28</v>
      </c>
      <c r="E891" t="s">
        <v>20</v>
      </c>
      <c r="F891" s="3">
        <v>6513.69</v>
      </c>
      <c r="G891" s="3">
        <v>8684.92</v>
      </c>
      <c r="H891" s="3">
        <f>Table1[[#This Row],[Sale]]-Table1[[#This Row],[Cost]]</f>
        <v>2171.2300000000005</v>
      </c>
      <c r="I891" s="4">
        <f>Table1[[#This Row],[Profit]]/Table1[[#This Row],[Sale]]</f>
        <v>0.25000000000000006</v>
      </c>
      <c r="J891" s="5">
        <f t="shared" si="26"/>
        <v>2006</v>
      </c>
      <c r="K891" s="5">
        <f>MONTH(Table1[[#This Row],[Date]])</f>
        <v>1</v>
      </c>
      <c r="L891" s="5">
        <f>DAY(Table1[[#This Row],[Date]])</f>
        <v>28</v>
      </c>
      <c r="M891" s="5" t="str">
        <f t="shared" si="27"/>
        <v>Jan</v>
      </c>
    </row>
    <row r="892" spans="1:13" x14ac:dyDescent="0.25">
      <c r="A892" s="2">
        <v>38752</v>
      </c>
      <c r="B892" t="s">
        <v>26</v>
      </c>
      <c r="C892" t="s">
        <v>12</v>
      </c>
      <c r="D892" t="s">
        <v>19</v>
      </c>
      <c r="E892" t="s">
        <v>20</v>
      </c>
      <c r="F892" s="3">
        <v>4114.41</v>
      </c>
      <c r="G892" s="3">
        <v>9568.39</v>
      </c>
      <c r="H892" s="3">
        <f>Table1[[#This Row],[Sale]]-Table1[[#This Row],[Cost]]</f>
        <v>5453.98</v>
      </c>
      <c r="I892" s="4">
        <f>Table1[[#This Row],[Profit]]/Table1[[#This Row],[Sale]]</f>
        <v>0.56999975962518246</v>
      </c>
      <c r="J892" s="5">
        <f t="shared" si="26"/>
        <v>2006</v>
      </c>
      <c r="K892" s="5">
        <f>MONTH(Table1[[#This Row],[Date]])</f>
        <v>2</v>
      </c>
      <c r="L892" s="5">
        <f>DAY(Table1[[#This Row],[Date]])</f>
        <v>4</v>
      </c>
      <c r="M892" s="5" t="str">
        <f t="shared" si="27"/>
        <v>Feb</v>
      </c>
    </row>
    <row r="893" spans="1:13" x14ac:dyDescent="0.25">
      <c r="A893" s="2">
        <v>38875</v>
      </c>
      <c r="B893" t="s">
        <v>22</v>
      </c>
      <c r="C893" t="s">
        <v>23</v>
      </c>
      <c r="D893" t="s">
        <v>19</v>
      </c>
      <c r="E893" t="s">
        <v>14</v>
      </c>
      <c r="F893" s="3">
        <v>5395.13</v>
      </c>
      <c r="G893" s="3">
        <v>9809.32</v>
      </c>
      <c r="H893" s="3">
        <f>Table1[[#This Row],[Sale]]-Table1[[#This Row],[Cost]]</f>
        <v>4414.1899999999996</v>
      </c>
      <c r="I893" s="4">
        <f>Table1[[#This Row],[Profit]]/Table1[[#This Row],[Sale]]</f>
        <v>0.44999959222453745</v>
      </c>
      <c r="J893" s="5">
        <f t="shared" si="26"/>
        <v>2006</v>
      </c>
      <c r="K893" s="5">
        <f>MONTH(Table1[[#This Row],[Date]])</f>
        <v>6</v>
      </c>
      <c r="L893" s="5">
        <f>DAY(Table1[[#This Row],[Date]])</f>
        <v>7</v>
      </c>
      <c r="M893" s="5" t="str">
        <f t="shared" si="27"/>
        <v>Jun</v>
      </c>
    </row>
    <row r="894" spans="1:13" x14ac:dyDescent="0.25">
      <c r="A894" s="2">
        <v>38662</v>
      </c>
      <c r="B894" t="s">
        <v>26</v>
      </c>
      <c r="C894" t="s">
        <v>12</v>
      </c>
      <c r="D894" t="s">
        <v>16</v>
      </c>
      <c r="E894" t="s">
        <v>25</v>
      </c>
      <c r="F894" s="3">
        <v>2922.29</v>
      </c>
      <c r="G894" s="3">
        <v>7898.07</v>
      </c>
      <c r="H894" s="3">
        <f>Table1[[#This Row],[Sale]]-Table1[[#This Row],[Cost]]</f>
        <v>4975.78</v>
      </c>
      <c r="I894" s="4">
        <f>Table1[[#This Row],[Profit]]/Table1[[#This Row],[Sale]]</f>
        <v>0.62999948088583668</v>
      </c>
      <c r="J894" s="5">
        <f t="shared" si="26"/>
        <v>2005</v>
      </c>
      <c r="K894" s="5">
        <f>MONTH(Table1[[#This Row],[Date]])</f>
        <v>11</v>
      </c>
      <c r="L894" s="5">
        <f>DAY(Table1[[#This Row],[Date]])</f>
        <v>6</v>
      </c>
      <c r="M894" s="5" t="str">
        <f t="shared" si="27"/>
        <v>Nov</v>
      </c>
    </row>
    <row r="895" spans="1:13" x14ac:dyDescent="0.25">
      <c r="A895" s="2">
        <v>38335</v>
      </c>
      <c r="B895" t="s">
        <v>21</v>
      </c>
      <c r="C895" t="s">
        <v>29</v>
      </c>
      <c r="D895" t="s">
        <v>13</v>
      </c>
      <c r="E895" t="s">
        <v>25</v>
      </c>
      <c r="F895" s="3">
        <v>699.7</v>
      </c>
      <c r="G895" s="3">
        <v>1206.3800000000001</v>
      </c>
      <c r="H895" s="3">
        <f>Table1[[#This Row],[Sale]]-Table1[[#This Row],[Cost]]</f>
        <v>506.68000000000006</v>
      </c>
      <c r="I895" s="4">
        <f>Table1[[#This Row],[Profit]]/Table1[[#This Row],[Sale]]</f>
        <v>0.42000033157048361</v>
      </c>
      <c r="J895" s="5">
        <f t="shared" si="26"/>
        <v>2004</v>
      </c>
      <c r="K895" s="5">
        <f>MONTH(Table1[[#This Row],[Date]])</f>
        <v>12</v>
      </c>
      <c r="L895" s="5">
        <f>DAY(Table1[[#This Row],[Date]])</f>
        <v>14</v>
      </c>
      <c r="M895" s="5" t="str">
        <f t="shared" si="27"/>
        <v>Dec</v>
      </c>
    </row>
    <row r="896" spans="1:13" x14ac:dyDescent="0.25">
      <c r="A896" s="2">
        <v>38865</v>
      </c>
      <c r="B896" t="s">
        <v>21</v>
      </c>
      <c r="C896" t="s">
        <v>29</v>
      </c>
      <c r="D896" t="s">
        <v>19</v>
      </c>
      <c r="E896" t="s">
        <v>24</v>
      </c>
      <c r="F896" s="3">
        <v>5262.21</v>
      </c>
      <c r="G896" s="3">
        <v>9567.65</v>
      </c>
      <c r="H896" s="3">
        <f>Table1[[#This Row],[Sale]]-Table1[[#This Row],[Cost]]</f>
        <v>4305.4399999999996</v>
      </c>
      <c r="I896" s="4">
        <f>Table1[[#This Row],[Profit]]/Table1[[#This Row],[Sale]]</f>
        <v>0.44999973870281623</v>
      </c>
      <c r="J896" s="5">
        <f t="shared" si="26"/>
        <v>2006</v>
      </c>
      <c r="K896" s="5">
        <f>MONTH(Table1[[#This Row],[Date]])</f>
        <v>5</v>
      </c>
      <c r="L896" s="5">
        <f>DAY(Table1[[#This Row],[Date]])</f>
        <v>28</v>
      </c>
      <c r="M896" s="5" t="str">
        <f t="shared" si="27"/>
        <v>May</v>
      </c>
    </row>
    <row r="897" spans="1:13" x14ac:dyDescent="0.25">
      <c r="A897" s="2">
        <v>38570</v>
      </c>
      <c r="B897" t="s">
        <v>11</v>
      </c>
      <c r="C897" t="s">
        <v>27</v>
      </c>
      <c r="D897" t="s">
        <v>16</v>
      </c>
      <c r="E897" t="s">
        <v>14</v>
      </c>
      <c r="F897" s="3">
        <v>607.65</v>
      </c>
      <c r="G897" s="3">
        <v>1047.67</v>
      </c>
      <c r="H897" s="3">
        <f>Table1[[#This Row],[Sale]]-Table1[[#This Row],[Cost]]</f>
        <v>440.0200000000001</v>
      </c>
      <c r="I897" s="4">
        <f>Table1[[#This Row],[Profit]]/Table1[[#This Row],[Sale]]</f>
        <v>0.41999866370135641</v>
      </c>
      <c r="J897" s="5">
        <f t="shared" si="26"/>
        <v>2005</v>
      </c>
      <c r="K897" s="5">
        <f>MONTH(Table1[[#This Row],[Date]])</f>
        <v>8</v>
      </c>
      <c r="L897" s="5">
        <f>DAY(Table1[[#This Row],[Date]])</f>
        <v>6</v>
      </c>
      <c r="M897" s="5" t="str">
        <f t="shared" si="27"/>
        <v>Aug</v>
      </c>
    </row>
    <row r="898" spans="1:13" x14ac:dyDescent="0.25">
      <c r="A898" s="2">
        <v>38185</v>
      </c>
      <c r="B898" t="s">
        <v>26</v>
      </c>
      <c r="C898" t="s">
        <v>29</v>
      </c>
      <c r="D898" t="s">
        <v>13</v>
      </c>
      <c r="E898" t="s">
        <v>25</v>
      </c>
      <c r="F898" s="3">
        <v>782.73</v>
      </c>
      <c r="G898" s="3">
        <v>1423.15</v>
      </c>
      <c r="H898" s="3">
        <f>Table1[[#This Row],[Sale]]-Table1[[#This Row],[Cost]]</f>
        <v>640.42000000000007</v>
      </c>
      <c r="I898" s="4">
        <f>Table1[[#This Row],[Profit]]/Table1[[#This Row],[Sale]]</f>
        <v>0.45000175666654957</v>
      </c>
      <c r="J898" s="5">
        <f t="shared" ref="J898:J961" si="28">YEAR(A:A)</f>
        <v>2004</v>
      </c>
      <c r="K898" s="5">
        <f>MONTH(Table1[[#This Row],[Date]])</f>
        <v>7</v>
      </c>
      <c r="L898" s="5">
        <f>DAY(Table1[[#This Row],[Date]])</f>
        <v>17</v>
      </c>
      <c r="M898" s="5" t="str">
        <f t="shared" ref="M898:M961" si="29">CHOOSE(K898,"Jan", "Feb", "Mar", "Apr", "May", "Jun", "Jul", "Aug", "Sep", "Oct", "Nov", "Dec")</f>
        <v>Jul</v>
      </c>
    </row>
    <row r="899" spans="1:13" x14ac:dyDescent="0.25">
      <c r="A899" s="2">
        <v>38811</v>
      </c>
      <c r="B899" t="s">
        <v>26</v>
      </c>
      <c r="C899" t="s">
        <v>18</v>
      </c>
      <c r="D899" t="s">
        <v>19</v>
      </c>
      <c r="E899" t="s">
        <v>14</v>
      </c>
      <c r="F899" s="3">
        <v>1070.95</v>
      </c>
      <c r="G899" s="3">
        <v>1815.17</v>
      </c>
      <c r="H899" s="3">
        <f>Table1[[#This Row],[Sale]]-Table1[[#This Row],[Cost]]</f>
        <v>744.22</v>
      </c>
      <c r="I899" s="4">
        <f>Table1[[#This Row],[Profit]]/Table1[[#This Row],[Sale]]</f>
        <v>0.41000016527377603</v>
      </c>
      <c r="J899" s="5">
        <f t="shared" si="28"/>
        <v>2006</v>
      </c>
      <c r="K899" s="5">
        <f>MONTH(Table1[[#This Row],[Date]])</f>
        <v>4</v>
      </c>
      <c r="L899" s="5">
        <f>DAY(Table1[[#This Row],[Date]])</f>
        <v>4</v>
      </c>
      <c r="M899" s="5" t="str">
        <f t="shared" si="29"/>
        <v>Apr</v>
      </c>
    </row>
    <row r="900" spans="1:13" x14ac:dyDescent="0.25">
      <c r="A900" s="2">
        <v>38642</v>
      </c>
      <c r="B900" t="s">
        <v>15</v>
      </c>
      <c r="C900" t="s">
        <v>23</v>
      </c>
      <c r="D900" t="s">
        <v>16</v>
      </c>
      <c r="E900" t="s">
        <v>20</v>
      </c>
      <c r="F900" s="3">
        <v>2487.83</v>
      </c>
      <c r="G900" s="3">
        <v>2660.78</v>
      </c>
      <c r="H900" s="3">
        <f>Table1[[#This Row],[Sale]]-Table1[[#This Row],[Cost]]</f>
        <v>172.95000000000027</v>
      </c>
      <c r="I900" s="4">
        <f>Table1[[#This Row],[Profit]]/Table1[[#This Row],[Sale]]</f>
        <v>6.4999736919249346E-2</v>
      </c>
      <c r="J900" s="5">
        <f t="shared" si="28"/>
        <v>2005</v>
      </c>
      <c r="K900" s="5">
        <f>MONTH(Table1[[#This Row],[Date]])</f>
        <v>10</v>
      </c>
      <c r="L900" s="5">
        <f>DAY(Table1[[#This Row],[Date]])</f>
        <v>17</v>
      </c>
      <c r="M900" s="5" t="str">
        <f t="shared" si="29"/>
        <v>Oct</v>
      </c>
    </row>
    <row r="901" spans="1:13" x14ac:dyDescent="0.25">
      <c r="A901" s="2">
        <v>38229</v>
      </c>
      <c r="B901" t="s">
        <v>11</v>
      </c>
      <c r="C901" t="s">
        <v>27</v>
      </c>
      <c r="D901" t="s">
        <v>16</v>
      </c>
      <c r="E901" t="s">
        <v>14</v>
      </c>
      <c r="F901" s="3">
        <v>4482.8</v>
      </c>
      <c r="G901" s="3">
        <v>6592.35</v>
      </c>
      <c r="H901" s="3">
        <f>Table1[[#This Row],[Sale]]-Table1[[#This Row],[Cost]]</f>
        <v>2109.5500000000002</v>
      </c>
      <c r="I901" s="4">
        <f>Table1[[#This Row],[Profit]]/Table1[[#This Row],[Sale]]</f>
        <v>0.31999969661804972</v>
      </c>
      <c r="J901" s="5">
        <f t="shared" si="28"/>
        <v>2004</v>
      </c>
      <c r="K901" s="5">
        <f>MONTH(Table1[[#This Row],[Date]])</f>
        <v>8</v>
      </c>
      <c r="L901" s="5">
        <f>DAY(Table1[[#This Row],[Date]])</f>
        <v>30</v>
      </c>
      <c r="M901" s="5" t="str">
        <f t="shared" si="29"/>
        <v>Aug</v>
      </c>
    </row>
    <row r="902" spans="1:13" x14ac:dyDescent="0.25">
      <c r="A902" s="2">
        <v>38699</v>
      </c>
      <c r="B902" t="s">
        <v>11</v>
      </c>
      <c r="C902" t="s">
        <v>12</v>
      </c>
      <c r="D902" t="s">
        <v>16</v>
      </c>
      <c r="E902" t="s">
        <v>24</v>
      </c>
      <c r="F902" s="3">
        <v>1191.24</v>
      </c>
      <c r="G902" s="3">
        <v>2053.87</v>
      </c>
      <c r="H902" s="3">
        <f>Table1[[#This Row],[Sale]]-Table1[[#This Row],[Cost]]</f>
        <v>862.62999999999988</v>
      </c>
      <c r="I902" s="4">
        <f>Table1[[#This Row],[Profit]]/Table1[[#This Row],[Sale]]</f>
        <v>0.42000223967437078</v>
      </c>
      <c r="J902" s="5">
        <f t="shared" si="28"/>
        <v>2005</v>
      </c>
      <c r="K902" s="5">
        <f>MONTH(Table1[[#This Row],[Date]])</f>
        <v>12</v>
      </c>
      <c r="L902" s="5">
        <f>DAY(Table1[[#This Row],[Date]])</f>
        <v>13</v>
      </c>
      <c r="M902" s="5" t="str">
        <f t="shared" si="29"/>
        <v>Dec</v>
      </c>
    </row>
    <row r="903" spans="1:13" x14ac:dyDescent="0.25">
      <c r="A903" s="2">
        <v>38358</v>
      </c>
      <c r="B903" t="s">
        <v>21</v>
      </c>
      <c r="C903" t="s">
        <v>12</v>
      </c>
      <c r="D903" t="s">
        <v>16</v>
      </c>
      <c r="E903" t="s">
        <v>25</v>
      </c>
      <c r="F903" s="3">
        <v>2795.46</v>
      </c>
      <c r="G903" s="3">
        <v>4738.07</v>
      </c>
      <c r="H903" s="3">
        <f>Table1[[#This Row],[Sale]]-Table1[[#This Row],[Cost]]</f>
        <v>1942.6099999999997</v>
      </c>
      <c r="I903" s="4">
        <f>Table1[[#This Row],[Profit]]/Table1[[#This Row],[Sale]]</f>
        <v>0.41000027437332076</v>
      </c>
      <c r="J903" s="5">
        <f t="shared" si="28"/>
        <v>2005</v>
      </c>
      <c r="K903" s="5">
        <f>MONTH(Table1[[#This Row],[Date]])</f>
        <v>1</v>
      </c>
      <c r="L903" s="5">
        <f>DAY(Table1[[#This Row],[Date]])</f>
        <v>6</v>
      </c>
      <c r="M903" s="5" t="str">
        <f t="shared" si="29"/>
        <v>Jan</v>
      </c>
    </row>
    <row r="904" spans="1:13" x14ac:dyDescent="0.25">
      <c r="A904" s="2">
        <v>38176</v>
      </c>
      <c r="B904" t="s">
        <v>22</v>
      </c>
      <c r="C904" t="s">
        <v>27</v>
      </c>
      <c r="D904" t="s">
        <v>28</v>
      </c>
      <c r="E904" t="s">
        <v>20</v>
      </c>
      <c r="F904" s="3">
        <v>2226.67</v>
      </c>
      <c r="G904" s="3">
        <v>2381.46</v>
      </c>
      <c r="H904" s="3">
        <f>Table1[[#This Row],[Sale]]-Table1[[#This Row],[Cost]]</f>
        <v>154.78999999999996</v>
      </c>
      <c r="I904" s="4">
        <f>Table1[[#This Row],[Profit]]/Table1[[#This Row],[Sale]]</f>
        <v>6.499794243867206E-2</v>
      </c>
      <c r="J904" s="5">
        <f t="shared" si="28"/>
        <v>2004</v>
      </c>
      <c r="K904" s="5">
        <f>MONTH(Table1[[#This Row],[Date]])</f>
        <v>7</v>
      </c>
      <c r="L904" s="5">
        <f>DAY(Table1[[#This Row],[Date]])</f>
        <v>8</v>
      </c>
      <c r="M904" s="5" t="str">
        <f t="shared" si="29"/>
        <v>Jul</v>
      </c>
    </row>
    <row r="905" spans="1:13" x14ac:dyDescent="0.25">
      <c r="A905" s="2">
        <v>38325</v>
      </c>
      <c r="B905" t="s">
        <v>22</v>
      </c>
      <c r="C905" t="s">
        <v>27</v>
      </c>
      <c r="D905" t="s">
        <v>16</v>
      </c>
      <c r="E905" t="s">
        <v>24</v>
      </c>
      <c r="F905" s="3">
        <v>3906.99</v>
      </c>
      <c r="G905" s="3">
        <v>8682.19</v>
      </c>
      <c r="H905" s="3">
        <f>Table1[[#This Row],[Sale]]-Table1[[#This Row],[Cost]]</f>
        <v>4775.2000000000007</v>
      </c>
      <c r="I905" s="4">
        <f>Table1[[#This Row],[Profit]]/Table1[[#This Row],[Sale]]</f>
        <v>0.54999948169759016</v>
      </c>
      <c r="J905" s="5">
        <f t="shared" si="28"/>
        <v>2004</v>
      </c>
      <c r="K905" s="5">
        <f>MONTH(Table1[[#This Row],[Date]])</f>
        <v>12</v>
      </c>
      <c r="L905" s="5">
        <f>DAY(Table1[[#This Row],[Date]])</f>
        <v>4</v>
      </c>
      <c r="M905" s="5" t="str">
        <f t="shared" si="29"/>
        <v>Dec</v>
      </c>
    </row>
    <row r="906" spans="1:13" x14ac:dyDescent="0.25">
      <c r="A906" s="2">
        <v>38875</v>
      </c>
      <c r="B906" t="s">
        <v>26</v>
      </c>
      <c r="C906" t="s">
        <v>12</v>
      </c>
      <c r="D906" t="s">
        <v>19</v>
      </c>
      <c r="E906" t="s">
        <v>25</v>
      </c>
      <c r="F906" s="3">
        <v>3084.57</v>
      </c>
      <c r="G906" s="3">
        <v>5228.09</v>
      </c>
      <c r="H906" s="3">
        <f>Table1[[#This Row],[Sale]]-Table1[[#This Row],[Cost]]</f>
        <v>2143.52</v>
      </c>
      <c r="I906" s="4">
        <f>Table1[[#This Row],[Profit]]/Table1[[#This Row],[Sale]]</f>
        <v>0.41000059295077168</v>
      </c>
      <c r="J906" s="5">
        <f t="shared" si="28"/>
        <v>2006</v>
      </c>
      <c r="K906" s="5">
        <f>MONTH(Table1[[#This Row],[Date]])</f>
        <v>6</v>
      </c>
      <c r="L906" s="5">
        <f>DAY(Table1[[#This Row],[Date]])</f>
        <v>7</v>
      </c>
      <c r="M906" s="5" t="str">
        <f t="shared" si="29"/>
        <v>Jun</v>
      </c>
    </row>
    <row r="907" spans="1:13" x14ac:dyDescent="0.25">
      <c r="A907" s="2">
        <v>38611</v>
      </c>
      <c r="B907" t="s">
        <v>22</v>
      </c>
      <c r="C907" t="s">
        <v>27</v>
      </c>
      <c r="D907" t="s">
        <v>28</v>
      </c>
      <c r="E907" t="s">
        <v>24</v>
      </c>
      <c r="F907" s="3">
        <v>1805.73</v>
      </c>
      <c r="G907" s="3">
        <v>4880.3500000000004</v>
      </c>
      <c r="H907" s="3">
        <f>Table1[[#This Row],[Sale]]-Table1[[#This Row],[Cost]]</f>
        <v>3074.6200000000003</v>
      </c>
      <c r="I907" s="4">
        <f>Table1[[#This Row],[Profit]]/Table1[[#This Row],[Sale]]</f>
        <v>0.62999989754833163</v>
      </c>
      <c r="J907" s="5">
        <f t="shared" si="28"/>
        <v>2005</v>
      </c>
      <c r="K907" s="5">
        <f>MONTH(Table1[[#This Row],[Date]])</f>
        <v>9</v>
      </c>
      <c r="L907" s="5">
        <f>DAY(Table1[[#This Row],[Date]])</f>
        <v>16</v>
      </c>
      <c r="M907" s="5" t="str">
        <f t="shared" si="29"/>
        <v>Sep</v>
      </c>
    </row>
    <row r="908" spans="1:13" x14ac:dyDescent="0.25">
      <c r="A908" s="2">
        <v>38289</v>
      </c>
      <c r="B908" t="s">
        <v>15</v>
      </c>
      <c r="C908" t="s">
        <v>27</v>
      </c>
      <c r="D908" t="s">
        <v>16</v>
      </c>
      <c r="E908" t="s">
        <v>14</v>
      </c>
      <c r="F908" s="3">
        <v>3180.62</v>
      </c>
      <c r="G908" s="3">
        <v>5483.83</v>
      </c>
      <c r="H908" s="3">
        <f>Table1[[#This Row],[Sale]]-Table1[[#This Row],[Cost]]</f>
        <v>2303.21</v>
      </c>
      <c r="I908" s="4">
        <f>Table1[[#This Row],[Profit]]/Table1[[#This Row],[Sale]]</f>
        <v>0.42000025529602486</v>
      </c>
      <c r="J908" s="5">
        <f t="shared" si="28"/>
        <v>2004</v>
      </c>
      <c r="K908" s="5">
        <f>MONTH(Table1[[#This Row],[Date]])</f>
        <v>10</v>
      </c>
      <c r="L908" s="5">
        <f>DAY(Table1[[#This Row],[Date]])</f>
        <v>29</v>
      </c>
      <c r="M908" s="5" t="str">
        <f t="shared" si="29"/>
        <v>Oct</v>
      </c>
    </row>
    <row r="909" spans="1:13" x14ac:dyDescent="0.25">
      <c r="A909" s="2">
        <v>38859</v>
      </c>
      <c r="B909" t="s">
        <v>21</v>
      </c>
      <c r="C909" t="s">
        <v>23</v>
      </c>
      <c r="D909" t="s">
        <v>16</v>
      </c>
      <c r="E909" t="s">
        <v>14</v>
      </c>
      <c r="F909" s="3">
        <v>4441.38</v>
      </c>
      <c r="G909" s="3">
        <v>6531.44</v>
      </c>
      <c r="H909" s="3">
        <f>Table1[[#This Row],[Sale]]-Table1[[#This Row],[Cost]]</f>
        <v>2090.0599999999995</v>
      </c>
      <c r="I909" s="4">
        <f>Table1[[#This Row],[Profit]]/Table1[[#This Row],[Sale]]</f>
        <v>0.31999987751552483</v>
      </c>
      <c r="J909" s="5">
        <f t="shared" si="28"/>
        <v>2006</v>
      </c>
      <c r="K909" s="5">
        <f>MONTH(Table1[[#This Row],[Date]])</f>
        <v>5</v>
      </c>
      <c r="L909" s="5">
        <f>DAY(Table1[[#This Row],[Date]])</f>
        <v>22</v>
      </c>
      <c r="M909" s="5" t="str">
        <f t="shared" si="29"/>
        <v>May</v>
      </c>
    </row>
    <row r="910" spans="1:13" x14ac:dyDescent="0.25">
      <c r="A910" s="2">
        <v>38267</v>
      </c>
      <c r="B910" t="s">
        <v>15</v>
      </c>
      <c r="C910" t="s">
        <v>27</v>
      </c>
      <c r="D910" t="s">
        <v>28</v>
      </c>
      <c r="E910" t="s">
        <v>24</v>
      </c>
      <c r="F910" s="3">
        <v>4574.79</v>
      </c>
      <c r="G910" s="3">
        <v>6727.63</v>
      </c>
      <c r="H910" s="3">
        <f>Table1[[#This Row],[Sale]]-Table1[[#This Row],[Cost]]</f>
        <v>2152.84</v>
      </c>
      <c r="I910" s="4">
        <f>Table1[[#This Row],[Profit]]/Table1[[#This Row],[Sale]]</f>
        <v>0.31999976217479265</v>
      </c>
      <c r="J910" s="5">
        <f t="shared" si="28"/>
        <v>2004</v>
      </c>
      <c r="K910" s="5">
        <f>MONTH(Table1[[#This Row],[Date]])</f>
        <v>10</v>
      </c>
      <c r="L910" s="5">
        <f>DAY(Table1[[#This Row],[Date]])</f>
        <v>7</v>
      </c>
      <c r="M910" s="5" t="str">
        <f t="shared" si="29"/>
        <v>Oct</v>
      </c>
    </row>
    <row r="911" spans="1:13" x14ac:dyDescent="0.25">
      <c r="A911" s="2">
        <v>38335</v>
      </c>
      <c r="B911" t="s">
        <v>26</v>
      </c>
      <c r="C911" t="s">
        <v>27</v>
      </c>
      <c r="D911" t="s">
        <v>19</v>
      </c>
      <c r="E911" t="s">
        <v>25</v>
      </c>
      <c r="F911" s="3">
        <v>2046.63</v>
      </c>
      <c r="G911" s="3">
        <v>4548.07</v>
      </c>
      <c r="H911" s="3">
        <f>Table1[[#This Row],[Sale]]-Table1[[#This Row],[Cost]]</f>
        <v>2501.4399999999996</v>
      </c>
      <c r="I911" s="4">
        <f>Table1[[#This Row],[Profit]]/Table1[[#This Row],[Sale]]</f>
        <v>0.55000032981022717</v>
      </c>
      <c r="J911" s="5">
        <f t="shared" si="28"/>
        <v>2004</v>
      </c>
      <c r="K911" s="5">
        <f>MONTH(Table1[[#This Row],[Date]])</f>
        <v>12</v>
      </c>
      <c r="L911" s="5">
        <f>DAY(Table1[[#This Row],[Date]])</f>
        <v>14</v>
      </c>
      <c r="M911" s="5" t="str">
        <f t="shared" si="29"/>
        <v>Dec</v>
      </c>
    </row>
    <row r="912" spans="1:13" x14ac:dyDescent="0.25">
      <c r="A912" s="2">
        <v>38613</v>
      </c>
      <c r="B912" t="s">
        <v>26</v>
      </c>
      <c r="C912" t="s">
        <v>29</v>
      </c>
      <c r="D912" t="s">
        <v>16</v>
      </c>
      <c r="E912" t="s">
        <v>14</v>
      </c>
      <c r="F912" s="3">
        <v>5347.43</v>
      </c>
      <c r="G912" s="3">
        <v>9722.6</v>
      </c>
      <c r="H912" s="3">
        <f>Table1[[#This Row],[Sale]]-Table1[[#This Row],[Cost]]</f>
        <v>4375.17</v>
      </c>
      <c r="I912" s="4">
        <f>Table1[[#This Row],[Profit]]/Table1[[#This Row],[Sale]]</f>
        <v>0.45</v>
      </c>
      <c r="J912" s="5">
        <f t="shared" si="28"/>
        <v>2005</v>
      </c>
      <c r="K912" s="5">
        <f>MONTH(Table1[[#This Row],[Date]])</f>
        <v>9</v>
      </c>
      <c r="L912" s="5">
        <f>DAY(Table1[[#This Row],[Date]])</f>
        <v>18</v>
      </c>
      <c r="M912" s="5" t="str">
        <f t="shared" si="29"/>
        <v>Sep</v>
      </c>
    </row>
    <row r="913" spans="1:13" x14ac:dyDescent="0.25">
      <c r="A913" s="2">
        <v>38469</v>
      </c>
      <c r="B913" t="s">
        <v>15</v>
      </c>
      <c r="C913" t="s">
        <v>29</v>
      </c>
      <c r="D913" t="s">
        <v>28</v>
      </c>
      <c r="E913" t="s">
        <v>25</v>
      </c>
      <c r="F913" s="3">
        <v>2387.4499999999998</v>
      </c>
      <c r="G913" s="3">
        <v>2553.42</v>
      </c>
      <c r="H913" s="3">
        <f>Table1[[#This Row],[Sale]]-Table1[[#This Row],[Cost]]</f>
        <v>165.97000000000025</v>
      </c>
      <c r="I913" s="4">
        <f>Table1[[#This Row],[Profit]]/Table1[[#This Row],[Sale]]</f>
        <v>6.4999099247284128E-2</v>
      </c>
      <c r="J913" s="5">
        <f t="shared" si="28"/>
        <v>2005</v>
      </c>
      <c r="K913" s="5">
        <f>MONTH(Table1[[#This Row],[Date]])</f>
        <v>4</v>
      </c>
      <c r="L913" s="5">
        <f>DAY(Table1[[#This Row],[Date]])</f>
        <v>27</v>
      </c>
      <c r="M913" s="5" t="str">
        <f t="shared" si="29"/>
        <v>Apr</v>
      </c>
    </row>
    <row r="914" spans="1:13" x14ac:dyDescent="0.25">
      <c r="A914" s="2">
        <v>38798</v>
      </c>
      <c r="B914" t="s">
        <v>15</v>
      </c>
      <c r="C914" t="s">
        <v>18</v>
      </c>
      <c r="D914" t="s">
        <v>16</v>
      </c>
      <c r="E914" t="s">
        <v>20</v>
      </c>
      <c r="F914" s="3">
        <v>899.54</v>
      </c>
      <c r="G914" s="3">
        <v>1524.64</v>
      </c>
      <c r="H914" s="3">
        <f>Table1[[#This Row],[Sale]]-Table1[[#This Row],[Cost]]</f>
        <v>625.10000000000014</v>
      </c>
      <c r="I914" s="4">
        <f>Table1[[#This Row],[Profit]]/Table1[[#This Row],[Sale]]</f>
        <v>0.40999842585790752</v>
      </c>
      <c r="J914" s="5">
        <f t="shared" si="28"/>
        <v>2006</v>
      </c>
      <c r="K914" s="5">
        <f>MONTH(Table1[[#This Row],[Date]])</f>
        <v>3</v>
      </c>
      <c r="L914" s="5">
        <f>DAY(Table1[[#This Row],[Date]])</f>
        <v>22</v>
      </c>
      <c r="M914" s="5" t="str">
        <f t="shared" si="29"/>
        <v>Mar</v>
      </c>
    </row>
    <row r="915" spans="1:13" x14ac:dyDescent="0.25">
      <c r="A915" s="2">
        <v>38456</v>
      </c>
      <c r="B915" t="s">
        <v>17</v>
      </c>
      <c r="C915" t="s">
        <v>12</v>
      </c>
      <c r="D915" t="s">
        <v>28</v>
      </c>
      <c r="E915" t="s">
        <v>24</v>
      </c>
      <c r="F915" s="3">
        <v>447.35</v>
      </c>
      <c r="G915" s="3">
        <v>1209.05</v>
      </c>
      <c r="H915" s="3">
        <f>Table1[[#This Row],[Sale]]-Table1[[#This Row],[Cost]]</f>
        <v>761.69999999999993</v>
      </c>
      <c r="I915" s="4">
        <f>Table1[[#This Row],[Profit]]/Table1[[#This Row],[Sale]]</f>
        <v>0.6299987593565195</v>
      </c>
      <c r="J915" s="5">
        <f t="shared" si="28"/>
        <v>2005</v>
      </c>
      <c r="K915" s="5">
        <f>MONTH(Table1[[#This Row],[Date]])</f>
        <v>4</v>
      </c>
      <c r="L915" s="5">
        <f>DAY(Table1[[#This Row],[Date]])</f>
        <v>14</v>
      </c>
      <c r="M915" s="5" t="str">
        <f t="shared" si="29"/>
        <v>Apr</v>
      </c>
    </row>
    <row r="916" spans="1:13" x14ac:dyDescent="0.25">
      <c r="A916" s="2">
        <v>38297</v>
      </c>
      <c r="B916" t="s">
        <v>17</v>
      </c>
      <c r="C916" t="s">
        <v>27</v>
      </c>
      <c r="D916" t="s">
        <v>28</v>
      </c>
      <c r="E916" t="s">
        <v>24</v>
      </c>
      <c r="F916" s="3">
        <v>563.55999999999995</v>
      </c>
      <c r="G916" s="3">
        <v>1024.6600000000001</v>
      </c>
      <c r="H916" s="3">
        <f>Table1[[#This Row],[Sale]]-Table1[[#This Row],[Cost]]</f>
        <v>461.10000000000014</v>
      </c>
      <c r="I916" s="4">
        <f>Table1[[#This Row],[Profit]]/Table1[[#This Row],[Sale]]</f>
        <v>0.45000292780044121</v>
      </c>
      <c r="J916" s="5">
        <f t="shared" si="28"/>
        <v>2004</v>
      </c>
      <c r="K916" s="5">
        <f>MONTH(Table1[[#This Row],[Date]])</f>
        <v>11</v>
      </c>
      <c r="L916" s="5">
        <f>DAY(Table1[[#This Row],[Date]])</f>
        <v>6</v>
      </c>
      <c r="M916" s="5" t="str">
        <f t="shared" si="29"/>
        <v>Nov</v>
      </c>
    </row>
    <row r="917" spans="1:13" x14ac:dyDescent="0.25">
      <c r="A917" s="2">
        <v>38379</v>
      </c>
      <c r="B917" t="s">
        <v>15</v>
      </c>
      <c r="C917" t="s">
        <v>18</v>
      </c>
      <c r="D917" t="s">
        <v>13</v>
      </c>
      <c r="E917" t="s">
        <v>20</v>
      </c>
      <c r="F917" s="3">
        <v>4695.75</v>
      </c>
      <c r="G917" s="3">
        <v>6905.51</v>
      </c>
      <c r="H917" s="3">
        <f>Table1[[#This Row],[Sale]]-Table1[[#This Row],[Cost]]</f>
        <v>2209.7600000000002</v>
      </c>
      <c r="I917" s="4">
        <f>Table1[[#This Row],[Profit]]/Table1[[#This Row],[Sale]]</f>
        <v>0.31999953660193092</v>
      </c>
      <c r="J917" s="5">
        <f t="shared" si="28"/>
        <v>2005</v>
      </c>
      <c r="K917" s="5">
        <f>MONTH(Table1[[#This Row],[Date]])</f>
        <v>1</v>
      </c>
      <c r="L917" s="5">
        <f>DAY(Table1[[#This Row],[Date]])</f>
        <v>27</v>
      </c>
      <c r="M917" s="5" t="str">
        <f t="shared" si="29"/>
        <v>Jan</v>
      </c>
    </row>
    <row r="918" spans="1:13" x14ac:dyDescent="0.25">
      <c r="A918" s="2">
        <v>38456</v>
      </c>
      <c r="B918" t="s">
        <v>22</v>
      </c>
      <c r="C918" t="s">
        <v>12</v>
      </c>
      <c r="D918" t="s">
        <v>13</v>
      </c>
      <c r="E918" t="s">
        <v>25</v>
      </c>
      <c r="F918" s="3">
        <v>7994.14</v>
      </c>
      <c r="G918" s="3">
        <v>8549.8799999999992</v>
      </c>
      <c r="H918" s="3">
        <f>Table1[[#This Row],[Sale]]-Table1[[#This Row],[Cost]]</f>
        <v>555.73999999999887</v>
      </c>
      <c r="I918" s="4">
        <f>Table1[[#This Row],[Profit]]/Table1[[#This Row],[Sale]]</f>
        <v>6.499974268644694E-2</v>
      </c>
      <c r="J918" s="5">
        <f t="shared" si="28"/>
        <v>2005</v>
      </c>
      <c r="K918" s="5">
        <f>MONTH(Table1[[#This Row],[Date]])</f>
        <v>4</v>
      </c>
      <c r="L918" s="5">
        <f>DAY(Table1[[#This Row],[Date]])</f>
        <v>14</v>
      </c>
      <c r="M918" s="5" t="str">
        <f t="shared" si="29"/>
        <v>Apr</v>
      </c>
    </row>
    <row r="919" spans="1:13" x14ac:dyDescent="0.25">
      <c r="A919" s="2">
        <v>38799</v>
      </c>
      <c r="B919" t="s">
        <v>22</v>
      </c>
      <c r="C919" t="s">
        <v>12</v>
      </c>
      <c r="D919" t="s">
        <v>28</v>
      </c>
      <c r="E919" t="s">
        <v>24</v>
      </c>
      <c r="F919" s="3">
        <v>1283.26</v>
      </c>
      <c r="G919" s="3">
        <v>3468.28</v>
      </c>
      <c r="H919" s="3">
        <f>Table1[[#This Row],[Sale]]-Table1[[#This Row],[Cost]]</f>
        <v>2185.0200000000004</v>
      </c>
      <c r="I919" s="4">
        <f>Table1[[#This Row],[Profit]]/Table1[[#This Row],[Sale]]</f>
        <v>0.63000103797847928</v>
      </c>
      <c r="J919" s="5">
        <f t="shared" si="28"/>
        <v>2006</v>
      </c>
      <c r="K919" s="5">
        <f>MONTH(Table1[[#This Row],[Date]])</f>
        <v>3</v>
      </c>
      <c r="L919" s="5">
        <f>DAY(Table1[[#This Row],[Date]])</f>
        <v>23</v>
      </c>
      <c r="M919" s="5" t="str">
        <f t="shared" si="29"/>
        <v>Mar</v>
      </c>
    </row>
    <row r="920" spans="1:13" x14ac:dyDescent="0.25">
      <c r="A920" s="2">
        <v>38610</v>
      </c>
      <c r="B920" t="s">
        <v>22</v>
      </c>
      <c r="C920" t="s">
        <v>23</v>
      </c>
      <c r="D920" t="s">
        <v>19</v>
      </c>
      <c r="E920" t="s">
        <v>25</v>
      </c>
      <c r="F920" s="3">
        <v>3251.36</v>
      </c>
      <c r="G920" s="3">
        <v>4335.1499999999996</v>
      </c>
      <c r="H920" s="3">
        <f>Table1[[#This Row],[Sale]]-Table1[[#This Row],[Cost]]</f>
        <v>1083.7899999999995</v>
      </c>
      <c r="I920" s="4">
        <f>Table1[[#This Row],[Profit]]/Table1[[#This Row],[Sale]]</f>
        <v>0.25000057668131426</v>
      </c>
      <c r="J920" s="5">
        <f t="shared" si="28"/>
        <v>2005</v>
      </c>
      <c r="K920" s="5">
        <f>MONTH(Table1[[#This Row],[Date]])</f>
        <v>9</v>
      </c>
      <c r="L920" s="5">
        <f>DAY(Table1[[#This Row],[Date]])</f>
        <v>15</v>
      </c>
      <c r="M920" s="5" t="str">
        <f t="shared" si="29"/>
        <v>Sep</v>
      </c>
    </row>
    <row r="921" spans="1:13" x14ac:dyDescent="0.25">
      <c r="A921" s="2">
        <v>38332</v>
      </c>
      <c r="B921" t="s">
        <v>17</v>
      </c>
      <c r="C921" t="s">
        <v>23</v>
      </c>
      <c r="D921" t="s">
        <v>13</v>
      </c>
      <c r="E921" t="s">
        <v>25</v>
      </c>
      <c r="F921" s="3">
        <v>6585.66</v>
      </c>
      <c r="G921" s="3">
        <v>8780.8799999999992</v>
      </c>
      <c r="H921" s="3">
        <f>Table1[[#This Row],[Sale]]-Table1[[#This Row],[Cost]]</f>
        <v>2195.2199999999993</v>
      </c>
      <c r="I921" s="4">
        <f>Table1[[#This Row],[Profit]]/Table1[[#This Row],[Sale]]</f>
        <v>0.24999999999999994</v>
      </c>
      <c r="J921" s="5">
        <f t="shared" si="28"/>
        <v>2004</v>
      </c>
      <c r="K921" s="5">
        <f>MONTH(Table1[[#This Row],[Date]])</f>
        <v>12</v>
      </c>
      <c r="L921" s="5">
        <f>DAY(Table1[[#This Row],[Date]])</f>
        <v>11</v>
      </c>
      <c r="M921" s="5" t="str">
        <f t="shared" si="29"/>
        <v>Dec</v>
      </c>
    </row>
    <row r="922" spans="1:13" x14ac:dyDescent="0.25">
      <c r="A922" s="2">
        <v>38558</v>
      </c>
      <c r="B922" t="s">
        <v>17</v>
      </c>
      <c r="C922" t="s">
        <v>23</v>
      </c>
      <c r="D922" t="s">
        <v>13</v>
      </c>
      <c r="E922" t="s">
        <v>24</v>
      </c>
      <c r="F922" s="3">
        <v>6673.35</v>
      </c>
      <c r="G922" s="3">
        <v>7583.35</v>
      </c>
      <c r="H922" s="3">
        <f>Table1[[#This Row],[Sale]]-Table1[[#This Row],[Cost]]</f>
        <v>910</v>
      </c>
      <c r="I922" s="4">
        <f>Table1[[#This Row],[Profit]]/Table1[[#This Row],[Sale]]</f>
        <v>0.1199997362643159</v>
      </c>
      <c r="J922" s="5">
        <f t="shared" si="28"/>
        <v>2005</v>
      </c>
      <c r="K922" s="5">
        <f>MONTH(Table1[[#This Row],[Date]])</f>
        <v>7</v>
      </c>
      <c r="L922" s="5">
        <f>DAY(Table1[[#This Row],[Date]])</f>
        <v>25</v>
      </c>
      <c r="M922" s="5" t="str">
        <f t="shared" si="29"/>
        <v>Jul</v>
      </c>
    </row>
    <row r="923" spans="1:13" x14ac:dyDescent="0.25">
      <c r="A923" s="2">
        <v>38797</v>
      </c>
      <c r="B923" t="s">
        <v>22</v>
      </c>
      <c r="C923" t="s">
        <v>29</v>
      </c>
      <c r="D923" t="s">
        <v>16</v>
      </c>
      <c r="E923" t="s">
        <v>20</v>
      </c>
      <c r="F923" s="3">
        <v>4071.14</v>
      </c>
      <c r="G923" s="3">
        <v>7019.2</v>
      </c>
      <c r="H923" s="3">
        <f>Table1[[#This Row],[Sale]]-Table1[[#This Row],[Cost]]</f>
        <v>2948.06</v>
      </c>
      <c r="I923" s="4">
        <f>Table1[[#This Row],[Profit]]/Table1[[#This Row],[Sale]]</f>
        <v>0.41999943013448826</v>
      </c>
      <c r="J923" s="5">
        <f t="shared" si="28"/>
        <v>2006</v>
      </c>
      <c r="K923" s="5">
        <f>MONTH(Table1[[#This Row],[Date]])</f>
        <v>3</v>
      </c>
      <c r="L923" s="5">
        <f>DAY(Table1[[#This Row],[Date]])</f>
        <v>21</v>
      </c>
      <c r="M923" s="5" t="str">
        <f t="shared" si="29"/>
        <v>Mar</v>
      </c>
    </row>
    <row r="924" spans="1:13" x14ac:dyDescent="0.25">
      <c r="A924" s="2">
        <v>38699</v>
      </c>
      <c r="B924" t="s">
        <v>22</v>
      </c>
      <c r="C924" t="s">
        <v>23</v>
      </c>
      <c r="D924" t="s">
        <v>28</v>
      </c>
      <c r="E924" t="s">
        <v>20</v>
      </c>
      <c r="F924" s="3">
        <v>3799.84</v>
      </c>
      <c r="G924" s="3">
        <v>8836.83</v>
      </c>
      <c r="H924" s="3">
        <f>Table1[[#This Row],[Sale]]-Table1[[#This Row],[Cost]]</f>
        <v>5036.99</v>
      </c>
      <c r="I924" s="4">
        <f>Table1[[#This Row],[Profit]]/Table1[[#This Row],[Sale]]</f>
        <v>0.56999964919546942</v>
      </c>
      <c r="J924" s="5">
        <f t="shared" si="28"/>
        <v>2005</v>
      </c>
      <c r="K924" s="5">
        <f>MONTH(Table1[[#This Row],[Date]])</f>
        <v>12</v>
      </c>
      <c r="L924" s="5">
        <f>DAY(Table1[[#This Row],[Date]])</f>
        <v>13</v>
      </c>
      <c r="M924" s="5" t="str">
        <f t="shared" si="29"/>
        <v>Dec</v>
      </c>
    </row>
    <row r="925" spans="1:13" x14ac:dyDescent="0.25">
      <c r="A925" s="2">
        <v>38558</v>
      </c>
      <c r="B925" t="s">
        <v>22</v>
      </c>
      <c r="C925" t="s">
        <v>18</v>
      </c>
      <c r="D925" t="s">
        <v>16</v>
      </c>
      <c r="E925" t="s">
        <v>20</v>
      </c>
      <c r="F925" s="3">
        <v>3287.61</v>
      </c>
      <c r="G925" s="3">
        <v>5977.48</v>
      </c>
      <c r="H925" s="3">
        <f>Table1[[#This Row],[Sale]]-Table1[[#This Row],[Cost]]</f>
        <v>2689.8699999999994</v>
      </c>
      <c r="I925" s="4">
        <f>Table1[[#This Row],[Profit]]/Table1[[#This Row],[Sale]]</f>
        <v>0.45000066917831588</v>
      </c>
      <c r="J925" s="5">
        <f t="shared" si="28"/>
        <v>2005</v>
      </c>
      <c r="K925" s="5">
        <f>MONTH(Table1[[#This Row],[Date]])</f>
        <v>7</v>
      </c>
      <c r="L925" s="5">
        <f>DAY(Table1[[#This Row],[Date]])</f>
        <v>25</v>
      </c>
      <c r="M925" s="5" t="str">
        <f t="shared" si="29"/>
        <v>Jul</v>
      </c>
    </row>
    <row r="926" spans="1:13" x14ac:dyDescent="0.25">
      <c r="A926" s="2">
        <v>38200</v>
      </c>
      <c r="B926" t="s">
        <v>17</v>
      </c>
      <c r="C926" t="s">
        <v>23</v>
      </c>
      <c r="D926" t="s">
        <v>16</v>
      </c>
      <c r="E926" t="s">
        <v>14</v>
      </c>
      <c r="F926" s="3">
        <v>2222.2600000000002</v>
      </c>
      <c r="G926" s="3">
        <v>2525.29</v>
      </c>
      <c r="H926" s="3">
        <f>Table1[[#This Row],[Sale]]-Table1[[#This Row],[Cost]]</f>
        <v>303.02999999999975</v>
      </c>
      <c r="I926" s="4">
        <f>Table1[[#This Row],[Profit]]/Table1[[#This Row],[Sale]]</f>
        <v>0.11999809922820735</v>
      </c>
      <c r="J926" s="5">
        <f t="shared" si="28"/>
        <v>2004</v>
      </c>
      <c r="K926" s="5">
        <f>MONTH(Table1[[#This Row],[Date]])</f>
        <v>8</v>
      </c>
      <c r="L926" s="5">
        <f>DAY(Table1[[#This Row],[Date]])</f>
        <v>1</v>
      </c>
      <c r="M926" s="5" t="str">
        <f t="shared" si="29"/>
        <v>Aug</v>
      </c>
    </row>
    <row r="927" spans="1:13" x14ac:dyDescent="0.25">
      <c r="A927" s="2">
        <v>38368</v>
      </c>
      <c r="B927" t="s">
        <v>22</v>
      </c>
      <c r="C927" t="s">
        <v>12</v>
      </c>
      <c r="D927" t="s">
        <v>13</v>
      </c>
      <c r="E927" t="s">
        <v>25</v>
      </c>
      <c r="F927" s="3">
        <v>516.01</v>
      </c>
      <c r="G927" s="3">
        <v>874.6</v>
      </c>
      <c r="H927" s="3">
        <f>Table1[[#This Row],[Sale]]-Table1[[#This Row],[Cost]]</f>
        <v>358.59000000000003</v>
      </c>
      <c r="I927" s="4">
        <f>Table1[[#This Row],[Profit]]/Table1[[#This Row],[Sale]]</f>
        <v>0.41000457351932312</v>
      </c>
      <c r="J927" s="5">
        <f t="shared" si="28"/>
        <v>2005</v>
      </c>
      <c r="K927" s="5">
        <f>MONTH(Table1[[#This Row],[Date]])</f>
        <v>1</v>
      </c>
      <c r="L927" s="5">
        <f>DAY(Table1[[#This Row],[Date]])</f>
        <v>16</v>
      </c>
      <c r="M927" s="5" t="str">
        <f t="shared" si="29"/>
        <v>Jan</v>
      </c>
    </row>
    <row r="928" spans="1:13" x14ac:dyDescent="0.25">
      <c r="A928" s="2">
        <v>38805</v>
      </c>
      <c r="B928" t="s">
        <v>17</v>
      </c>
      <c r="C928" t="s">
        <v>18</v>
      </c>
      <c r="D928" t="s">
        <v>28</v>
      </c>
      <c r="E928" t="s">
        <v>14</v>
      </c>
      <c r="F928" s="3">
        <v>1746.54</v>
      </c>
      <c r="G928" s="3">
        <v>3011.28</v>
      </c>
      <c r="H928" s="3">
        <f>Table1[[#This Row],[Sale]]-Table1[[#This Row],[Cost]]</f>
        <v>1264.7400000000002</v>
      </c>
      <c r="I928" s="4">
        <f>Table1[[#This Row],[Profit]]/Table1[[#This Row],[Sale]]</f>
        <v>0.42000079700326776</v>
      </c>
      <c r="J928" s="5">
        <f t="shared" si="28"/>
        <v>2006</v>
      </c>
      <c r="K928" s="5">
        <f>MONTH(Table1[[#This Row],[Date]])</f>
        <v>3</v>
      </c>
      <c r="L928" s="5">
        <f>DAY(Table1[[#This Row],[Date]])</f>
        <v>29</v>
      </c>
      <c r="M928" s="5" t="str">
        <f t="shared" si="29"/>
        <v>Mar</v>
      </c>
    </row>
    <row r="929" spans="1:13" x14ac:dyDescent="0.25">
      <c r="A929" s="2">
        <v>38812</v>
      </c>
      <c r="B929" t="s">
        <v>17</v>
      </c>
      <c r="C929" t="s">
        <v>27</v>
      </c>
      <c r="D929" t="s">
        <v>28</v>
      </c>
      <c r="E929" t="s">
        <v>25</v>
      </c>
      <c r="F929" s="3">
        <v>3135.61</v>
      </c>
      <c r="G929" s="3">
        <v>8474.6200000000008</v>
      </c>
      <c r="H929" s="3">
        <f>Table1[[#This Row],[Sale]]-Table1[[#This Row],[Cost]]</f>
        <v>5339.01</v>
      </c>
      <c r="I929" s="4">
        <f>Table1[[#This Row],[Profit]]/Table1[[#This Row],[Sale]]</f>
        <v>0.62999992920036529</v>
      </c>
      <c r="J929" s="5">
        <f t="shared" si="28"/>
        <v>2006</v>
      </c>
      <c r="K929" s="5">
        <f>MONTH(Table1[[#This Row],[Date]])</f>
        <v>4</v>
      </c>
      <c r="L929" s="5">
        <f>DAY(Table1[[#This Row],[Date]])</f>
        <v>5</v>
      </c>
      <c r="M929" s="5" t="str">
        <f t="shared" si="29"/>
        <v>Apr</v>
      </c>
    </row>
    <row r="930" spans="1:13" x14ac:dyDescent="0.25">
      <c r="A930" s="2">
        <v>38198</v>
      </c>
      <c r="B930" t="s">
        <v>22</v>
      </c>
      <c r="C930" t="s">
        <v>29</v>
      </c>
      <c r="D930" t="s">
        <v>28</v>
      </c>
      <c r="E930" t="s">
        <v>25</v>
      </c>
      <c r="F930" s="3">
        <v>6831.51</v>
      </c>
      <c r="G930" s="3">
        <v>7306.43</v>
      </c>
      <c r="H930" s="3">
        <f>Table1[[#This Row],[Sale]]-Table1[[#This Row],[Cost]]</f>
        <v>474.92000000000007</v>
      </c>
      <c r="I930" s="4">
        <f>Table1[[#This Row],[Profit]]/Table1[[#This Row],[Sale]]</f>
        <v>6.5000280574781397E-2</v>
      </c>
      <c r="J930" s="5">
        <f t="shared" si="28"/>
        <v>2004</v>
      </c>
      <c r="K930" s="5">
        <f>MONTH(Table1[[#This Row],[Date]])</f>
        <v>7</v>
      </c>
      <c r="L930" s="5">
        <f>DAY(Table1[[#This Row],[Date]])</f>
        <v>30</v>
      </c>
      <c r="M930" s="5" t="str">
        <f t="shared" si="29"/>
        <v>Jul</v>
      </c>
    </row>
    <row r="931" spans="1:13" x14ac:dyDescent="0.25">
      <c r="A931" s="2">
        <v>38467</v>
      </c>
      <c r="B931" t="s">
        <v>26</v>
      </c>
      <c r="C931" t="s">
        <v>27</v>
      </c>
      <c r="D931" t="s">
        <v>19</v>
      </c>
      <c r="E931" t="s">
        <v>25</v>
      </c>
      <c r="F931" s="3">
        <v>8208.34</v>
      </c>
      <c r="G931" s="3">
        <v>9327.66</v>
      </c>
      <c r="H931" s="3">
        <f>Table1[[#This Row],[Sale]]-Table1[[#This Row],[Cost]]</f>
        <v>1119.3199999999997</v>
      </c>
      <c r="I931" s="4">
        <f>Table1[[#This Row],[Profit]]/Table1[[#This Row],[Sale]]</f>
        <v>0.12000008576641942</v>
      </c>
      <c r="J931" s="5">
        <f t="shared" si="28"/>
        <v>2005</v>
      </c>
      <c r="K931" s="5">
        <f>MONTH(Table1[[#This Row],[Date]])</f>
        <v>4</v>
      </c>
      <c r="L931" s="5">
        <f>DAY(Table1[[#This Row],[Date]])</f>
        <v>25</v>
      </c>
      <c r="M931" s="5" t="str">
        <f t="shared" si="29"/>
        <v>Apr</v>
      </c>
    </row>
    <row r="932" spans="1:13" x14ac:dyDescent="0.25">
      <c r="A932" s="2">
        <v>38312</v>
      </c>
      <c r="B932" t="s">
        <v>21</v>
      </c>
      <c r="C932" t="s">
        <v>12</v>
      </c>
      <c r="D932" t="s">
        <v>28</v>
      </c>
      <c r="E932" t="s">
        <v>25</v>
      </c>
      <c r="F932" s="3">
        <v>5029.8999999999996</v>
      </c>
      <c r="G932" s="3">
        <v>8525.25</v>
      </c>
      <c r="H932" s="3">
        <f>Table1[[#This Row],[Sale]]-Table1[[#This Row],[Cost]]</f>
        <v>3495.3500000000004</v>
      </c>
      <c r="I932" s="4">
        <f>Table1[[#This Row],[Profit]]/Table1[[#This Row],[Sale]]</f>
        <v>0.4099997067534677</v>
      </c>
      <c r="J932" s="5">
        <f t="shared" si="28"/>
        <v>2004</v>
      </c>
      <c r="K932" s="5">
        <f>MONTH(Table1[[#This Row],[Date]])</f>
        <v>11</v>
      </c>
      <c r="L932" s="5">
        <f>DAY(Table1[[#This Row],[Date]])</f>
        <v>21</v>
      </c>
      <c r="M932" s="5" t="str">
        <f t="shared" si="29"/>
        <v>Nov</v>
      </c>
    </row>
    <row r="933" spans="1:13" x14ac:dyDescent="0.25">
      <c r="A933" s="2">
        <v>38850</v>
      </c>
      <c r="B933" t="s">
        <v>15</v>
      </c>
      <c r="C933" t="s">
        <v>12</v>
      </c>
      <c r="D933" t="s">
        <v>13</v>
      </c>
      <c r="E933" t="s">
        <v>24</v>
      </c>
      <c r="F933" s="3">
        <v>2666.14</v>
      </c>
      <c r="G933" s="3">
        <v>7205.78</v>
      </c>
      <c r="H933" s="3">
        <f>Table1[[#This Row],[Sale]]-Table1[[#This Row],[Cost]]</f>
        <v>4539.6399999999994</v>
      </c>
      <c r="I933" s="4">
        <f>Table1[[#This Row],[Profit]]/Table1[[#This Row],[Sale]]</f>
        <v>0.62999980571152592</v>
      </c>
      <c r="J933" s="5">
        <f t="shared" si="28"/>
        <v>2006</v>
      </c>
      <c r="K933" s="5">
        <f>MONTH(Table1[[#This Row],[Date]])</f>
        <v>5</v>
      </c>
      <c r="L933" s="5">
        <f>DAY(Table1[[#This Row],[Date]])</f>
        <v>13</v>
      </c>
      <c r="M933" s="5" t="str">
        <f t="shared" si="29"/>
        <v>May</v>
      </c>
    </row>
    <row r="934" spans="1:13" x14ac:dyDescent="0.25">
      <c r="A934" s="2">
        <v>38382</v>
      </c>
      <c r="B934" t="s">
        <v>15</v>
      </c>
      <c r="C934" t="s">
        <v>29</v>
      </c>
      <c r="D934" t="s">
        <v>19</v>
      </c>
      <c r="E934" t="s">
        <v>20</v>
      </c>
      <c r="F934" s="3">
        <v>5989.48</v>
      </c>
      <c r="G934" s="3">
        <v>6806.23</v>
      </c>
      <c r="H934" s="3">
        <f>Table1[[#This Row],[Sale]]-Table1[[#This Row],[Cost]]</f>
        <v>816.75</v>
      </c>
      <c r="I934" s="4">
        <f>Table1[[#This Row],[Profit]]/Table1[[#This Row],[Sale]]</f>
        <v>0.12000035261811606</v>
      </c>
      <c r="J934" s="5">
        <f t="shared" si="28"/>
        <v>2005</v>
      </c>
      <c r="K934" s="5">
        <f>MONTH(Table1[[#This Row],[Date]])</f>
        <v>1</v>
      </c>
      <c r="L934" s="5">
        <f>DAY(Table1[[#This Row],[Date]])</f>
        <v>30</v>
      </c>
      <c r="M934" s="5" t="str">
        <f t="shared" si="29"/>
        <v>Jan</v>
      </c>
    </row>
    <row r="935" spans="1:13" x14ac:dyDescent="0.25">
      <c r="A935" s="2">
        <v>38184</v>
      </c>
      <c r="B935" t="s">
        <v>11</v>
      </c>
      <c r="C935" t="s">
        <v>18</v>
      </c>
      <c r="D935" t="s">
        <v>16</v>
      </c>
      <c r="E935" t="s">
        <v>25</v>
      </c>
      <c r="F935" s="3">
        <v>5269.95</v>
      </c>
      <c r="G935" s="3">
        <v>9581.7199999999993</v>
      </c>
      <c r="H935" s="3">
        <f>Table1[[#This Row],[Sale]]-Table1[[#This Row],[Cost]]</f>
        <v>4311.7699999999995</v>
      </c>
      <c r="I935" s="4">
        <f>Table1[[#This Row],[Profit]]/Table1[[#This Row],[Sale]]</f>
        <v>0.44999958253841688</v>
      </c>
      <c r="J935" s="5">
        <f t="shared" si="28"/>
        <v>2004</v>
      </c>
      <c r="K935" s="5">
        <f>MONTH(Table1[[#This Row],[Date]])</f>
        <v>7</v>
      </c>
      <c r="L935" s="5">
        <f>DAY(Table1[[#This Row],[Date]])</f>
        <v>16</v>
      </c>
      <c r="M935" s="5" t="str">
        <f t="shared" si="29"/>
        <v>Jul</v>
      </c>
    </row>
    <row r="936" spans="1:13" x14ac:dyDescent="0.25">
      <c r="A936" s="2">
        <v>38718</v>
      </c>
      <c r="B936" t="s">
        <v>21</v>
      </c>
      <c r="C936" t="s">
        <v>12</v>
      </c>
      <c r="D936" t="s">
        <v>13</v>
      </c>
      <c r="E936" t="s">
        <v>25</v>
      </c>
      <c r="F936" s="3">
        <v>727.48</v>
      </c>
      <c r="G936" s="3">
        <v>1691.82</v>
      </c>
      <c r="H936" s="3">
        <f>Table1[[#This Row],[Sale]]-Table1[[#This Row],[Cost]]</f>
        <v>964.33999999999992</v>
      </c>
      <c r="I936" s="4">
        <f>Table1[[#This Row],[Profit]]/Table1[[#This Row],[Sale]]</f>
        <v>0.570001536806516</v>
      </c>
      <c r="J936" s="5">
        <f t="shared" si="28"/>
        <v>2006</v>
      </c>
      <c r="K936" s="5">
        <f>MONTH(Table1[[#This Row],[Date]])</f>
        <v>1</v>
      </c>
      <c r="L936" s="5">
        <f>DAY(Table1[[#This Row],[Date]])</f>
        <v>1</v>
      </c>
      <c r="M936" s="5" t="str">
        <f t="shared" si="29"/>
        <v>Jan</v>
      </c>
    </row>
    <row r="937" spans="1:13" x14ac:dyDescent="0.25">
      <c r="A937" s="2">
        <v>38383</v>
      </c>
      <c r="B937" t="s">
        <v>26</v>
      </c>
      <c r="C937" t="s">
        <v>23</v>
      </c>
      <c r="D937" t="s">
        <v>28</v>
      </c>
      <c r="E937" t="s">
        <v>20</v>
      </c>
      <c r="F937" s="3">
        <v>3331.05</v>
      </c>
      <c r="G937" s="3">
        <v>4898.6000000000004</v>
      </c>
      <c r="H937" s="3">
        <f>Table1[[#This Row],[Sale]]-Table1[[#This Row],[Cost]]</f>
        <v>1567.5500000000002</v>
      </c>
      <c r="I937" s="4">
        <f>Table1[[#This Row],[Profit]]/Table1[[#This Row],[Sale]]</f>
        <v>0.3199995917200833</v>
      </c>
      <c r="J937" s="5">
        <f t="shared" si="28"/>
        <v>2005</v>
      </c>
      <c r="K937" s="5">
        <f>MONTH(Table1[[#This Row],[Date]])</f>
        <v>1</v>
      </c>
      <c r="L937" s="5">
        <f>DAY(Table1[[#This Row],[Date]])</f>
        <v>31</v>
      </c>
      <c r="M937" s="5" t="str">
        <f t="shared" si="29"/>
        <v>Jan</v>
      </c>
    </row>
    <row r="938" spans="1:13" x14ac:dyDescent="0.25">
      <c r="A938" s="2">
        <v>38269</v>
      </c>
      <c r="B938" t="s">
        <v>26</v>
      </c>
      <c r="C938" t="s">
        <v>29</v>
      </c>
      <c r="D938" t="s">
        <v>16</v>
      </c>
      <c r="E938" t="s">
        <v>24</v>
      </c>
      <c r="F938" s="3">
        <v>5723.32</v>
      </c>
      <c r="G938" s="3">
        <v>8416.65</v>
      </c>
      <c r="H938" s="3">
        <f>Table1[[#This Row],[Sale]]-Table1[[#This Row],[Cost]]</f>
        <v>2693.33</v>
      </c>
      <c r="I938" s="4">
        <f>Table1[[#This Row],[Profit]]/Table1[[#This Row],[Sale]]</f>
        <v>0.32000023762423291</v>
      </c>
      <c r="J938" s="5">
        <f t="shared" si="28"/>
        <v>2004</v>
      </c>
      <c r="K938" s="5">
        <f>MONTH(Table1[[#This Row],[Date]])</f>
        <v>10</v>
      </c>
      <c r="L938" s="5">
        <f>DAY(Table1[[#This Row],[Date]])</f>
        <v>9</v>
      </c>
      <c r="M938" s="5" t="str">
        <f t="shared" si="29"/>
        <v>Oct</v>
      </c>
    </row>
    <row r="939" spans="1:13" x14ac:dyDescent="0.25">
      <c r="A939" s="2">
        <v>38871</v>
      </c>
      <c r="B939" t="s">
        <v>17</v>
      </c>
      <c r="C939" t="s">
        <v>18</v>
      </c>
      <c r="D939" t="s">
        <v>19</v>
      </c>
      <c r="E939" t="s">
        <v>25</v>
      </c>
      <c r="F939" s="3">
        <v>3317.46</v>
      </c>
      <c r="G939" s="3">
        <v>8966.11</v>
      </c>
      <c r="H939" s="3">
        <f>Table1[[#This Row],[Sale]]-Table1[[#This Row],[Cost]]</f>
        <v>5648.6500000000005</v>
      </c>
      <c r="I939" s="4">
        <f>Table1[[#This Row],[Profit]]/Table1[[#This Row],[Sale]]</f>
        <v>0.63000007807176139</v>
      </c>
      <c r="J939" s="5">
        <f t="shared" si="28"/>
        <v>2006</v>
      </c>
      <c r="K939" s="5">
        <f>MONTH(Table1[[#This Row],[Date]])</f>
        <v>6</v>
      </c>
      <c r="L939" s="5">
        <f>DAY(Table1[[#This Row],[Date]])</f>
        <v>3</v>
      </c>
      <c r="M939" s="5" t="str">
        <f t="shared" si="29"/>
        <v>Jun</v>
      </c>
    </row>
    <row r="940" spans="1:13" x14ac:dyDescent="0.25">
      <c r="A940" s="2">
        <v>38301</v>
      </c>
      <c r="B940" t="s">
        <v>15</v>
      </c>
      <c r="C940" t="s">
        <v>23</v>
      </c>
      <c r="D940" t="s">
        <v>16</v>
      </c>
      <c r="E940" t="s">
        <v>20</v>
      </c>
      <c r="F940" s="3">
        <v>4171.4399999999996</v>
      </c>
      <c r="G940" s="3">
        <v>6134.47</v>
      </c>
      <c r="H940" s="3">
        <f>Table1[[#This Row],[Sale]]-Table1[[#This Row],[Cost]]</f>
        <v>1963.0300000000007</v>
      </c>
      <c r="I940" s="4">
        <f>Table1[[#This Row],[Profit]]/Table1[[#This Row],[Sale]]</f>
        <v>0.31999993479469302</v>
      </c>
      <c r="J940" s="5">
        <f t="shared" si="28"/>
        <v>2004</v>
      </c>
      <c r="K940" s="5">
        <f>MONTH(Table1[[#This Row],[Date]])</f>
        <v>11</v>
      </c>
      <c r="L940" s="5">
        <f>DAY(Table1[[#This Row],[Date]])</f>
        <v>10</v>
      </c>
      <c r="M940" s="5" t="str">
        <f t="shared" si="29"/>
        <v>Nov</v>
      </c>
    </row>
    <row r="941" spans="1:13" x14ac:dyDescent="0.25">
      <c r="A941" s="2">
        <v>38417</v>
      </c>
      <c r="B941" t="s">
        <v>17</v>
      </c>
      <c r="C941" t="s">
        <v>29</v>
      </c>
      <c r="D941" t="s">
        <v>19</v>
      </c>
      <c r="E941" t="s">
        <v>20</v>
      </c>
      <c r="F941" s="3">
        <v>3154.71</v>
      </c>
      <c r="G941" s="3">
        <v>5346.96</v>
      </c>
      <c r="H941" s="3">
        <f>Table1[[#This Row],[Sale]]-Table1[[#This Row],[Cost]]</f>
        <v>2192.25</v>
      </c>
      <c r="I941" s="4">
        <f>Table1[[#This Row],[Profit]]/Table1[[#This Row],[Sale]]</f>
        <v>0.40999932672022982</v>
      </c>
      <c r="J941" s="5">
        <f t="shared" si="28"/>
        <v>2005</v>
      </c>
      <c r="K941" s="5">
        <f>MONTH(Table1[[#This Row],[Date]])</f>
        <v>3</v>
      </c>
      <c r="L941" s="5">
        <f>DAY(Table1[[#This Row],[Date]])</f>
        <v>6</v>
      </c>
      <c r="M941" s="5" t="str">
        <f t="shared" si="29"/>
        <v>Mar</v>
      </c>
    </row>
    <row r="942" spans="1:13" x14ac:dyDescent="0.25">
      <c r="A942" s="2">
        <v>38386</v>
      </c>
      <c r="B942" t="s">
        <v>17</v>
      </c>
      <c r="C942" t="s">
        <v>27</v>
      </c>
      <c r="D942" t="s">
        <v>16</v>
      </c>
      <c r="E942" t="s">
        <v>14</v>
      </c>
      <c r="F942" s="3">
        <v>5162.8500000000004</v>
      </c>
      <c r="G942" s="3">
        <v>5521.76</v>
      </c>
      <c r="H942" s="3">
        <f>Table1[[#This Row],[Sale]]-Table1[[#This Row],[Cost]]</f>
        <v>358.90999999999985</v>
      </c>
      <c r="I942" s="4">
        <f>Table1[[#This Row],[Profit]]/Table1[[#This Row],[Sale]]</f>
        <v>6.4999203152617979E-2</v>
      </c>
      <c r="J942" s="5">
        <f t="shared" si="28"/>
        <v>2005</v>
      </c>
      <c r="K942" s="5">
        <f>MONTH(Table1[[#This Row],[Date]])</f>
        <v>2</v>
      </c>
      <c r="L942" s="5">
        <f>DAY(Table1[[#This Row],[Date]])</f>
        <v>3</v>
      </c>
      <c r="M942" s="5" t="str">
        <f t="shared" si="29"/>
        <v>Feb</v>
      </c>
    </row>
    <row r="943" spans="1:13" x14ac:dyDescent="0.25">
      <c r="A943" s="2">
        <v>38646</v>
      </c>
      <c r="B943" t="s">
        <v>26</v>
      </c>
      <c r="C943" t="s">
        <v>27</v>
      </c>
      <c r="D943" t="s">
        <v>19</v>
      </c>
      <c r="E943" t="s">
        <v>20</v>
      </c>
      <c r="F943" s="3">
        <v>1139.56</v>
      </c>
      <c r="G943" s="3">
        <v>1294.96</v>
      </c>
      <c r="H943" s="3">
        <f>Table1[[#This Row],[Sale]]-Table1[[#This Row],[Cost]]</f>
        <v>155.40000000000009</v>
      </c>
      <c r="I943" s="4">
        <f>Table1[[#This Row],[Profit]]/Table1[[#This Row],[Sale]]</f>
        <v>0.12000370667819862</v>
      </c>
      <c r="J943" s="5">
        <f t="shared" si="28"/>
        <v>2005</v>
      </c>
      <c r="K943" s="5">
        <f>MONTH(Table1[[#This Row],[Date]])</f>
        <v>10</v>
      </c>
      <c r="L943" s="5">
        <f>DAY(Table1[[#This Row],[Date]])</f>
        <v>21</v>
      </c>
      <c r="M943" s="5" t="str">
        <f t="shared" si="29"/>
        <v>Oct</v>
      </c>
    </row>
    <row r="944" spans="1:13" x14ac:dyDescent="0.25">
      <c r="A944" s="2">
        <v>38232</v>
      </c>
      <c r="B944" t="s">
        <v>22</v>
      </c>
      <c r="C944" t="s">
        <v>23</v>
      </c>
      <c r="D944" t="s">
        <v>28</v>
      </c>
      <c r="E944" t="s">
        <v>20</v>
      </c>
      <c r="F944" s="3">
        <v>1514.09</v>
      </c>
      <c r="G944" s="3">
        <v>4092.13</v>
      </c>
      <c r="H944" s="3">
        <f>Table1[[#This Row],[Sale]]-Table1[[#This Row],[Cost]]</f>
        <v>2578.04</v>
      </c>
      <c r="I944" s="4">
        <f>Table1[[#This Row],[Profit]]/Table1[[#This Row],[Sale]]</f>
        <v>0.62999953569412503</v>
      </c>
      <c r="J944" s="5">
        <f t="shared" si="28"/>
        <v>2004</v>
      </c>
      <c r="K944" s="5">
        <f>MONTH(Table1[[#This Row],[Date]])</f>
        <v>9</v>
      </c>
      <c r="L944" s="5">
        <f>DAY(Table1[[#This Row],[Date]])</f>
        <v>2</v>
      </c>
      <c r="M944" s="5" t="str">
        <f t="shared" si="29"/>
        <v>Sep</v>
      </c>
    </row>
    <row r="945" spans="1:13" x14ac:dyDescent="0.25">
      <c r="A945" s="2">
        <v>38346</v>
      </c>
      <c r="B945" t="s">
        <v>11</v>
      </c>
      <c r="C945" t="s">
        <v>12</v>
      </c>
      <c r="D945" t="s">
        <v>13</v>
      </c>
      <c r="E945" t="s">
        <v>20</v>
      </c>
      <c r="F945" s="3">
        <v>3344</v>
      </c>
      <c r="G945" s="3">
        <v>7431.1</v>
      </c>
      <c r="H945" s="3">
        <f>Table1[[#This Row],[Sale]]-Table1[[#This Row],[Cost]]</f>
        <v>4087.1000000000004</v>
      </c>
      <c r="I945" s="4">
        <f>Table1[[#This Row],[Profit]]/Table1[[#This Row],[Sale]]</f>
        <v>0.54999932715210398</v>
      </c>
      <c r="J945" s="5">
        <f t="shared" si="28"/>
        <v>2004</v>
      </c>
      <c r="K945" s="5">
        <f>MONTH(Table1[[#This Row],[Date]])</f>
        <v>12</v>
      </c>
      <c r="L945" s="5">
        <f>DAY(Table1[[#This Row],[Date]])</f>
        <v>25</v>
      </c>
      <c r="M945" s="5" t="str">
        <f t="shared" si="29"/>
        <v>Dec</v>
      </c>
    </row>
    <row r="946" spans="1:13" x14ac:dyDescent="0.25">
      <c r="A946" s="2">
        <v>38601</v>
      </c>
      <c r="B946" t="s">
        <v>22</v>
      </c>
      <c r="C946" t="s">
        <v>23</v>
      </c>
      <c r="D946" t="s">
        <v>16</v>
      </c>
      <c r="E946" t="s">
        <v>24</v>
      </c>
      <c r="F946" s="3">
        <v>3853.06</v>
      </c>
      <c r="G946" s="3">
        <v>4120.92</v>
      </c>
      <c r="H946" s="3">
        <f>Table1[[#This Row],[Sale]]-Table1[[#This Row],[Cost]]</f>
        <v>267.86000000000013</v>
      </c>
      <c r="I946" s="4">
        <f>Table1[[#This Row],[Profit]]/Table1[[#This Row],[Sale]]</f>
        <v>6.500004853285192E-2</v>
      </c>
      <c r="J946" s="5">
        <f t="shared" si="28"/>
        <v>2005</v>
      </c>
      <c r="K946" s="5">
        <f>MONTH(Table1[[#This Row],[Date]])</f>
        <v>9</v>
      </c>
      <c r="L946" s="5">
        <f>DAY(Table1[[#This Row],[Date]])</f>
        <v>6</v>
      </c>
      <c r="M946" s="5" t="str">
        <f t="shared" si="29"/>
        <v>Sep</v>
      </c>
    </row>
    <row r="947" spans="1:13" x14ac:dyDescent="0.25">
      <c r="A947" s="2">
        <v>38320</v>
      </c>
      <c r="B947" t="s">
        <v>17</v>
      </c>
      <c r="C947" t="s">
        <v>27</v>
      </c>
      <c r="D947" t="s">
        <v>16</v>
      </c>
      <c r="E947" t="s">
        <v>14</v>
      </c>
      <c r="F947" s="3">
        <v>4756.4399999999996</v>
      </c>
      <c r="G947" s="3">
        <v>6994.77</v>
      </c>
      <c r="H947" s="3">
        <f>Table1[[#This Row],[Sale]]-Table1[[#This Row],[Cost]]</f>
        <v>2238.3300000000008</v>
      </c>
      <c r="I947" s="4">
        <f>Table1[[#This Row],[Profit]]/Table1[[#This Row],[Sale]]</f>
        <v>0.32000051467024659</v>
      </c>
      <c r="J947" s="5">
        <f t="shared" si="28"/>
        <v>2004</v>
      </c>
      <c r="K947" s="5">
        <f>MONTH(Table1[[#This Row],[Date]])</f>
        <v>11</v>
      </c>
      <c r="L947" s="5">
        <f>DAY(Table1[[#This Row],[Date]])</f>
        <v>29</v>
      </c>
      <c r="M947" s="5" t="str">
        <f t="shared" si="29"/>
        <v>Nov</v>
      </c>
    </row>
    <row r="948" spans="1:13" x14ac:dyDescent="0.25">
      <c r="A948" s="2">
        <v>38237</v>
      </c>
      <c r="B948" t="s">
        <v>26</v>
      </c>
      <c r="C948" t="s">
        <v>29</v>
      </c>
      <c r="D948" t="s">
        <v>19</v>
      </c>
      <c r="E948" t="s">
        <v>20</v>
      </c>
      <c r="F948" s="3">
        <v>5047.3500000000004</v>
      </c>
      <c r="G948" s="3">
        <v>5398.23</v>
      </c>
      <c r="H948" s="3">
        <f>Table1[[#This Row],[Sale]]-Table1[[#This Row],[Cost]]</f>
        <v>350.8799999999992</v>
      </c>
      <c r="I948" s="4">
        <f>Table1[[#This Row],[Profit]]/Table1[[#This Row],[Sale]]</f>
        <v>6.4999083032771715E-2</v>
      </c>
      <c r="J948" s="5">
        <f t="shared" si="28"/>
        <v>2004</v>
      </c>
      <c r="K948" s="5">
        <f>MONTH(Table1[[#This Row],[Date]])</f>
        <v>9</v>
      </c>
      <c r="L948" s="5">
        <f>DAY(Table1[[#This Row],[Date]])</f>
        <v>7</v>
      </c>
      <c r="M948" s="5" t="str">
        <f t="shared" si="29"/>
        <v>Sep</v>
      </c>
    </row>
    <row r="949" spans="1:13" x14ac:dyDescent="0.25">
      <c r="A949" s="2">
        <v>38788</v>
      </c>
      <c r="B949" t="s">
        <v>11</v>
      </c>
      <c r="C949" t="s">
        <v>12</v>
      </c>
      <c r="D949" t="s">
        <v>19</v>
      </c>
      <c r="E949" t="s">
        <v>20</v>
      </c>
      <c r="F949" s="3">
        <v>4265.7</v>
      </c>
      <c r="G949" s="3">
        <v>4847.3900000000003</v>
      </c>
      <c r="H949" s="3">
        <f>Table1[[#This Row],[Sale]]-Table1[[#This Row],[Cost]]</f>
        <v>581.69000000000051</v>
      </c>
      <c r="I949" s="4">
        <f>Table1[[#This Row],[Profit]]/Table1[[#This Row],[Sale]]</f>
        <v>0.12000066014907002</v>
      </c>
      <c r="J949" s="5">
        <f t="shared" si="28"/>
        <v>2006</v>
      </c>
      <c r="K949" s="5">
        <f>MONTH(Table1[[#This Row],[Date]])</f>
        <v>3</v>
      </c>
      <c r="L949" s="5">
        <f>DAY(Table1[[#This Row],[Date]])</f>
        <v>12</v>
      </c>
      <c r="M949" s="5" t="str">
        <f t="shared" si="29"/>
        <v>Mar</v>
      </c>
    </row>
    <row r="950" spans="1:13" x14ac:dyDescent="0.25">
      <c r="A950" s="2">
        <v>38197</v>
      </c>
      <c r="B950" t="s">
        <v>11</v>
      </c>
      <c r="C950" t="s">
        <v>27</v>
      </c>
      <c r="D950" t="s">
        <v>16</v>
      </c>
      <c r="E950" t="s">
        <v>24</v>
      </c>
      <c r="F950" s="3">
        <v>3961.17</v>
      </c>
      <c r="G950" s="3">
        <v>6713.84</v>
      </c>
      <c r="H950" s="3">
        <f>Table1[[#This Row],[Sale]]-Table1[[#This Row],[Cost]]</f>
        <v>2752.67</v>
      </c>
      <c r="I950" s="4">
        <f>Table1[[#This Row],[Profit]]/Table1[[#This Row],[Sale]]</f>
        <v>0.40999934463734616</v>
      </c>
      <c r="J950" s="5">
        <f t="shared" si="28"/>
        <v>2004</v>
      </c>
      <c r="K950" s="5">
        <f>MONTH(Table1[[#This Row],[Date]])</f>
        <v>7</v>
      </c>
      <c r="L950" s="5">
        <f>DAY(Table1[[#This Row],[Date]])</f>
        <v>29</v>
      </c>
      <c r="M950" s="5" t="str">
        <f t="shared" si="29"/>
        <v>Jul</v>
      </c>
    </row>
    <row r="951" spans="1:13" x14ac:dyDescent="0.25">
      <c r="A951" s="2">
        <v>38778</v>
      </c>
      <c r="B951" t="s">
        <v>26</v>
      </c>
      <c r="C951" t="s">
        <v>27</v>
      </c>
      <c r="D951" t="s">
        <v>16</v>
      </c>
      <c r="E951" t="s">
        <v>24</v>
      </c>
      <c r="F951" s="3">
        <v>2779.36</v>
      </c>
      <c r="G951" s="3">
        <v>2972.58</v>
      </c>
      <c r="H951" s="3">
        <f>Table1[[#This Row],[Sale]]-Table1[[#This Row],[Cost]]</f>
        <v>193.2199999999998</v>
      </c>
      <c r="I951" s="4">
        <f>Table1[[#This Row],[Profit]]/Table1[[#This Row],[Sale]]</f>
        <v>6.5000773738637746E-2</v>
      </c>
      <c r="J951" s="5">
        <f t="shared" si="28"/>
        <v>2006</v>
      </c>
      <c r="K951" s="5">
        <f>MONTH(Table1[[#This Row],[Date]])</f>
        <v>3</v>
      </c>
      <c r="L951" s="5">
        <f>DAY(Table1[[#This Row],[Date]])</f>
        <v>2</v>
      </c>
      <c r="M951" s="5" t="str">
        <f t="shared" si="29"/>
        <v>Mar</v>
      </c>
    </row>
    <row r="952" spans="1:13" x14ac:dyDescent="0.25">
      <c r="A952" s="2">
        <v>38715</v>
      </c>
      <c r="B952" t="s">
        <v>11</v>
      </c>
      <c r="C952" t="s">
        <v>27</v>
      </c>
      <c r="D952" t="s">
        <v>13</v>
      </c>
      <c r="E952" t="s">
        <v>25</v>
      </c>
      <c r="F952" s="3">
        <v>5622.97</v>
      </c>
      <c r="G952" s="3">
        <v>9530.4599999999991</v>
      </c>
      <c r="H952" s="3">
        <f>Table1[[#This Row],[Sale]]-Table1[[#This Row],[Cost]]</f>
        <v>3907.4899999999989</v>
      </c>
      <c r="I952" s="4">
        <f>Table1[[#This Row],[Profit]]/Table1[[#This Row],[Sale]]</f>
        <v>0.41000014689742142</v>
      </c>
      <c r="J952" s="5">
        <f t="shared" si="28"/>
        <v>2005</v>
      </c>
      <c r="K952" s="5">
        <f>MONTH(Table1[[#This Row],[Date]])</f>
        <v>12</v>
      </c>
      <c r="L952" s="5">
        <f>DAY(Table1[[#This Row],[Date]])</f>
        <v>29</v>
      </c>
      <c r="M952" s="5" t="str">
        <f t="shared" si="29"/>
        <v>Dec</v>
      </c>
    </row>
    <row r="953" spans="1:13" x14ac:dyDescent="0.25">
      <c r="A953" s="2">
        <v>38363</v>
      </c>
      <c r="B953" t="s">
        <v>22</v>
      </c>
      <c r="C953" t="s">
        <v>18</v>
      </c>
      <c r="D953" t="s">
        <v>13</v>
      </c>
      <c r="E953" t="s">
        <v>20</v>
      </c>
      <c r="F953" s="3">
        <v>5217.1899999999996</v>
      </c>
      <c r="G953" s="3">
        <v>5928.62</v>
      </c>
      <c r="H953" s="3">
        <f>Table1[[#This Row],[Sale]]-Table1[[#This Row],[Cost]]</f>
        <v>711.43000000000029</v>
      </c>
      <c r="I953" s="4">
        <f>Table1[[#This Row],[Profit]]/Table1[[#This Row],[Sale]]</f>
        <v>0.11999925783740573</v>
      </c>
      <c r="J953" s="5">
        <f t="shared" si="28"/>
        <v>2005</v>
      </c>
      <c r="K953" s="5">
        <f>MONTH(Table1[[#This Row],[Date]])</f>
        <v>1</v>
      </c>
      <c r="L953" s="5">
        <f>DAY(Table1[[#This Row],[Date]])</f>
        <v>11</v>
      </c>
      <c r="M953" s="5" t="str">
        <f t="shared" si="29"/>
        <v>Jan</v>
      </c>
    </row>
    <row r="954" spans="1:13" x14ac:dyDescent="0.25">
      <c r="A954" s="2">
        <v>38866</v>
      </c>
      <c r="B954" t="s">
        <v>11</v>
      </c>
      <c r="C954" t="s">
        <v>27</v>
      </c>
      <c r="D954" t="s">
        <v>13</v>
      </c>
      <c r="E954" t="s">
        <v>24</v>
      </c>
      <c r="F954" s="3">
        <v>4263.18</v>
      </c>
      <c r="G954" s="3">
        <v>6269.38</v>
      </c>
      <c r="H954" s="3">
        <f>Table1[[#This Row],[Sale]]-Table1[[#This Row],[Cost]]</f>
        <v>2006.1999999999998</v>
      </c>
      <c r="I954" s="4">
        <f>Table1[[#This Row],[Profit]]/Table1[[#This Row],[Sale]]</f>
        <v>0.31999974479135096</v>
      </c>
      <c r="J954" s="5">
        <f t="shared" si="28"/>
        <v>2006</v>
      </c>
      <c r="K954" s="5">
        <f>MONTH(Table1[[#This Row],[Date]])</f>
        <v>5</v>
      </c>
      <c r="L954" s="5">
        <f>DAY(Table1[[#This Row],[Date]])</f>
        <v>29</v>
      </c>
      <c r="M954" s="5" t="str">
        <f t="shared" si="29"/>
        <v>May</v>
      </c>
    </row>
    <row r="955" spans="1:13" x14ac:dyDescent="0.25">
      <c r="A955" s="2">
        <v>38796</v>
      </c>
      <c r="B955" t="s">
        <v>11</v>
      </c>
      <c r="C955" t="s">
        <v>18</v>
      </c>
      <c r="D955" t="s">
        <v>19</v>
      </c>
      <c r="E955" t="s">
        <v>25</v>
      </c>
      <c r="F955" s="3">
        <v>3175.61</v>
      </c>
      <c r="G955" s="3">
        <v>4670.0200000000004</v>
      </c>
      <c r="H955" s="3">
        <f>Table1[[#This Row],[Sale]]-Table1[[#This Row],[Cost]]</f>
        <v>1494.4100000000003</v>
      </c>
      <c r="I955" s="4">
        <f>Table1[[#This Row],[Profit]]/Table1[[#This Row],[Sale]]</f>
        <v>0.32000077087464296</v>
      </c>
      <c r="J955" s="5">
        <f t="shared" si="28"/>
        <v>2006</v>
      </c>
      <c r="K955" s="5">
        <f>MONTH(Table1[[#This Row],[Date]])</f>
        <v>3</v>
      </c>
      <c r="L955" s="5">
        <f>DAY(Table1[[#This Row],[Date]])</f>
        <v>20</v>
      </c>
      <c r="M955" s="5" t="str">
        <f t="shared" si="29"/>
        <v>Mar</v>
      </c>
    </row>
    <row r="956" spans="1:13" x14ac:dyDescent="0.25">
      <c r="A956" s="2">
        <v>38713</v>
      </c>
      <c r="B956" t="s">
        <v>21</v>
      </c>
      <c r="C956" t="s">
        <v>27</v>
      </c>
      <c r="D956" t="s">
        <v>28</v>
      </c>
      <c r="E956" t="s">
        <v>14</v>
      </c>
      <c r="F956" s="3">
        <v>1390.59</v>
      </c>
      <c r="G956" s="3">
        <v>1487.26</v>
      </c>
      <c r="H956" s="3">
        <f>Table1[[#This Row],[Sale]]-Table1[[#This Row],[Cost]]</f>
        <v>96.670000000000073</v>
      </c>
      <c r="I956" s="4">
        <f>Table1[[#This Row],[Profit]]/Table1[[#This Row],[Sale]]</f>
        <v>6.4998722482955282E-2</v>
      </c>
      <c r="J956" s="5">
        <f t="shared" si="28"/>
        <v>2005</v>
      </c>
      <c r="K956" s="5">
        <f>MONTH(Table1[[#This Row],[Date]])</f>
        <v>12</v>
      </c>
      <c r="L956" s="5">
        <f>DAY(Table1[[#This Row],[Date]])</f>
        <v>27</v>
      </c>
      <c r="M956" s="5" t="str">
        <f t="shared" si="29"/>
        <v>Dec</v>
      </c>
    </row>
    <row r="957" spans="1:13" x14ac:dyDescent="0.25">
      <c r="A957" s="2">
        <v>38781</v>
      </c>
      <c r="B957" t="s">
        <v>26</v>
      </c>
      <c r="C957" t="s">
        <v>29</v>
      </c>
      <c r="D957" t="s">
        <v>28</v>
      </c>
      <c r="E957" t="s">
        <v>24</v>
      </c>
      <c r="F957" s="3">
        <v>4802.71</v>
      </c>
      <c r="G957" s="3">
        <v>8280.5400000000009</v>
      </c>
      <c r="H957" s="3">
        <f>Table1[[#This Row],[Sale]]-Table1[[#This Row],[Cost]]</f>
        <v>3477.8300000000008</v>
      </c>
      <c r="I957" s="4">
        <f>Table1[[#This Row],[Profit]]/Table1[[#This Row],[Sale]]</f>
        <v>0.42000038644822685</v>
      </c>
      <c r="J957" s="5">
        <f t="shared" si="28"/>
        <v>2006</v>
      </c>
      <c r="K957" s="5">
        <f>MONTH(Table1[[#This Row],[Date]])</f>
        <v>3</v>
      </c>
      <c r="L957" s="5">
        <f>DAY(Table1[[#This Row],[Date]])</f>
        <v>5</v>
      </c>
      <c r="M957" s="5" t="str">
        <f t="shared" si="29"/>
        <v>Mar</v>
      </c>
    </row>
    <row r="958" spans="1:13" x14ac:dyDescent="0.25">
      <c r="A958" s="2">
        <v>38326</v>
      </c>
      <c r="B958" t="s">
        <v>22</v>
      </c>
      <c r="C958" t="s">
        <v>27</v>
      </c>
      <c r="D958" t="s">
        <v>13</v>
      </c>
      <c r="E958" t="s">
        <v>24</v>
      </c>
      <c r="F958" s="3">
        <v>505.12</v>
      </c>
      <c r="G958" s="3">
        <v>673.5</v>
      </c>
      <c r="H958" s="3">
        <f>Table1[[#This Row],[Sale]]-Table1[[#This Row],[Cost]]</f>
        <v>168.38</v>
      </c>
      <c r="I958" s="4">
        <f>Table1[[#This Row],[Profit]]/Table1[[#This Row],[Sale]]</f>
        <v>0.25000742390497399</v>
      </c>
      <c r="J958" s="5">
        <f t="shared" si="28"/>
        <v>2004</v>
      </c>
      <c r="K958" s="5">
        <f>MONTH(Table1[[#This Row],[Date]])</f>
        <v>12</v>
      </c>
      <c r="L958" s="5">
        <f>DAY(Table1[[#This Row],[Date]])</f>
        <v>5</v>
      </c>
      <c r="M958" s="5" t="str">
        <f t="shared" si="29"/>
        <v>Dec</v>
      </c>
    </row>
    <row r="959" spans="1:13" x14ac:dyDescent="0.25">
      <c r="A959" s="2">
        <v>38689</v>
      </c>
      <c r="B959" t="s">
        <v>22</v>
      </c>
      <c r="C959" t="s">
        <v>12</v>
      </c>
      <c r="D959" t="s">
        <v>28</v>
      </c>
      <c r="E959" t="s">
        <v>24</v>
      </c>
      <c r="F959" s="3">
        <v>2650.34</v>
      </c>
      <c r="G959" s="3">
        <v>6163.58</v>
      </c>
      <c r="H959" s="3">
        <f>Table1[[#This Row],[Sale]]-Table1[[#This Row],[Cost]]</f>
        <v>3513.24</v>
      </c>
      <c r="I959" s="4">
        <f>Table1[[#This Row],[Profit]]/Table1[[#This Row],[Sale]]</f>
        <v>0.56999990265397704</v>
      </c>
      <c r="J959" s="5">
        <f t="shared" si="28"/>
        <v>2005</v>
      </c>
      <c r="K959" s="5">
        <f>MONTH(Table1[[#This Row],[Date]])</f>
        <v>12</v>
      </c>
      <c r="L959" s="5">
        <f>DAY(Table1[[#This Row],[Date]])</f>
        <v>3</v>
      </c>
      <c r="M959" s="5" t="str">
        <f t="shared" si="29"/>
        <v>Dec</v>
      </c>
    </row>
    <row r="960" spans="1:13" x14ac:dyDescent="0.25">
      <c r="A960" s="2">
        <v>38681</v>
      </c>
      <c r="B960" t="s">
        <v>11</v>
      </c>
      <c r="C960" t="s">
        <v>18</v>
      </c>
      <c r="D960" t="s">
        <v>28</v>
      </c>
      <c r="E960" t="s">
        <v>20</v>
      </c>
      <c r="F960" s="3">
        <v>3202.85</v>
      </c>
      <c r="G960" s="3">
        <v>5522.16</v>
      </c>
      <c r="H960" s="3">
        <f>Table1[[#This Row],[Sale]]-Table1[[#This Row],[Cost]]</f>
        <v>2319.31</v>
      </c>
      <c r="I960" s="4">
        <f>Table1[[#This Row],[Profit]]/Table1[[#This Row],[Sale]]</f>
        <v>0.42000050704796676</v>
      </c>
      <c r="J960" s="5">
        <f t="shared" si="28"/>
        <v>2005</v>
      </c>
      <c r="K960" s="5">
        <f>MONTH(Table1[[#This Row],[Date]])</f>
        <v>11</v>
      </c>
      <c r="L960" s="5">
        <f>DAY(Table1[[#This Row],[Date]])</f>
        <v>25</v>
      </c>
      <c r="M960" s="5" t="str">
        <f t="shared" si="29"/>
        <v>Nov</v>
      </c>
    </row>
    <row r="961" spans="1:13" x14ac:dyDescent="0.25">
      <c r="A961" s="2">
        <v>38499</v>
      </c>
      <c r="B961" t="s">
        <v>17</v>
      </c>
      <c r="C961" t="s">
        <v>18</v>
      </c>
      <c r="D961" t="s">
        <v>13</v>
      </c>
      <c r="E961" t="s">
        <v>24</v>
      </c>
      <c r="F961" s="3">
        <v>2116.4</v>
      </c>
      <c r="G961" s="3">
        <v>4921.8599999999997</v>
      </c>
      <c r="H961" s="3">
        <f>Table1[[#This Row],[Sale]]-Table1[[#This Row],[Cost]]</f>
        <v>2805.4599999999996</v>
      </c>
      <c r="I961" s="4">
        <f>Table1[[#This Row],[Profit]]/Table1[[#This Row],[Sale]]</f>
        <v>0.56999995936495551</v>
      </c>
      <c r="J961" s="5">
        <f t="shared" si="28"/>
        <v>2005</v>
      </c>
      <c r="K961" s="5">
        <f>MONTH(Table1[[#This Row],[Date]])</f>
        <v>5</v>
      </c>
      <c r="L961" s="5">
        <f>DAY(Table1[[#This Row],[Date]])</f>
        <v>27</v>
      </c>
      <c r="M961" s="5" t="str">
        <f t="shared" si="29"/>
        <v>May</v>
      </c>
    </row>
    <row r="962" spans="1:13" x14ac:dyDescent="0.25">
      <c r="A962" s="2">
        <v>38669</v>
      </c>
      <c r="B962" t="s">
        <v>15</v>
      </c>
      <c r="C962" t="s">
        <v>18</v>
      </c>
      <c r="D962" t="s">
        <v>28</v>
      </c>
      <c r="E962" t="s">
        <v>14</v>
      </c>
      <c r="F962" s="3">
        <v>3653.64</v>
      </c>
      <c r="G962" s="3">
        <v>9874.69</v>
      </c>
      <c r="H962" s="3">
        <f>Table1[[#This Row],[Sale]]-Table1[[#This Row],[Cost]]</f>
        <v>6221.0500000000011</v>
      </c>
      <c r="I962" s="4">
        <f>Table1[[#This Row],[Profit]]/Table1[[#This Row],[Sale]]</f>
        <v>0.62999952403569137</v>
      </c>
      <c r="J962" s="5">
        <f t="shared" ref="J962:J1025" si="30">YEAR(A:A)</f>
        <v>2005</v>
      </c>
      <c r="K962" s="5">
        <f>MONTH(Table1[[#This Row],[Date]])</f>
        <v>11</v>
      </c>
      <c r="L962" s="5">
        <f>DAY(Table1[[#This Row],[Date]])</f>
        <v>13</v>
      </c>
      <c r="M962" s="5" t="str">
        <f t="shared" ref="M962:M1025" si="31">CHOOSE(K962,"Jan", "Feb", "Mar", "Apr", "May", "Jun", "Jul", "Aug", "Sep", "Oct", "Nov", "Dec")</f>
        <v>Nov</v>
      </c>
    </row>
    <row r="963" spans="1:13" x14ac:dyDescent="0.25">
      <c r="A963" s="2">
        <v>38828</v>
      </c>
      <c r="B963" t="s">
        <v>17</v>
      </c>
      <c r="C963" t="s">
        <v>12</v>
      </c>
      <c r="D963" t="s">
        <v>28</v>
      </c>
      <c r="E963" t="s">
        <v>25</v>
      </c>
      <c r="F963" s="3">
        <v>3627.81</v>
      </c>
      <c r="G963" s="3">
        <v>8061.8</v>
      </c>
      <c r="H963" s="3">
        <f>Table1[[#This Row],[Sale]]-Table1[[#This Row],[Cost]]</f>
        <v>4433.99</v>
      </c>
      <c r="I963" s="4">
        <f>Table1[[#This Row],[Profit]]/Table1[[#This Row],[Sale]]</f>
        <v>0.54999999999999993</v>
      </c>
      <c r="J963" s="5">
        <f t="shared" si="30"/>
        <v>2006</v>
      </c>
      <c r="K963" s="5">
        <f>MONTH(Table1[[#This Row],[Date]])</f>
        <v>4</v>
      </c>
      <c r="L963" s="5">
        <f>DAY(Table1[[#This Row],[Date]])</f>
        <v>21</v>
      </c>
      <c r="M963" s="5" t="str">
        <f t="shared" si="31"/>
        <v>Apr</v>
      </c>
    </row>
    <row r="964" spans="1:13" x14ac:dyDescent="0.25">
      <c r="A964" s="2">
        <v>38425</v>
      </c>
      <c r="B964" t="s">
        <v>21</v>
      </c>
      <c r="C964" t="s">
        <v>12</v>
      </c>
      <c r="D964" t="s">
        <v>16</v>
      </c>
      <c r="E964" t="s">
        <v>25</v>
      </c>
      <c r="F964" s="3">
        <v>5525.39</v>
      </c>
      <c r="G964" s="3">
        <v>9526.5300000000007</v>
      </c>
      <c r="H964" s="3">
        <f>Table1[[#This Row],[Sale]]-Table1[[#This Row],[Cost]]</f>
        <v>4001.1400000000003</v>
      </c>
      <c r="I964" s="4">
        <f>Table1[[#This Row],[Profit]]/Table1[[#This Row],[Sale]]</f>
        <v>0.41999972707796018</v>
      </c>
      <c r="J964" s="5">
        <f t="shared" si="30"/>
        <v>2005</v>
      </c>
      <c r="K964" s="5">
        <f>MONTH(Table1[[#This Row],[Date]])</f>
        <v>3</v>
      </c>
      <c r="L964" s="5">
        <f>DAY(Table1[[#This Row],[Date]])</f>
        <v>14</v>
      </c>
      <c r="M964" s="5" t="str">
        <f t="shared" si="31"/>
        <v>Mar</v>
      </c>
    </row>
    <row r="965" spans="1:13" x14ac:dyDescent="0.25">
      <c r="A965" s="2">
        <v>38587</v>
      </c>
      <c r="B965" t="s">
        <v>11</v>
      </c>
      <c r="C965" t="s">
        <v>27</v>
      </c>
      <c r="D965" t="s">
        <v>19</v>
      </c>
      <c r="E965" t="s">
        <v>14</v>
      </c>
      <c r="F965" s="3">
        <v>2798.04</v>
      </c>
      <c r="G965" s="3">
        <v>4824.2</v>
      </c>
      <c r="H965" s="3">
        <f>Table1[[#This Row],[Sale]]-Table1[[#This Row],[Cost]]</f>
        <v>2026.1599999999999</v>
      </c>
      <c r="I965" s="4">
        <f>Table1[[#This Row],[Profit]]/Table1[[#This Row],[Sale]]</f>
        <v>0.4199991708469798</v>
      </c>
      <c r="J965" s="5">
        <f t="shared" si="30"/>
        <v>2005</v>
      </c>
      <c r="K965" s="5">
        <f>MONTH(Table1[[#This Row],[Date]])</f>
        <v>8</v>
      </c>
      <c r="L965" s="5">
        <f>DAY(Table1[[#This Row],[Date]])</f>
        <v>23</v>
      </c>
      <c r="M965" s="5" t="str">
        <f t="shared" si="31"/>
        <v>Aug</v>
      </c>
    </row>
    <row r="966" spans="1:13" x14ac:dyDescent="0.25">
      <c r="A966" s="2">
        <v>38237</v>
      </c>
      <c r="B966" t="s">
        <v>15</v>
      </c>
      <c r="C966" t="s">
        <v>18</v>
      </c>
      <c r="D966" t="s">
        <v>19</v>
      </c>
      <c r="E966" t="s">
        <v>14</v>
      </c>
      <c r="F966" s="3">
        <v>1864.67</v>
      </c>
      <c r="G966" s="3">
        <v>2742.16</v>
      </c>
      <c r="H966" s="3">
        <f>Table1[[#This Row],[Sale]]-Table1[[#This Row],[Cost]]</f>
        <v>877.48999999999978</v>
      </c>
      <c r="I966" s="4">
        <f>Table1[[#This Row],[Profit]]/Table1[[#This Row],[Sale]]</f>
        <v>0.31999956238877375</v>
      </c>
      <c r="J966" s="5">
        <f t="shared" si="30"/>
        <v>2004</v>
      </c>
      <c r="K966" s="5">
        <f>MONTH(Table1[[#This Row],[Date]])</f>
        <v>9</v>
      </c>
      <c r="L966" s="5">
        <f>DAY(Table1[[#This Row],[Date]])</f>
        <v>7</v>
      </c>
      <c r="M966" s="5" t="str">
        <f t="shared" si="31"/>
        <v>Sep</v>
      </c>
    </row>
    <row r="967" spans="1:13" x14ac:dyDescent="0.25">
      <c r="A967" s="2">
        <v>38203</v>
      </c>
      <c r="B967" t="s">
        <v>21</v>
      </c>
      <c r="C967" t="s">
        <v>18</v>
      </c>
      <c r="D967" t="s">
        <v>13</v>
      </c>
      <c r="E967" t="s">
        <v>14</v>
      </c>
      <c r="F967" s="3">
        <v>839.19</v>
      </c>
      <c r="G967" s="3">
        <v>1864.86</v>
      </c>
      <c r="H967" s="3">
        <f>Table1[[#This Row],[Sale]]-Table1[[#This Row],[Cost]]</f>
        <v>1025.6699999999998</v>
      </c>
      <c r="I967" s="4">
        <f>Table1[[#This Row],[Profit]]/Table1[[#This Row],[Sale]]</f>
        <v>0.54999839130015116</v>
      </c>
      <c r="J967" s="5">
        <f t="shared" si="30"/>
        <v>2004</v>
      </c>
      <c r="K967" s="5">
        <f>MONTH(Table1[[#This Row],[Date]])</f>
        <v>8</v>
      </c>
      <c r="L967" s="5">
        <f>DAY(Table1[[#This Row],[Date]])</f>
        <v>4</v>
      </c>
      <c r="M967" s="5" t="str">
        <f t="shared" si="31"/>
        <v>Aug</v>
      </c>
    </row>
    <row r="968" spans="1:13" x14ac:dyDescent="0.25">
      <c r="A968" s="2">
        <v>38654</v>
      </c>
      <c r="B968" t="s">
        <v>15</v>
      </c>
      <c r="C968" t="s">
        <v>12</v>
      </c>
      <c r="D968" t="s">
        <v>16</v>
      </c>
      <c r="E968" t="s">
        <v>14</v>
      </c>
      <c r="F968" s="3">
        <v>1712.97</v>
      </c>
      <c r="G968" s="3">
        <v>3983.64</v>
      </c>
      <c r="H968" s="3">
        <f>Table1[[#This Row],[Sale]]-Table1[[#This Row],[Cost]]</f>
        <v>2270.67</v>
      </c>
      <c r="I968" s="4">
        <f>Table1[[#This Row],[Profit]]/Table1[[#This Row],[Sale]]</f>
        <v>0.56999879507184392</v>
      </c>
      <c r="J968" s="5">
        <f t="shared" si="30"/>
        <v>2005</v>
      </c>
      <c r="K968" s="5">
        <f>MONTH(Table1[[#This Row],[Date]])</f>
        <v>10</v>
      </c>
      <c r="L968" s="5">
        <f>DAY(Table1[[#This Row],[Date]])</f>
        <v>29</v>
      </c>
      <c r="M968" s="5" t="str">
        <f t="shared" si="31"/>
        <v>Oct</v>
      </c>
    </row>
    <row r="969" spans="1:13" x14ac:dyDescent="0.25">
      <c r="A969" s="2">
        <v>38412</v>
      </c>
      <c r="B969" t="s">
        <v>17</v>
      </c>
      <c r="C969" t="s">
        <v>27</v>
      </c>
      <c r="D969" t="s">
        <v>28</v>
      </c>
      <c r="E969" t="s">
        <v>14</v>
      </c>
      <c r="F969" s="3">
        <v>1679.89</v>
      </c>
      <c r="G969" s="3">
        <v>4540.25</v>
      </c>
      <c r="H969" s="3">
        <f>Table1[[#This Row],[Sale]]-Table1[[#This Row],[Cost]]</f>
        <v>2860.3599999999997</v>
      </c>
      <c r="I969" s="4">
        <f>Table1[[#This Row],[Profit]]/Table1[[#This Row],[Sale]]</f>
        <v>0.63000055063047178</v>
      </c>
      <c r="J969" s="5">
        <f t="shared" si="30"/>
        <v>2005</v>
      </c>
      <c r="K969" s="5">
        <f>MONTH(Table1[[#This Row],[Date]])</f>
        <v>3</v>
      </c>
      <c r="L969" s="5">
        <f>DAY(Table1[[#This Row],[Date]])</f>
        <v>1</v>
      </c>
      <c r="M969" s="5" t="str">
        <f t="shared" si="31"/>
        <v>Mar</v>
      </c>
    </row>
    <row r="970" spans="1:13" x14ac:dyDescent="0.25">
      <c r="A970" s="2">
        <v>38199</v>
      </c>
      <c r="B970" t="s">
        <v>11</v>
      </c>
      <c r="C970" t="s">
        <v>23</v>
      </c>
      <c r="D970" t="s">
        <v>13</v>
      </c>
      <c r="E970" t="s">
        <v>14</v>
      </c>
      <c r="F970" s="3">
        <v>962.92</v>
      </c>
      <c r="G970" s="3">
        <v>1750.77</v>
      </c>
      <c r="H970" s="3">
        <f>Table1[[#This Row],[Sale]]-Table1[[#This Row],[Cost]]</f>
        <v>787.85</v>
      </c>
      <c r="I970" s="4">
        <f>Table1[[#This Row],[Profit]]/Table1[[#This Row],[Sale]]</f>
        <v>0.45000199912038708</v>
      </c>
      <c r="J970" s="5">
        <f t="shared" si="30"/>
        <v>2004</v>
      </c>
      <c r="K970" s="5">
        <f>MONTH(Table1[[#This Row],[Date]])</f>
        <v>7</v>
      </c>
      <c r="L970" s="5">
        <f>DAY(Table1[[#This Row],[Date]])</f>
        <v>31</v>
      </c>
      <c r="M970" s="5" t="str">
        <f t="shared" si="31"/>
        <v>Jul</v>
      </c>
    </row>
    <row r="971" spans="1:13" x14ac:dyDescent="0.25">
      <c r="A971" s="2">
        <v>38561</v>
      </c>
      <c r="B971" t="s">
        <v>22</v>
      </c>
      <c r="C971" t="s">
        <v>29</v>
      </c>
      <c r="D971" t="s">
        <v>13</v>
      </c>
      <c r="E971" t="s">
        <v>24</v>
      </c>
      <c r="F971" s="3">
        <v>3967.77</v>
      </c>
      <c r="G971" s="3">
        <v>5290.36</v>
      </c>
      <c r="H971" s="3">
        <f>Table1[[#This Row],[Sale]]-Table1[[#This Row],[Cost]]</f>
        <v>1322.5899999999997</v>
      </c>
      <c r="I971" s="4">
        <f>Table1[[#This Row],[Profit]]/Table1[[#This Row],[Sale]]</f>
        <v>0.24999999999999994</v>
      </c>
      <c r="J971" s="5">
        <f t="shared" si="30"/>
        <v>2005</v>
      </c>
      <c r="K971" s="5">
        <f>MONTH(Table1[[#This Row],[Date]])</f>
        <v>7</v>
      </c>
      <c r="L971" s="5">
        <f>DAY(Table1[[#This Row],[Date]])</f>
        <v>28</v>
      </c>
      <c r="M971" s="5" t="str">
        <f t="shared" si="31"/>
        <v>Jul</v>
      </c>
    </row>
    <row r="972" spans="1:13" x14ac:dyDescent="0.25">
      <c r="A972" s="2">
        <v>38859</v>
      </c>
      <c r="B972" t="s">
        <v>17</v>
      </c>
      <c r="C972" t="s">
        <v>12</v>
      </c>
      <c r="D972" t="s">
        <v>16</v>
      </c>
      <c r="E972" t="s">
        <v>25</v>
      </c>
      <c r="F972" s="3">
        <v>2827.52</v>
      </c>
      <c r="G972" s="3">
        <v>4792.3999999999996</v>
      </c>
      <c r="H972" s="3">
        <f>Table1[[#This Row],[Sale]]-Table1[[#This Row],[Cost]]</f>
        <v>1964.8799999999997</v>
      </c>
      <c r="I972" s="4">
        <f>Table1[[#This Row],[Profit]]/Table1[[#This Row],[Sale]]</f>
        <v>0.40999916534512976</v>
      </c>
      <c r="J972" s="5">
        <f t="shared" si="30"/>
        <v>2006</v>
      </c>
      <c r="K972" s="5">
        <f>MONTH(Table1[[#This Row],[Date]])</f>
        <v>5</v>
      </c>
      <c r="L972" s="5">
        <f>DAY(Table1[[#This Row],[Date]])</f>
        <v>22</v>
      </c>
      <c r="M972" s="5" t="str">
        <f t="shared" si="31"/>
        <v>May</v>
      </c>
    </row>
    <row r="973" spans="1:13" x14ac:dyDescent="0.25">
      <c r="A973" s="2">
        <v>38666</v>
      </c>
      <c r="B973" t="s">
        <v>17</v>
      </c>
      <c r="C973" t="s">
        <v>18</v>
      </c>
      <c r="D973" t="s">
        <v>13</v>
      </c>
      <c r="E973" t="s">
        <v>25</v>
      </c>
      <c r="F973" s="3">
        <v>4551.28</v>
      </c>
      <c r="G973" s="3">
        <v>8275.06</v>
      </c>
      <c r="H973" s="3">
        <f>Table1[[#This Row],[Sale]]-Table1[[#This Row],[Cost]]</f>
        <v>3723.7799999999997</v>
      </c>
      <c r="I973" s="4">
        <f>Table1[[#This Row],[Profit]]/Table1[[#This Row],[Sale]]</f>
        <v>0.4500003625351357</v>
      </c>
      <c r="J973" s="5">
        <f t="shared" si="30"/>
        <v>2005</v>
      </c>
      <c r="K973" s="5">
        <f>MONTH(Table1[[#This Row],[Date]])</f>
        <v>11</v>
      </c>
      <c r="L973" s="5">
        <f>DAY(Table1[[#This Row],[Date]])</f>
        <v>10</v>
      </c>
      <c r="M973" s="5" t="str">
        <f t="shared" si="31"/>
        <v>Nov</v>
      </c>
    </row>
    <row r="974" spans="1:13" x14ac:dyDescent="0.25">
      <c r="A974" s="2">
        <v>38275</v>
      </c>
      <c r="B974" t="s">
        <v>26</v>
      </c>
      <c r="C974" t="s">
        <v>23</v>
      </c>
      <c r="D974" t="s">
        <v>28</v>
      </c>
      <c r="E974" t="s">
        <v>20</v>
      </c>
      <c r="F974" s="3">
        <v>2989.34</v>
      </c>
      <c r="G974" s="3">
        <v>6642.97</v>
      </c>
      <c r="H974" s="3">
        <f>Table1[[#This Row],[Sale]]-Table1[[#This Row],[Cost]]</f>
        <v>3653.63</v>
      </c>
      <c r="I974" s="4">
        <f>Table1[[#This Row],[Profit]]/Table1[[#This Row],[Sale]]</f>
        <v>0.54999947312723074</v>
      </c>
      <c r="J974" s="5">
        <f t="shared" si="30"/>
        <v>2004</v>
      </c>
      <c r="K974" s="5">
        <f>MONTH(Table1[[#This Row],[Date]])</f>
        <v>10</v>
      </c>
      <c r="L974" s="5">
        <f>DAY(Table1[[#This Row],[Date]])</f>
        <v>15</v>
      </c>
      <c r="M974" s="5" t="str">
        <f t="shared" si="31"/>
        <v>Oct</v>
      </c>
    </row>
    <row r="975" spans="1:13" x14ac:dyDescent="0.25">
      <c r="A975" s="2">
        <v>38423</v>
      </c>
      <c r="B975" t="s">
        <v>21</v>
      </c>
      <c r="C975" t="s">
        <v>23</v>
      </c>
      <c r="D975" t="s">
        <v>19</v>
      </c>
      <c r="E975" t="s">
        <v>25</v>
      </c>
      <c r="F975" s="3">
        <v>2181.61</v>
      </c>
      <c r="G975" s="3">
        <v>5896.23</v>
      </c>
      <c r="H975" s="3">
        <f>Table1[[#This Row],[Sale]]-Table1[[#This Row],[Cost]]</f>
        <v>3714.6199999999994</v>
      </c>
      <c r="I975" s="4">
        <f>Table1[[#This Row],[Profit]]/Table1[[#This Row],[Sale]]</f>
        <v>0.62999916896050523</v>
      </c>
      <c r="J975" s="5">
        <f t="shared" si="30"/>
        <v>2005</v>
      </c>
      <c r="K975" s="5">
        <f>MONTH(Table1[[#This Row],[Date]])</f>
        <v>3</v>
      </c>
      <c r="L975" s="5">
        <f>DAY(Table1[[#This Row],[Date]])</f>
        <v>12</v>
      </c>
      <c r="M975" s="5" t="str">
        <f t="shared" si="31"/>
        <v>Mar</v>
      </c>
    </row>
    <row r="976" spans="1:13" x14ac:dyDescent="0.25">
      <c r="A976" s="2">
        <v>38193</v>
      </c>
      <c r="B976" t="s">
        <v>22</v>
      </c>
      <c r="C976" t="s">
        <v>27</v>
      </c>
      <c r="D976" t="s">
        <v>28</v>
      </c>
      <c r="E976" t="s">
        <v>24</v>
      </c>
      <c r="F976" s="3">
        <v>2898.57</v>
      </c>
      <c r="G976" s="3">
        <v>6740.86</v>
      </c>
      <c r="H976" s="3">
        <f>Table1[[#This Row],[Sale]]-Table1[[#This Row],[Cost]]</f>
        <v>3842.2899999999995</v>
      </c>
      <c r="I976" s="4">
        <f>Table1[[#This Row],[Profit]]/Table1[[#This Row],[Sale]]</f>
        <v>0.56999997033019523</v>
      </c>
      <c r="J976" s="5">
        <f t="shared" si="30"/>
        <v>2004</v>
      </c>
      <c r="K976" s="5">
        <f>MONTH(Table1[[#This Row],[Date]])</f>
        <v>7</v>
      </c>
      <c r="L976" s="5">
        <f>DAY(Table1[[#This Row],[Date]])</f>
        <v>25</v>
      </c>
      <c r="M976" s="5" t="str">
        <f t="shared" si="31"/>
        <v>Jul</v>
      </c>
    </row>
    <row r="977" spans="1:13" x14ac:dyDescent="0.25">
      <c r="A977" s="2">
        <v>38191</v>
      </c>
      <c r="B977" t="s">
        <v>17</v>
      </c>
      <c r="C977" t="s">
        <v>12</v>
      </c>
      <c r="D977" t="s">
        <v>13</v>
      </c>
      <c r="E977" t="s">
        <v>25</v>
      </c>
      <c r="F977" s="3">
        <v>829.33</v>
      </c>
      <c r="G977" s="3">
        <v>942.42</v>
      </c>
      <c r="H977" s="3">
        <f>Table1[[#This Row],[Sale]]-Table1[[#This Row],[Cost]]</f>
        <v>113.08999999999992</v>
      </c>
      <c r="I977" s="4">
        <f>Table1[[#This Row],[Profit]]/Table1[[#This Row],[Sale]]</f>
        <v>0.11999957556079023</v>
      </c>
      <c r="J977" s="5">
        <f t="shared" si="30"/>
        <v>2004</v>
      </c>
      <c r="K977" s="5">
        <f>MONTH(Table1[[#This Row],[Date]])</f>
        <v>7</v>
      </c>
      <c r="L977" s="5">
        <f>DAY(Table1[[#This Row],[Date]])</f>
        <v>23</v>
      </c>
      <c r="M977" s="5" t="str">
        <f t="shared" si="31"/>
        <v>Jul</v>
      </c>
    </row>
    <row r="978" spans="1:13" x14ac:dyDescent="0.25">
      <c r="A978" s="2">
        <v>38726</v>
      </c>
      <c r="B978" t="s">
        <v>11</v>
      </c>
      <c r="C978" t="s">
        <v>18</v>
      </c>
      <c r="D978" t="s">
        <v>13</v>
      </c>
      <c r="E978" t="s">
        <v>20</v>
      </c>
      <c r="F978" s="3">
        <v>7340.29</v>
      </c>
      <c r="G978" s="3">
        <v>7850.58</v>
      </c>
      <c r="H978" s="3">
        <f>Table1[[#This Row],[Sale]]-Table1[[#This Row],[Cost]]</f>
        <v>510.28999999999996</v>
      </c>
      <c r="I978" s="4">
        <f>Table1[[#This Row],[Profit]]/Table1[[#This Row],[Sale]]</f>
        <v>6.500029297198423E-2</v>
      </c>
      <c r="J978" s="5">
        <f t="shared" si="30"/>
        <v>2006</v>
      </c>
      <c r="K978" s="5">
        <f>MONTH(Table1[[#This Row],[Date]])</f>
        <v>1</v>
      </c>
      <c r="L978" s="5">
        <f>DAY(Table1[[#This Row],[Date]])</f>
        <v>9</v>
      </c>
      <c r="M978" s="5" t="str">
        <f t="shared" si="31"/>
        <v>Jan</v>
      </c>
    </row>
    <row r="979" spans="1:13" x14ac:dyDescent="0.25">
      <c r="A979" s="2">
        <v>38514</v>
      </c>
      <c r="B979" t="s">
        <v>17</v>
      </c>
      <c r="C979" t="s">
        <v>29</v>
      </c>
      <c r="D979" t="s">
        <v>28</v>
      </c>
      <c r="E979" t="s">
        <v>24</v>
      </c>
      <c r="F979" s="3">
        <v>3079</v>
      </c>
      <c r="G979" s="3">
        <v>6842.23</v>
      </c>
      <c r="H979" s="3">
        <f>Table1[[#This Row],[Sale]]-Table1[[#This Row],[Cost]]</f>
        <v>3763.2299999999996</v>
      </c>
      <c r="I979" s="4">
        <f>Table1[[#This Row],[Profit]]/Table1[[#This Row],[Sale]]</f>
        <v>0.55000051152913598</v>
      </c>
      <c r="J979" s="5">
        <f t="shared" si="30"/>
        <v>2005</v>
      </c>
      <c r="K979" s="5">
        <f>MONTH(Table1[[#This Row],[Date]])</f>
        <v>6</v>
      </c>
      <c r="L979" s="5">
        <f>DAY(Table1[[#This Row],[Date]])</f>
        <v>11</v>
      </c>
      <c r="M979" s="5" t="str">
        <f t="shared" si="31"/>
        <v>Jun</v>
      </c>
    </row>
    <row r="980" spans="1:13" x14ac:dyDescent="0.25">
      <c r="A980" s="2">
        <v>38162</v>
      </c>
      <c r="B980" t="s">
        <v>26</v>
      </c>
      <c r="C980" t="s">
        <v>12</v>
      </c>
      <c r="D980" t="s">
        <v>16</v>
      </c>
      <c r="E980" t="s">
        <v>20</v>
      </c>
      <c r="F980" s="3">
        <v>2019.56</v>
      </c>
      <c r="G980" s="3">
        <v>3422.99</v>
      </c>
      <c r="H980" s="3">
        <f>Table1[[#This Row],[Sale]]-Table1[[#This Row],[Cost]]</f>
        <v>1403.4299999999998</v>
      </c>
      <c r="I980" s="4">
        <f>Table1[[#This Row],[Profit]]/Table1[[#This Row],[Sale]]</f>
        <v>0.41000119778322458</v>
      </c>
      <c r="J980" s="5">
        <f t="shared" si="30"/>
        <v>2004</v>
      </c>
      <c r="K980" s="5">
        <f>MONTH(Table1[[#This Row],[Date]])</f>
        <v>6</v>
      </c>
      <c r="L980" s="5">
        <f>DAY(Table1[[#This Row],[Date]])</f>
        <v>24</v>
      </c>
      <c r="M980" s="5" t="str">
        <f t="shared" si="31"/>
        <v>Jun</v>
      </c>
    </row>
    <row r="981" spans="1:13" x14ac:dyDescent="0.25">
      <c r="A981" s="2">
        <v>38315</v>
      </c>
      <c r="B981" t="s">
        <v>22</v>
      </c>
      <c r="C981" t="s">
        <v>27</v>
      </c>
      <c r="D981" t="s">
        <v>16</v>
      </c>
      <c r="E981" t="s">
        <v>25</v>
      </c>
      <c r="F981" s="3">
        <v>2308.66</v>
      </c>
      <c r="G981" s="3">
        <v>3980.45</v>
      </c>
      <c r="H981" s="3">
        <f>Table1[[#This Row],[Sale]]-Table1[[#This Row],[Cost]]</f>
        <v>1671.79</v>
      </c>
      <c r="I981" s="4">
        <f>Table1[[#This Row],[Profit]]/Table1[[#This Row],[Sale]]</f>
        <v>0.42000025122787626</v>
      </c>
      <c r="J981" s="5">
        <f t="shared" si="30"/>
        <v>2004</v>
      </c>
      <c r="K981" s="5">
        <f>MONTH(Table1[[#This Row],[Date]])</f>
        <v>11</v>
      </c>
      <c r="L981" s="5">
        <f>DAY(Table1[[#This Row],[Date]])</f>
        <v>24</v>
      </c>
      <c r="M981" s="5" t="str">
        <f t="shared" si="31"/>
        <v>Nov</v>
      </c>
    </row>
    <row r="982" spans="1:13" x14ac:dyDescent="0.25">
      <c r="A982" s="2">
        <v>38583</v>
      </c>
      <c r="B982" t="s">
        <v>26</v>
      </c>
      <c r="C982" t="s">
        <v>29</v>
      </c>
      <c r="D982" t="s">
        <v>16</v>
      </c>
      <c r="E982" t="s">
        <v>24</v>
      </c>
      <c r="F982" s="3">
        <v>7772.23</v>
      </c>
      <c r="G982" s="3">
        <v>8312.5499999999993</v>
      </c>
      <c r="H982" s="3">
        <f>Table1[[#This Row],[Sale]]-Table1[[#This Row],[Cost]]</f>
        <v>540.31999999999971</v>
      </c>
      <c r="I982" s="4">
        <f>Table1[[#This Row],[Profit]]/Table1[[#This Row],[Sale]]</f>
        <v>6.5000511275120118E-2</v>
      </c>
      <c r="J982" s="5">
        <f t="shared" si="30"/>
        <v>2005</v>
      </c>
      <c r="K982" s="5">
        <f>MONTH(Table1[[#This Row],[Date]])</f>
        <v>8</v>
      </c>
      <c r="L982" s="5">
        <f>DAY(Table1[[#This Row],[Date]])</f>
        <v>19</v>
      </c>
      <c r="M982" s="5" t="str">
        <f t="shared" si="31"/>
        <v>Aug</v>
      </c>
    </row>
    <row r="983" spans="1:13" x14ac:dyDescent="0.25">
      <c r="A983" s="2">
        <v>38703</v>
      </c>
      <c r="B983" t="s">
        <v>15</v>
      </c>
      <c r="C983" t="s">
        <v>27</v>
      </c>
      <c r="D983" t="s">
        <v>13</v>
      </c>
      <c r="E983" t="s">
        <v>25</v>
      </c>
      <c r="F983" s="3">
        <v>1496.06</v>
      </c>
      <c r="G983" s="3">
        <v>1700.07</v>
      </c>
      <c r="H983" s="3">
        <f>Table1[[#This Row],[Sale]]-Table1[[#This Row],[Cost]]</f>
        <v>204.01</v>
      </c>
      <c r="I983" s="4">
        <f>Table1[[#This Row],[Profit]]/Table1[[#This Row],[Sale]]</f>
        <v>0.12000094113771786</v>
      </c>
      <c r="J983" s="5">
        <f t="shared" si="30"/>
        <v>2005</v>
      </c>
      <c r="K983" s="5">
        <f>MONTH(Table1[[#This Row],[Date]])</f>
        <v>12</v>
      </c>
      <c r="L983" s="5">
        <f>DAY(Table1[[#This Row],[Date]])</f>
        <v>17</v>
      </c>
      <c r="M983" s="5" t="str">
        <f t="shared" si="31"/>
        <v>Dec</v>
      </c>
    </row>
    <row r="984" spans="1:13" x14ac:dyDescent="0.25">
      <c r="A984" s="2">
        <v>38535</v>
      </c>
      <c r="B984" t="s">
        <v>17</v>
      </c>
      <c r="C984" t="s">
        <v>29</v>
      </c>
      <c r="D984" t="s">
        <v>13</v>
      </c>
      <c r="E984" t="s">
        <v>25</v>
      </c>
      <c r="F984" s="3">
        <v>2249.06</v>
      </c>
      <c r="G984" s="3">
        <v>2555.75</v>
      </c>
      <c r="H984" s="3">
        <f>Table1[[#This Row],[Sale]]-Table1[[#This Row],[Cost]]</f>
        <v>306.69000000000005</v>
      </c>
      <c r="I984" s="4">
        <f>Table1[[#This Row],[Profit]]/Table1[[#This Row],[Sale]]</f>
        <v>0.12000000000000002</v>
      </c>
      <c r="J984" s="5">
        <f t="shared" si="30"/>
        <v>2005</v>
      </c>
      <c r="K984" s="5">
        <f>MONTH(Table1[[#This Row],[Date]])</f>
        <v>7</v>
      </c>
      <c r="L984" s="5">
        <f>DAY(Table1[[#This Row],[Date]])</f>
        <v>2</v>
      </c>
      <c r="M984" s="5" t="str">
        <f t="shared" si="31"/>
        <v>Jul</v>
      </c>
    </row>
    <row r="985" spans="1:13" x14ac:dyDescent="0.25">
      <c r="A985" s="2">
        <v>38274</v>
      </c>
      <c r="B985" t="s">
        <v>11</v>
      </c>
      <c r="C985" t="s">
        <v>27</v>
      </c>
      <c r="D985" t="s">
        <v>28</v>
      </c>
      <c r="E985" t="s">
        <v>14</v>
      </c>
      <c r="F985" s="3">
        <v>4442.57</v>
      </c>
      <c r="G985" s="3">
        <v>5048.38</v>
      </c>
      <c r="H985" s="3">
        <f>Table1[[#This Row],[Sale]]-Table1[[#This Row],[Cost]]</f>
        <v>605.8100000000004</v>
      </c>
      <c r="I985" s="4">
        <f>Table1[[#This Row],[Profit]]/Table1[[#This Row],[Sale]]</f>
        <v>0.12000087156672049</v>
      </c>
      <c r="J985" s="5">
        <f t="shared" si="30"/>
        <v>2004</v>
      </c>
      <c r="K985" s="5">
        <f>MONTH(Table1[[#This Row],[Date]])</f>
        <v>10</v>
      </c>
      <c r="L985" s="5">
        <f>DAY(Table1[[#This Row],[Date]])</f>
        <v>14</v>
      </c>
      <c r="M985" s="5" t="str">
        <f t="shared" si="31"/>
        <v>Oct</v>
      </c>
    </row>
    <row r="986" spans="1:13" x14ac:dyDescent="0.25">
      <c r="A986" s="2">
        <v>38721</v>
      </c>
      <c r="B986" t="s">
        <v>21</v>
      </c>
      <c r="C986" t="s">
        <v>18</v>
      </c>
      <c r="D986" t="s">
        <v>13</v>
      </c>
      <c r="E986" t="s">
        <v>24</v>
      </c>
      <c r="F986" s="3">
        <v>3864.64</v>
      </c>
      <c r="G986" s="3">
        <v>6663.18</v>
      </c>
      <c r="H986" s="3">
        <f>Table1[[#This Row],[Sale]]-Table1[[#This Row],[Cost]]</f>
        <v>2798.5400000000004</v>
      </c>
      <c r="I986" s="4">
        <f>Table1[[#This Row],[Profit]]/Table1[[#This Row],[Sale]]</f>
        <v>0.42000066034536065</v>
      </c>
      <c r="J986" s="5">
        <f t="shared" si="30"/>
        <v>2006</v>
      </c>
      <c r="K986" s="5">
        <f>MONTH(Table1[[#This Row],[Date]])</f>
        <v>1</v>
      </c>
      <c r="L986" s="5">
        <f>DAY(Table1[[#This Row],[Date]])</f>
        <v>4</v>
      </c>
      <c r="M986" s="5" t="str">
        <f t="shared" si="31"/>
        <v>Jan</v>
      </c>
    </row>
    <row r="987" spans="1:13" x14ac:dyDescent="0.25">
      <c r="A987" s="2">
        <v>38457</v>
      </c>
      <c r="B987" t="s">
        <v>15</v>
      </c>
      <c r="C987" t="s">
        <v>12</v>
      </c>
      <c r="D987" t="s">
        <v>28</v>
      </c>
      <c r="E987" t="s">
        <v>24</v>
      </c>
      <c r="F987" s="3">
        <v>2393.19</v>
      </c>
      <c r="G987" s="3">
        <v>2719.53</v>
      </c>
      <c r="H987" s="3">
        <f>Table1[[#This Row],[Sale]]-Table1[[#This Row],[Cost]]</f>
        <v>326.34000000000015</v>
      </c>
      <c r="I987" s="4">
        <f>Table1[[#This Row],[Profit]]/Table1[[#This Row],[Sale]]</f>
        <v>0.11999867624185066</v>
      </c>
      <c r="J987" s="5">
        <f t="shared" si="30"/>
        <v>2005</v>
      </c>
      <c r="K987" s="5">
        <f>MONTH(Table1[[#This Row],[Date]])</f>
        <v>4</v>
      </c>
      <c r="L987" s="5">
        <f>DAY(Table1[[#This Row],[Date]])</f>
        <v>15</v>
      </c>
      <c r="M987" s="5" t="str">
        <f t="shared" si="31"/>
        <v>Apr</v>
      </c>
    </row>
    <row r="988" spans="1:13" x14ac:dyDescent="0.25">
      <c r="A988" s="2">
        <v>38187</v>
      </c>
      <c r="B988" t="s">
        <v>17</v>
      </c>
      <c r="C988" t="s">
        <v>27</v>
      </c>
      <c r="D988" t="s">
        <v>28</v>
      </c>
      <c r="E988" t="s">
        <v>14</v>
      </c>
      <c r="F988" s="3">
        <v>5542.54</v>
      </c>
      <c r="G988" s="3">
        <v>9556.11</v>
      </c>
      <c r="H988" s="3">
        <f>Table1[[#This Row],[Sale]]-Table1[[#This Row],[Cost]]</f>
        <v>4013.5700000000006</v>
      </c>
      <c r="I988" s="4">
        <f>Table1[[#This Row],[Profit]]/Table1[[#This Row],[Sale]]</f>
        <v>0.42000039765134561</v>
      </c>
      <c r="J988" s="5">
        <f t="shared" si="30"/>
        <v>2004</v>
      </c>
      <c r="K988" s="5">
        <f>MONTH(Table1[[#This Row],[Date]])</f>
        <v>7</v>
      </c>
      <c r="L988" s="5">
        <f>DAY(Table1[[#This Row],[Date]])</f>
        <v>19</v>
      </c>
      <c r="M988" s="5" t="str">
        <f t="shared" si="31"/>
        <v>Jul</v>
      </c>
    </row>
    <row r="989" spans="1:13" x14ac:dyDescent="0.25">
      <c r="A989" s="2">
        <v>38716</v>
      </c>
      <c r="B989" t="s">
        <v>11</v>
      </c>
      <c r="C989" t="s">
        <v>12</v>
      </c>
      <c r="D989" t="s">
        <v>28</v>
      </c>
      <c r="E989" t="s">
        <v>25</v>
      </c>
      <c r="F989" s="3">
        <v>5338.44</v>
      </c>
      <c r="G989" s="3">
        <v>7117.92</v>
      </c>
      <c r="H989" s="3">
        <f>Table1[[#This Row],[Sale]]-Table1[[#This Row],[Cost]]</f>
        <v>1779.4800000000005</v>
      </c>
      <c r="I989" s="4">
        <f>Table1[[#This Row],[Profit]]/Table1[[#This Row],[Sale]]</f>
        <v>0.25000000000000006</v>
      </c>
      <c r="J989" s="5">
        <f t="shared" si="30"/>
        <v>2005</v>
      </c>
      <c r="K989" s="5">
        <f>MONTH(Table1[[#This Row],[Date]])</f>
        <v>12</v>
      </c>
      <c r="L989" s="5">
        <f>DAY(Table1[[#This Row],[Date]])</f>
        <v>30</v>
      </c>
      <c r="M989" s="5" t="str">
        <f t="shared" si="31"/>
        <v>Dec</v>
      </c>
    </row>
    <row r="990" spans="1:13" x14ac:dyDescent="0.25">
      <c r="A990" s="2">
        <v>38509</v>
      </c>
      <c r="B990" t="s">
        <v>17</v>
      </c>
      <c r="C990" t="s">
        <v>12</v>
      </c>
      <c r="D990" t="s">
        <v>28</v>
      </c>
      <c r="E990" t="s">
        <v>25</v>
      </c>
      <c r="F990" s="3">
        <v>1802.87</v>
      </c>
      <c r="G990" s="3">
        <v>2048.7199999999998</v>
      </c>
      <c r="H990" s="3">
        <f>Table1[[#This Row],[Sale]]-Table1[[#This Row],[Cost]]</f>
        <v>245.84999999999991</v>
      </c>
      <c r="I990" s="4">
        <f>Table1[[#This Row],[Profit]]/Table1[[#This Row],[Sale]]</f>
        <v>0.12000175719473619</v>
      </c>
      <c r="J990" s="5">
        <f t="shared" si="30"/>
        <v>2005</v>
      </c>
      <c r="K990" s="5">
        <f>MONTH(Table1[[#This Row],[Date]])</f>
        <v>6</v>
      </c>
      <c r="L990" s="5">
        <f>DAY(Table1[[#This Row],[Date]])</f>
        <v>6</v>
      </c>
      <c r="M990" s="5" t="str">
        <f t="shared" si="31"/>
        <v>Jun</v>
      </c>
    </row>
    <row r="991" spans="1:13" x14ac:dyDescent="0.25">
      <c r="A991" s="2">
        <v>38553</v>
      </c>
      <c r="B991" t="s">
        <v>21</v>
      </c>
      <c r="C991" t="s">
        <v>29</v>
      </c>
      <c r="D991" t="s">
        <v>28</v>
      </c>
      <c r="E991" t="s">
        <v>20</v>
      </c>
      <c r="F991" s="3">
        <v>1118.22</v>
      </c>
      <c r="G991" s="3">
        <v>1895.29</v>
      </c>
      <c r="H991" s="3">
        <f>Table1[[#This Row],[Sale]]-Table1[[#This Row],[Cost]]</f>
        <v>777.06999999999994</v>
      </c>
      <c r="I991" s="4">
        <f>Table1[[#This Row],[Profit]]/Table1[[#This Row],[Sale]]</f>
        <v>0.41000058038611503</v>
      </c>
      <c r="J991" s="5">
        <f t="shared" si="30"/>
        <v>2005</v>
      </c>
      <c r="K991" s="5">
        <f>MONTH(Table1[[#This Row],[Date]])</f>
        <v>7</v>
      </c>
      <c r="L991" s="5">
        <f>DAY(Table1[[#This Row],[Date]])</f>
        <v>20</v>
      </c>
      <c r="M991" s="5" t="str">
        <f t="shared" si="31"/>
        <v>Jul</v>
      </c>
    </row>
    <row r="992" spans="1:13" x14ac:dyDescent="0.25">
      <c r="A992" s="2">
        <v>38432</v>
      </c>
      <c r="B992" t="s">
        <v>17</v>
      </c>
      <c r="C992" t="s">
        <v>29</v>
      </c>
      <c r="D992" t="s">
        <v>28</v>
      </c>
      <c r="E992" t="s">
        <v>25</v>
      </c>
      <c r="F992" s="3">
        <v>5079.6099999999997</v>
      </c>
      <c r="G992" s="3">
        <v>9235.66</v>
      </c>
      <c r="H992" s="3">
        <f>Table1[[#This Row],[Sale]]-Table1[[#This Row],[Cost]]</f>
        <v>4156.05</v>
      </c>
      <c r="I992" s="4">
        <f>Table1[[#This Row],[Profit]]/Table1[[#This Row],[Sale]]</f>
        <v>0.45000032482789537</v>
      </c>
      <c r="J992" s="5">
        <f t="shared" si="30"/>
        <v>2005</v>
      </c>
      <c r="K992" s="5">
        <f>MONTH(Table1[[#This Row],[Date]])</f>
        <v>3</v>
      </c>
      <c r="L992" s="5">
        <f>DAY(Table1[[#This Row],[Date]])</f>
        <v>21</v>
      </c>
      <c r="M992" s="5" t="str">
        <f t="shared" si="31"/>
        <v>Mar</v>
      </c>
    </row>
    <row r="993" spans="1:13" x14ac:dyDescent="0.25">
      <c r="A993" s="2">
        <v>38215</v>
      </c>
      <c r="B993" t="s">
        <v>26</v>
      </c>
      <c r="C993" t="s">
        <v>18</v>
      </c>
      <c r="D993" t="s">
        <v>13</v>
      </c>
      <c r="E993" t="s">
        <v>25</v>
      </c>
      <c r="F993" s="3">
        <v>2095.9</v>
      </c>
      <c r="G993" s="3">
        <v>3082.21</v>
      </c>
      <c r="H993" s="3">
        <f>Table1[[#This Row],[Sale]]-Table1[[#This Row],[Cost]]</f>
        <v>986.31</v>
      </c>
      <c r="I993" s="4">
        <f>Table1[[#This Row],[Profit]]/Table1[[#This Row],[Sale]]</f>
        <v>0.32000090843907453</v>
      </c>
      <c r="J993" s="5">
        <f t="shared" si="30"/>
        <v>2004</v>
      </c>
      <c r="K993" s="5">
        <f>MONTH(Table1[[#This Row],[Date]])</f>
        <v>8</v>
      </c>
      <c r="L993" s="5">
        <f>DAY(Table1[[#This Row],[Date]])</f>
        <v>16</v>
      </c>
      <c r="M993" s="5" t="str">
        <f t="shared" si="31"/>
        <v>Aug</v>
      </c>
    </row>
    <row r="994" spans="1:13" x14ac:dyDescent="0.25">
      <c r="A994" s="2">
        <v>38237</v>
      </c>
      <c r="B994" t="s">
        <v>22</v>
      </c>
      <c r="C994" t="s">
        <v>27</v>
      </c>
      <c r="D994" t="s">
        <v>13</v>
      </c>
      <c r="E994" t="s">
        <v>14</v>
      </c>
      <c r="F994" s="3">
        <v>7884.27</v>
      </c>
      <c r="G994" s="3">
        <v>8432.3700000000008</v>
      </c>
      <c r="H994" s="3">
        <f>Table1[[#This Row],[Sale]]-Table1[[#This Row],[Cost]]</f>
        <v>548.10000000000036</v>
      </c>
      <c r="I994" s="4">
        <f>Table1[[#This Row],[Profit]]/Table1[[#This Row],[Sale]]</f>
        <v>6.4999519707982484E-2</v>
      </c>
      <c r="J994" s="5">
        <f t="shared" si="30"/>
        <v>2004</v>
      </c>
      <c r="K994" s="5">
        <f>MONTH(Table1[[#This Row],[Date]])</f>
        <v>9</v>
      </c>
      <c r="L994" s="5">
        <f>DAY(Table1[[#This Row],[Date]])</f>
        <v>7</v>
      </c>
      <c r="M994" s="5" t="str">
        <f t="shared" si="31"/>
        <v>Sep</v>
      </c>
    </row>
    <row r="995" spans="1:13" x14ac:dyDescent="0.25">
      <c r="A995" s="2">
        <v>38704</v>
      </c>
      <c r="B995" t="s">
        <v>21</v>
      </c>
      <c r="C995" t="s">
        <v>23</v>
      </c>
      <c r="D995" t="s">
        <v>13</v>
      </c>
      <c r="E995" t="s">
        <v>14</v>
      </c>
      <c r="F995" s="3">
        <v>4920.12</v>
      </c>
      <c r="G995" s="3">
        <v>8482.9699999999993</v>
      </c>
      <c r="H995" s="3">
        <f>Table1[[#This Row],[Sale]]-Table1[[#This Row],[Cost]]</f>
        <v>3562.8499999999995</v>
      </c>
      <c r="I995" s="4">
        <f>Table1[[#This Row],[Profit]]/Table1[[#This Row],[Sale]]</f>
        <v>0.4200003064964275</v>
      </c>
      <c r="J995" s="5">
        <f t="shared" si="30"/>
        <v>2005</v>
      </c>
      <c r="K995" s="5">
        <f>MONTH(Table1[[#This Row],[Date]])</f>
        <v>12</v>
      </c>
      <c r="L995" s="5">
        <f>DAY(Table1[[#This Row],[Date]])</f>
        <v>18</v>
      </c>
      <c r="M995" s="5" t="str">
        <f t="shared" si="31"/>
        <v>Dec</v>
      </c>
    </row>
    <row r="996" spans="1:13" x14ac:dyDescent="0.25">
      <c r="A996" s="2">
        <v>38260</v>
      </c>
      <c r="B996" t="s">
        <v>15</v>
      </c>
      <c r="C996" t="s">
        <v>12</v>
      </c>
      <c r="D996" t="s">
        <v>16</v>
      </c>
      <c r="E996" t="s">
        <v>20</v>
      </c>
      <c r="F996" s="3">
        <v>3236.73</v>
      </c>
      <c r="G996" s="3">
        <v>8747.93</v>
      </c>
      <c r="H996" s="3">
        <f>Table1[[#This Row],[Sale]]-Table1[[#This Row],[Cost]]</f>
        <v>5511.2000000000007</v>
      </c>
      <c r="I996" s="4">
        <f>Table1[[#This Row],[Profit]]/Table1[[#This Row],[Sale]]</f>
        <v>0.63000046868230553</v>
      </c>
      <c r="J996" s="5">
        <f t="shared" si="30"/>
        <v>2004</v>
      </c>
      <c r="K996" s="5">
        <f>MONTH(Table1[[#This Row],[Date]])</f>
        <v>9</v>
      </c>
      <c r="L996" s="5">
        <f>DAY(Table1[[#This Row],[Date]])</f>
        <v>30</v>
      </c>
      <c r="M996" s="5" t="str">
        <f t="shared" si="31"/>
        <v>Sep</v>
      </c>
    </row>
    <row r="997" spans="1:13" x14ac:dyDescent="0.25">
      <c r="A997" s="2">
        <v>38680</v>
      </c>
      <c r="B997" t="s">
        <v>11</v>
      </c>
      <c r="C997" t="s">
        <v>29</v>
      </c>
      <c r="D997" t="s">
        <v>13</v>
      </c>
      <c r="E997" t="s">
        <v>14</v>
      </c>
      <c r="F997" s="3">
        <v>3276.4</v>
      </c>
      <c r="G997" s="3">
        <v>3504.17</v>
      </c>
      <c r="H997" s="3">
        <f>Table1[[#This Row],[Sale]]-Table1[[#This Row],[Cost]]</f>
        <v>227.76999999999998</v>
      </c>
      <c r="I997" s="4">
        <f>Table1[[#This Row],[Profit]]/Table1[[#This Row],[Sale]]</f>
        <v>6.4999700357003226E-2</v>
      </c>
      <c r="J997" s="5">
        <f t="shared" si="30"/>
        <v>2005</v>
      </c>
      <c r="K997" s="5">
        <f>MONTH(Table1[[#This Row],[Date]])</f>
        <v>11</v>
      </c>
      <c r="L997" s="5">
        <f>DAY(Table1[[#This Row],[Date]])</f>
        <v>24</v>
      </c>
      <c r="M997" s="5" t="str">
        <f t="shared" si="31"/>
        <v>Nov</v>
      </c>
    </row>
    <row r="998" spans="1:13" x14ac:dyDescent="0.25">
      <c r="A998" s="2">
        <v>38601</v>
      </c>
      <c r="B998" t="s">
        <v>21</v>
      </c>
      <c r="C998" t="s">
        <v>23</v>
      </c>
      <c r="D998" t="s">
        <v>19</v>
      </c>
      <c r="E998" t="s">
        <v>14</v>
      </c>
      <c r="F998" s="3">
        <v>3619.67</v>
      </c>
      <c r="G998" s="3">
        <v>9782.8799999999992</v>
      </c>
      <c r="H998" s="3">
        <f>Table1[[#This Row],[Sale]]-Table1[[#This Row],[Cost]]</f>
        <v>6163.2099999999991</v>
      </c>
      <c r="I998" s="4">
        <f>Table1[[#This Row],[Profit]]/Table1[[#This Row],[Sale]]</f>
        <v>0.62999955023469567</v>
      </c>
      <c r="J998" s="5">
        <f t="shared" si="30"/>
        <v>2005</v>
      </c>
      <c r="K998" s="5">
        <f>MONTH(Table1[[#This Row],[Date]])</f>
        <v>9</v>
      </c>
      <c r="L998" s="5">
        <f>DAY(Table1[[#This Row],[Date]])</f>
        <v>6</v>
      </c>
      <c r="M998" s="5" t="str">
        <f t="shared" si="31"/>
        <v>Sep</v>
      </c>
    </row>
    <row r="999" spans="1:13" x14ac:dyDescent="0.25">
      <c r="A999" s="2">
        <v>38335</v>
      </c>
      <c r="B999" t="s">
        <v>22</v>
      </c>
      <c r="C999" t="s">
        <v>12</v>
      </c>
      <c r="D999" t="s">
        <v>13</v>
      </c>
      <c r="E999" t="s">
        <v>24</v>
      </c>
      <c r="F999" s="3">
        <v>4676.4399999999996</v>
      </c>
      <c r="G999" s="3">
        <v>8062.83</v>
      </c>
      <c r="H999" s="3">
        <f>Table1[[#This Row],[Sale]]-Table1[[#This Row],[Cost]]</f>
        <v>3386.3900000000003</v>
      </c>
      <c r="I999" s="4">
        <f>Table1[[#This Row],[Profit]]/Table1[[#This Row],[Sale]]</f>
        <v>0.42000017363630393</v>
      </c>
      <c r="J999" s="5">
        <f t="shared" si="30"/>
        <v>2004</v>
      </c>
      <c r="K999" s="5">
        <f>MONTH(Table1[[#This Row],[Date]])</f>
        <v>12</v>
      </c>
      <c r="L999" s="5">
        <f>DAY(Table1[[#This Row],[Date]])</f>
        <v>14</v>
      </c>
      <c r="M999" s="5" t="str">
        <f t="shared" si="31"/>
        <v>Dec</v>
      </c>
    </row>
    <row r="1000" spans="1:13" x14ac:dyDescent="0.25">
      <c r="A1000" s="2">
        <v>38155</v>
      </c>
      <c r="B1000" t="s">
        <v>11</v>
      </c>
      <c r="C1000" t="s">
        <v>12</v>
      </c>
      <c r="D1000" t="s">
        <v>28</v>
      </c>
      <c r="E1000" t="s">
        <v>25</v>
      </c>
      <c r="F1000" s="3">
        <v>5773.2</v>
      </c>
      <c r="G1000" s="3">
        <v>8490</v>
      </c>
      <c r="H1000" s="3">
        <f>Table1[[#This Row],[Sale]]-Table1[[#This Row],[Cost]]</f>
        <v>2716.8</v>
      </c>
      <c r="I1000" s="4">
        <f>Table1[[#This Row],[Profit]]/Table1[[#This Row],[Sale]]</f>
        <v>0.32</v>
      </c>
      <c r="J1000" s="5">
        <f t="shared" si="30"/>
        <v>2004</v>
      </c>
      <c r="K1000" s="5">
        <f>MONTH(Table1[[#This Row],[Date]])</f>
        <v>6</v>
      </c>
      <c r="L1000" s="5">
        <f>DAY(Table1[[#This Row],[Date]])</f>
        <v>17</v>
      </c>
      <c r="M1000" s="5" t="str">
        <f t="shared" si="31"/>
        <v>Jun</v>
      </c>
    </row>
    <row r="1001" spans="1:13" x14ac:dyDescent="0.25">
      <c r="A1001" s="2">
        <v>38598</v>
      </c>
      <c r="B1001" t="s">
        <v>21</v>
      </c>
      <c r="C1001" t="s">
        <v>23</v>
      </c>
      <c r="D1001" t="s">
        <v>13</v>
      </c>
      <c r="E1001" t="s">
        <v>14</v>
      </c>
      <c r="F1001" s="3">
        <v>986.93</v>
      </c>
      <c r="G1001" s="3">
        <v>2193.1799999999998</v>
      </c>
      <c r="H1001" s="3">
        <f>Table1[[#This Row],[Sale]]-Table1[[#This Row],[Cost]]</f>
        <v>1206.25</v>
      </c>
      <c r="I1001" s="4">
        <f>Table1[[#This Row],[Profit]]/Table1[[#This Row],[Sale]]</f>
        <v>0.55000045595892721</v>
      </c>
      <c r="J1001" s="5">
        <f t="shared" si="30"/>
        <v>2005</v>
      </c>
      <c r="K1001" s="5">
        <f>MONTH(Table1[[#This Row],[Date]])</f>
        <v>9</v>
      </c>
      <c r="L1001" s="5">
        <f>DAY(Table1[[#This Row],[Date]])</f>
        <v>3</v>
      </c>
      <c r="M1001" s="5" t="str">
        <f t="shared" si="31"/>
        <v>Sep</v>
      </c>
    </row>
    <row r="1002" spans="1:13" x14ac:dyDescent="0.25">
      <c r="A1002" s="2">
        <v>38160</v>
      </c>
      <c r="B1002" t="s">
        <v>26</v>
      </c>
      <c r="C1002" t="s">
        <v>18</v>
      </c>
      <c r="D1002" t="s">
        <v>28</v>
      </c>
      <c r="E1002" t="s">
        <v>24</v>
      </c>
      <c r="F1002" s="3">
        <v>2687.97</v>
      </c>
      <c r="G1002" s="3">
        <v>4634.43</v>
      </c>
      <c r="H1002" s="3">
        <f>Table1[[#This Row],[Sale]]-Table1[[#This Row],[Cost]]</f>
        <v>1946.4600000000005</v>
      </c>
      <c r="I1002" s="4">
        <f>Table1[[#This Row],[Profit]]/Table1[[#This Row],[Sale]]</f>
        <v>0.41999987053424054</v>
      </c>
      <c r="J1002" s="5">
        <f t="shared" si="30"/>
        <v>2004</v>
      </c>
      <c r="K1002" s="5">
        <f>MONTH(Table1[[#This Row],[Date]])</f>
        <v>6</v>
      </c>
      <c r="L1002" s="5">
        <f>DAY(Table1[[#This Row],[Date]])</f>
        <v>22</v>
      </c>
      <c r="M1002" s="5" t="str">
        <f t="shared" si="31"/>
        <v>Jun</v>
      </c>
    </row>
    <row r="1003" spans="1:13" x14ac:dyDescent="0.25">
      <c r="A1003" s="2">
        <v>38427</v>
      </c>
      <c r="B1003" t="s">
        <v>22</v>
      </c>
      <c r="C1003" t="s">
        <v>27</v>
      </c>
      <c r="D1003" t="s">
        <v>13</v>
      </c>
      <c r="E1003" t="s">
        <v>14</v>
      </c>
      <c r="F1003" s="3">
        <v>605.97</v>
      </c>
      <c r="G1003" s="3">
        <v>1101.77</v>
      </c>
      <c r="H1003" s="3">
        <f>Table1[[#This Row],[Sale]]-Table1[[#This Row],[Cost]]</f>
        <v>495.79999999999995</v>
      </c>
      <c r="I1003" s="4">
        <f>Table1[[#This Row],[Profit]]/Table1[[#This Row],[Sale]]</f>
        <v>0.45000317670657214</v>
      </c>
      <c r="J1003" s="5">
        <f t="shared" si="30"/>
        <v>2005</v>
      </c>
      <c r="K1003" s="5">
        <f>MONTH(Table1[[#This Row],[Date]])</f>
        <v>3</v>
      </c>
      <c r="L1003" s="5">
        <f>DAY(Table1[[#This Row],[Date]])</f>
        <v>16</v>
      </c>
      <c r="M1003" s="5" t="str">
        <f t="shared" si="31"/>
        <v>Mar</v>
      </c>
    </row>
    <row r="1004" spans="1:13" x14ac:dyDescent="0.25">
      <c r="A1004" s="2">
        <v>38302</v>
      </c>
      <c r="B1004" t="s">
        <v>15</v>
      </c>
      <c r="C1004" t="s">
        <v>23</v>
      </c>
      <c r="D1004" t="s">
        <v>28</v>
      </c>
      <c r="E1004" t="s">
        <v>20</v>
      </c>
      <c r="F1004" s="3">
        <v>1819.99</v>
      </c>
      <c r="G1004" s="3">
        <v>4044.42</v>
      </c>
      <c r="H1004" s="3">
        <f>Table1[[#This Row],[Sale]]-Table1[[#This Row],[Cost]]</f>
        <v>2224.4300000000003</v>
      </c>
      <c r="I1004" s="4">
        <f>Table1[[#This Row],[Profit]]/Table1[[#This Row],[Sale]]</f>
        <v>0.54999975274575841</v>
      </c>
      <c r="J1004" s="5">
        <f t="shared" si="30"/>
        <v>2004</v>
      </c>
      <c r="K1004" s="5">
        <f>MONTH(Table1[[#This Row],[Date]])</f>
        <v>11</v>
      </c>
      <c r="L1004" s="5">
        <f>DAY(Table1[[#This Row],[Date]])</f>
        <v>11</v>
      </c>
      <c r="M1004" s="5" t="str">
        <f t="shared" si="31"/>
        <v>Nov</v>
      </c>
    </row>
    <row r="1005" spans="1:13" x14ac:dyDescent="0.25">
      <c r="A1005" s="2">
        <v>38753</v>
      </c>
      <c r="B1005" t="s">
        <v>17</v>
      </c>
      <c r="C1005" t="s">
        <v>12</v>
      </c>
      <c r="D1005" t="s">
        <v>28</v>
      </c>
      <c r="E1005" t="s">
        <v>25</v>
      </c>
      <c r="F1005" s="3">
        <v>375.85</v>
      </c>
      <c r="G1005" s="3">
        <v>1015.81</v>
      </c>
      <c r="H1005" s="3">
        <f>Table1[[#This Row],[Sale]]-Table1[[#This Row],[Cost]]</f>
        <v>639.95999999999992</v>
      </c>
      <c r="I1005" s="4">
        <f>Table1[[#This Row],[Profit]]/Table1[[#This Row],[Sale]]</f>
        <v>0.6299997046691802</v>
      </c>
      <c r="J1005" s="5">
        <f t="shared" si="30"/>
        <v>2006</v>
      </c>
      <c r="K1005" s="5">
        <f>MONTH(Table1[[#This Row],[Date]])</f>
        <v>2</v>
      </c>
      <c r="L1005" s="5">
        <f>DAY(Table1[[#This Row],[Date]])</f>
        <v>5</v>
      </c>
      <c r="M1005" s="5" t="str">
        <f t="shared" si="31"/>
        <v>Feb</v>
      </c>
    </row>
    <row r="1006" spans="1:13" x14ac:dyDescent="0.25">
      <c r="A1006" s="2">
        <v>38609</v>
      </c>
      <c r="B1006" t="s">
        <v>22</v>
      </c>
      <c r="C1006" t="s">
        <v>27</v>
      </c>
      <c r="D1006" t="s">
        <v>28</v>
      </c>
      <c r="E1006" t="s">
        <v>14</v>
      </c>
      <c r="F1006" s="3">
        <v>8115.05</v>
      </c>
      <c r="G1006" s="3">
        <v>8679.2000000000007</v>
      </c>
      <c r="H1006" s="3">
        <f>Table1[[#This Row],[Sale]]-Table1[[#This Row],[Cost]]</f>
        <v>564.15000000000055</v>
      </c>
      <c r="I1006" s="4">
        <f>Table1[[#This Row],[Profit]]/Table1[[#This Row],[Sale]]</f>
        <v>6.5000230435984935E-2</v>
      </c>
      <c r="J1006" s="5">
        <f t="shared" si="30"/>
        <v>2005</v>
      </c>
      <c r="K1006" s="5">
        <f>MONTH(Table1[[#This Row],[Date]])</f>
        <v>9</v>
      </c>
      <c r="L1006" s="5">
        <f>DAY(Table1[[#This Row],[Date]])</f>
        <v>14</v>
      </c>
      <c r="M1006" s="5" t="str">
        <f t="shared" si="31"/>
        <v>Sep</v>
      </c>
    </row>
    <row r="1007" spans="1:13" x14ac:dyDescent="0.25">
      <c r="A1007" s="2">
        <v>38869</v>
      </c>
      <c r="B1007" t="s">
        <v>22</v>
      </c>
      <c r="C1007" t="s">
        <v>23</v>
      </c>
      <c r="D1007" t="s">
        <v>13</v>
      </c>
      <c r="E1007" t="s">
        <v>24</v>
      </c>
      <c r="F1007" s="3">
        <v>296.60000000000002</v>
      </c>
      <c r="G1007" s="3">
        <v>539.27</v>
      </c>
      <c r="H1007" s="3">
        <f>Table1[[#This Row],[Sale]]-Table1[[#This Row],[Cost]]</f>
        <v>242.66999999999996</v>
      </c>
      <c r="I1007" s="4">
        <f>Table1[[#This Row],[Profit]]/Table1[[#This Row],[Sale]]</f>
        <v>0.44999721846199486</v>
      </c>
      <c r="J1007" s="5">
        <f t="shared" si="30"/>
        <v>2006</v>
      </c>
      <c r="K1007" s="5">
        <f>MONTH(Table1[[#This Row],[Date]])</f>
        <v>6</v>
      </c>
      <c r="L1007" s="5">
        <f>DAY(Table1[[#This Row],[Date]])</f>
        <v>1</v>
      </c>
      <c r="M1007" s="5" t="str">
        <f t="shared" si="31"/>
        <v>Jun</v>
      </c>
    </row>
    <row r="1008" spans="1:13" x14ac:dyDescent="0.25">
      <c r="A1008" s="2">
        <v>38656</v>
      </c>
      <c r="B1008" t="s">
        <v>17</v>
      </c>
      <c r="C1008" t="s">
        <v>23</v>
      </c>
      <c r="D1008" t="s">
        <v>19</v>
      </c>
      <c r="E1008" t="s">
        <v>14</v>
      </c>
      <c r="F1008" s="3">
        <v>5670.66</v>
      </c>
      <c r="G1008" s="3">
        <v>9611.2800000000007</v>
      </c>
      <c r="H1008" s="3">
        <f>Table1[[#This Row],[Sale]]-Table1[[#This Row],[Cost]]</f>
        <v>3940.6200000000008</v>
      </c>
      <c r="I1008" s="4">
        <f>Table1[[#This Row],[Profit]]/Table1[[#This Row],[Sale]]</f>
        <v>0.40999950058681056</v>
      </c>
      <c r="J1008" s="5">
        <f t="shared" si="30"/>
        <v>2005</v>
      </c>
      <c r="K1008" s="5">
        <f>MONTH(Table1[[#This Row],[Date]])</f>
        <v>10</v>
      </c>
      <c r="L1008" s="5">
        <f>DAY(Table1[[#This Row],[Date]])</f>
        <v>31</v>
      </c>
      <c r="M1008" s="5" t="str">
        <f t="shared" si="31"/>
        <v>Oct</v>
      </c>
    </row>
    <row r="1009" spans="1:13" x14ac:dyDescent="0.25">
      <c r="A1009" s="2">
        <v>38850</v>
      </c>
      <c r="B1009" t="s">
        <v>11</v>
      </c>
      <c r="C1009" t="s">
        <v>29</v>
      </c>
      <c r="D1009" t="s">
        <v>13</v>
      </c>
      <c r="E1009" t="s">
        <v>20</v>
      </c>
      <c r="F1009" s="3">
        <v>927.62</v>
      </c>
      <c r="G1009" s="3">
        <v>2507.09</v>
      </c>
      <c r="H1009" s="3">
        <f>Table1[[#This Row],[Sale]]-Table1[[#This Row],[Cost]]</f>
        <v>1579.4700000000003</v>
      </c>
      <c r="I1009" s="4">
        <f>Table1[[#This Row],[Profit]]/Table1[[#This Row],[Sale]]</f>
        <v>0.63000131626706668</v>
      </c>
      <c r="J1009" s="5">
        <f t="shared" si="30"/>
        <v>2006</v>
      </c>
      <c r="K1009" s="5">
        <f>MONTH(Table1[[#This Row],[Date]])</f>
        <v>5</v>
      </c>
      <c r="L1009" s="5">
        <f>DAY(Table1[[#This Row],[Date]])</f>
        <v>13</v>
      </c>
      <c r="M1009" s="5" t="str">
        <f t="shared" si="31"/>
        <v>May</v>
      </c>
    </row>
    <row r="1010" spans="1:13" x14ac:dyDescent="0.25">
      <c r="A1010" s="2">
        <v>38773</v>
      </c>
      <c r="B1010" t="s">
        <v>22</v>
      </c>
      <c r="C1010" t="s">
        <v>27</v>
      </c>
      <c r="D1010" t="s">
        <v>19</v>
      </c>
      <c r="E1010" t="s">
        <v>25</v>
      </c>
      <c r="F1010" s="3">
        <v>2306.77</v>
      </c>
      <c r="G1010" s="3">
        <v>6234.51</v>
      </c>
      <c r="H1010" s="3">
        <f>Table1[[#This Row],[Sale]]-Table1[[#This Row],[Cost]]</f>
        <v>3927.7400000000002</v>
      </c>
      <c r="I1010" s="4">
        <f>Table1[[#This Row],[Profit]]/Table1[[#This Row],[Sale]]</f>
        <v>0.62999979148321206</v>
      </c>
      <c r="J1010" s="5">
        <f t="shared" si="30"/>
        <v>2006</v>
      </c>
      <c r="K1010" s="5">
        <f>MONTH(Table1[[#This Row],[Date]])</f>
        <v>2</v>
      </c>
      <c r="L1010" s="5">
        <f>DAY(Table1[[#This Row],[Date]])</f>
        <v>25</v>
      </c>
      <c r="M1010" s="5" t="str">
        <f t="shared" si="31"/>
        <v>Feb</v>
      </c>
    </row>
    <row r="1011" spans="1:13" x14ac:dyDescent="0.25">
      <c r="A1011" s="2">
        <v>38368</v>
      </c>
      <c r="B1011" t="s">
        <v>21</v>
      </c>
      <c r="C1011" t="s">
        <v>12</v>
      </c>
      <c r="D1011" t="s">
        <v>28</v>
      </c>
      <c r="E1011" t="s">
        <v>20</v>
      </c>
      <c r="F1011" s="3">
        <v>2476.4</v>
      </c>
      <c r="G1011" s="3">
        <v>5759.06</v>
      </c>
      <c r="H1011" s="3">
        <f>Table1[[#This Row],[Sale]]-Table1[[#This Row],[Cost]]</f>
        <v>3282.6600000000003</v>
      </c>
      <c r="I1011" s="4">
        <f>Table1[[#This Row],[Profit]]/Table1[[#This Row],[Sale]]</f>
        <v>0.569999270714318</v>
      </c>
      <c r="J1011" s="5">
        <f t="shared" si="30"/>
        <v>2005</v>
      </c>
      <c r="K1011" s="5">
        <f>MONTH(Table1[[#This Row],[Date]])</f>
        <v>1</v>
      </c>
      <c r="L1011" s="5">
        <f>DAY(Table1[[#This Row],[Date]])</f>
        <v>16</v>
      </c>
      <c r="M1011" s="5" t="str">
        <f t="shared" si="31"/>
        <v>Jan</v>
      </c>
    </row>
    <row r="1012" spans="1:13" x14ac:dyDescent="0.25">
      <c r="A1012" s="2">
        <v>38820</v>
      </c>
      <c r="B1012" t="s">
        <v>15</v>
      </c>
      <c r="C1012" t="s">
        <v>27</v>
      </c>
      <c r="D1012" t="s">
        <v>28</v>
      </c>
      <c r="E1012" t="s">
        <v>14</v>
      </c>
      <c r="F1012" s="3">
        <v>5416.99</v>
      </c>
      <c r="G1012" s="3">
        <v>5793.57</v>
      </c>
      <c r="H1012" s="3">
        <f>Table1[[#This Row],[Sale]]-Table1[[#This Row],[Cost]]</f>
        <v>376.57999999999993</v>
      </c>
      <c r="I1012" s="4">
        <f>Table1[[#This Row],[Profit]]/Table1[[#This Row],[Sale]]</f>
        <v>6.499964615944917E-2</v>
      </c>
      <c r="J1012" s="5">
        <f t="shared" si="30"/>
        <v>2006</v>
      </c>
      <c r="K1012" s="5">
        <f>MONTH(Table1[[#This Row],[Date]])</f>
        <v>4</v>
      </c>
      <c r="L1012" s="5">
        <f>DAY(Table1[[#This Row],[Date]])</f>
        <v>13</v>
      </c>
      <c r="M1012" s="5" t="str">
        <f t="shared" si="31"/>
        <v>Apr</v>
      </c>
    </row>
    <row r="1013" spans="1:13" x14ac:dyDescent="0.25">
      <c r="A1013" s="2">
        <v>38416</v>
      </c>
      <c r="B1013" t="s">
        <v>22</v>
      </c>
      <c r="C1013" t="s">
        <v>27</v>
      </c>
      <c r="D1013" t="s">
        <v>16</v>
      </c>
      <c r="E1013" t="s">
        <v>24</v>
      </c>
      <c r="F1013" s="3">
        <v>796.03</v>
      </c>
      <c r="G1013" s="3">
        <v>1447.32</v>
      </c>
      <c r="H1013" s="3">
        <f>Table1[[#This Row],[Sale]]-Table1[[#This Row],[Cost]]</f>
        <v>651.29</v>
      </c>
      <c r="I1013" s="4">
        <f>Table1[[#This Row],[Profit]]/Table1[[#This Row],[Sale]]</f>
        <v>0.44999723627117705</v>
      </c>
      <c r="J1013" s="5">
        <f t="shared" si="30"/>
        <v>2005</v>
      </c>
      <c r="K1013" s="5">
        <f>MONTH(Table1[[#This Row],[Date]])</f>
        <v>3</v>
      </c>
      <c r="L1013" s="5">
        <f>DAY(Table1[[#This Row],[Date]])</f>
        <v>5</v>
      </c>
      <c r="M1013" s="5" t="str">
        <f t="shared" si="31"/>
        <v>Mar</v>
      </c>
    </row>
    <row r="1014" spans="1:13" x14ac:dyDescent="0.25">
      <c r="A1014" s="2">
        <v>38764</v>
      </c>
      <c r="B1014" t="s">
        <v>17</v>
      </c>
      <c r="C1014" t="s">
        <v>27</v>
      </c>
      <c r="D1014" t="s">
        <v>19</v>
      </c>
      <c r="E1014" t="s">
        <v>14</v>
      </c>
      <c r="F1014" s="3">
        <v>83.82</v>
      </c>
      <c r="G1014" s="3">
        <v>95.25</v>
      </c>
      <c r="H1014" s="3">
        <f>Table1[[#This Row],[Sale]]-Table1[[#This Row],[Cost]]</f>
        <v>11.430000000000007</v>
      </c>
      <c r="I1014" s="4">
        <f>Table1[[#This Row],[Profit]]/Table1[[#This Row],[Sale]]</f>
        <v>0.12000000000000006</v>
      </c>
      <c r="J1014" s="5">
        <f t="shared" si="30"/>
        <v>2006</v>
      </c>
      <c r="K1014" s="5">
        <f>MONTH(Table1[[#This Row],[Date]])</f>
        <v>2</v>
      </c>
      <c r="L1014" s="5">
        <f>DAY(Table1[[#This Row],[Date]])</f>
        <v>16</v>
      </c>
      <c r="M1014" s="5" t="str">
        <f t="shared" si="31"/>
        <v>Feb</v>
      </c>
    </row>
    <row r="1015" spans="1:13" x14ac:dyDescent="0.25">
      <c r="A1015" s="2">
        <v>38749</v>
      </c>
      <c r="B1015" t="s">
        <v>11</v>
      </c>
      <c r="C1015" t="s">
        <v>27</v>
      </c>
      <c r="D1015" t="s">
        <v>19</v>
      </c>
      <c r="E1015" t="s">
        <v>14</v>
      </c>
      <c r="F1015" s="3">
        <v>2812.14</v>
      </c>
      <c r="G1015" s="3">
        <v>3195.61</v>
      </c>
      <c r="H1015" s="3">
        <f>Table1[[#This Row],[Sale]]-Table1[[#This Row],[Cost]]</f>
        <v>383.47000000000025</v>
      </c>
      <c r="I1015" s="4">
        <f>Table1[[#This Row],[Profit]]/Table1[[#This Row],[Sale]]</f>
        <v>0.11999899862624044</v>
      </c>
      <c r="J1015" s="5">
        <f t="shared" si="30"/>
        <v>2006</v>
      </c>
      <c r="K1015" s="5">
        <f>MONTH(Table1[[#This Row],[Date]])</f>
        <v>2</v>
      </c>
      <c r="L1015" s="5">
        <f>DAY(Table1[[#This Row],[Date]])</f>
        <v>1</v>
      </c>
      <c r="M1015" s="5" t="str">
        <f t="shared" si="31"/>
        <v>Feb</v>
      </c>
    </row>
    <row r="1016" spans="1:13" x14ac:dyDescent="0.25">
      <c r="A1016" s="2">
        <v>38290</v>
      </c>
      <c r="B1016" t="s">
        <v>17</v>
      </c>
      <c r="C1016" t="s">
        <v>12</v>
      </c>
      <c r="D1016" t="s">
        <v>13</v>
      </c>
      <c r="E1016" t="s">
        <v>14</v>
      </c>
      <c r="F1016" s="3">
        <v>1438.47</v>
      </c>
      <c r="G1016" s="3">
        <v>1634.63</v>
      </c>
      <c r="H1016" s="3">
        <f>Table1[[#This Row],[Sale]]-Table1[[#This Row],[Cost]]</f>
        <v>196.16000000000008</v>
      </c>
      <c r="I1016" s="4">
        <f>Table1[[#This Row],[Profit]]/Table1[[#This Row],[Sale]]</f>
        <v>0.1200026917406386</v>
      </c>
      <c r="J1016" s="5">
        <f t="shared" si="30"/>
        <v>2004</v>
      </c>
      <c r="K1016" s="5">
        <f>MONTH(Table1[[#This Row],[Date]])</f>
        <v>10</v>
      </c>
      <c r="L1016" s="5">
        <f>DAY(Table1[[#This Row],[Date]])</f>
        <v>30</v>
      </c>
      <c r="M1016" s="5" t="str">
        <f t="shared" si="31"/>
        <v>Oct</v>
      </c>
    </row>
    <row r="1017" spans="1:13" x14ac:dyDescent="0.25">
      <c r="A1017" s="2">
        <v>38335</v>
      </c>
      <c r="B1017" t="s">
        <v>22</v>
      </c>
      <c r="C1017" t="s">
        <v>29</v>
      </c>
      <c r="D1017" t="s">
        <v>13</v>
      </c>
      <c r="E1017" t="s">
        <v>20</v>
      </c>
      <c r="F1017" s="3">
        <v>5300.66</v>
      </c>
      <c r="G1017" s="3">
        <v>5669.16</v>
      </c>
      <c r="H1017" s="3">
        <f>Table1[[#This Row],[Sale]]-Table1[[#This Row],[Cost]]</f>
        <v>368.5</v>
      </c>
      <c r="I1017" s="4">
        <f>Table1[[#This Row],[Profit]]/Table1[[#This Row],[Sale]]</f>
        <v>6.5000811407686501E-2</v>
      </c>
      <c r="J1017" s="5">
        <f t="shared" si="30"/>
        <v>2004</v>
      </c>
      <c r="K1017" s="5">
        <f>MONTH(Table1[[#This Row],[Date]])</f>
        <v>12</v>
      </c>
      <c r="L1017" s="5">
        <f>DAY(Table1[[#This Row],[Date]])</f>
        <v>14</v>
      </c>
      <c r="M1017" s="5" t="str">
        <f t="shared" si="31"/>
        <v>Dec</v>
      </c>
    </row>
    <row r="1018" spans="1:13" x14ac:dyDescent="0.25">
      <c r="A1018" s="2">
        <v>38799</v>
      </c>
      <c r="B1018" t="s">
        <v>11</v>
      </c>
      <c r="C1018" t="s">
        <v>23</v>
      </c>
      <c r="D1018" t="s">
        <v>19</v>
      </c>
      <c r="E1018" t="s">
        <v>14</v>
      </c>
      <c r="F1018" s="3">
        <v>5256.5</v>
      </c>
      <c r="G1018" s="3">
        <v>8909.33</v>
      </c>
      <c r="H1018" s="3">
        <f>Table1[[#This Row],[Sale]]-Table1[[#This Row],[Cost]]</f>
        <v>3652.83</v>
      </c>
      <c r="I1018" s="4">
        <f>Table1[[#This Row],[Profit]]/Table1[[#This Row],[Sale]]</f>
        <v>0.41000052753686306</v>
      </c>
      <c r="J1018" s="5">
        <f t="shared" si="30"/>
        <v>2006</v>
      </c>
      <c r="K1018" s="5">
        <f>MONTH(Table1[[#This Row],[Date]])</f>
        <v>3</v>
      </c>
      <c r="L1018" s="5">
        <f>DAY(Table1[[#This Row],[Date]])</f>
        <v>23</v>
      </c>
      <c r="M1018" s="5" t="str">
        <f t="shared" si="31"/>
        <v>Mar</v>
      </c>
    </row>
    <row r="1019" spans="1:13" x14ac:dyDescent="0.25">
      <c r="A1019" s="2">
        <v>38512</v>
      </c>
      <c r="B1019" t="s">
        <v>22</v>
      </c>
      <c r="C1019" t="s">
        <v>18</v>
      </c>
      <c r="D1019" t="s">
        <v>13</v>
      </c>
      <c r="E1019" t="s">
        <v>20</v>
      </c>
      <c r="F1019" s="3">
        <v>1201.18</v>
      </c>
      <c r="G1019" s="3">
        <v>3246.44</v>
      </c>
      <c r="H1019" s="3">
        <f>Table1[[#This Row],[Sale]]-Table1[[#This Row],[Cost]]</f>
        <v>2045.26</v>
      </c>
      <c r="I1019" s="4">
        <f>Table1[[#This Row],[Profit]]/Table1[[#This Row],[Sale]]</f>
        <v>0.63000086248321241</v>
      </c>
      <c r="J1019" s="5">
        <f t="shared" si="30"/>
        <v>2005</v>
      </c>
      <c r="K1019" s="5">
        <f>MONTH(Table1[[#This Row],[Date]])</f>
        <v>6</v>
      </c>
      <c r="L1019" s="5">
        <f>DAY(Table1[[#This Row],[Date]])</f>
        <v>9</v>
      </c>
      <c r="M1019" s="5" t="str">
        <f t="shared" si="31"/>
        <v>Jun</v>
      </c>
    </row>
    <row r="1020" spans="1:13" x14ac:dyDescent="0.25">
      <c r="A1020" s="2">
        <v>38159</v>
      </c>
      <c r="B1020" t="s">
        <v>22</v>
      </c>
      <c r="C1020" t="s">
        <v>12</v>
      </c>
      <c r="D1020" t="s">
        <v>13</v>
      </c>
      <c r="E1020" t="s">
        <v>20</v>
      </c>
      <c r="F1020" s="3">
        <v>285.08</v>
      </c>
      <c r="G1020" s="3">
        <v>662.97</v>
      </c>
      <c r="H1020" s="3">
        <f>Table1[[#This Row],[Sale]]-Table1[[#This Row],[Cost]]</f>
        <v>377.89000000000004</v>
      </c>
      <c r="I1020" s="4">
        <f>Table1[[#This Row],[Profit]]/Table1[[#This Row],[Sale]]</f>
        <v>0.56999562574475471</v>
      </c>
      <c r="J1020" s="5">
        <f t="shared" si="30"/>
        <v>2004</v>
      </c>
      <c r="K1020" s="5">
        <f>MONTH(Table1[[#This Row],[Date]])</f>
        <v>6</v>
      </c>
      <c r="L1020" s="5">
        <f>DAY(Table1[[#This Row],[Date]])</f>
        <v>21</v>
      </c>
      <c r="M1020" s="5" t="str">
        <f t="shared" si="31"/>
        <v>Jun</v>
      </c>
    </row>
    <row r="1021" spans="1:13" x14ac:dyDescent="0.25">
      <c r="A1021" s="2">
        <v>38693</v>
      </c>
      <c r="B1021" t="s">
        <v>15</v>
      </c>
      <c r="C1021" t="s">
        <v>18</v>
      </c>
      <c r="D1021" t="s">
        <v>19</v>
      </c>
      <c r="E1021" t="s">
        <v>24</v>
      </c>
      <c r="F1021" s="3">
        <v>1857.5</v>
      </c>
      <c r="G1021" s="3">
        <v>3148.3</v>
      </c>
      <c r="H1021" s="3">
        <f>Table1[[#This Row],[Sale]]-Table1[[#This Row],[Cost]]</f>
        <v>1290.8000000000002</v>
      </c>
      <c r="I1021" s="4">
        <f>Table1[[#This Row],[Profit]]/Table1[[#This Row],[Sale]]</f>
        <v>0.40999904710478674</v>
      </c>
      <c r="J1021" s="5">
        <f t="shared" si="30"/>
        <v>2005</v>
      </c>
      <c r="K1021" s="5">
        <f>MONTH(Table1[[#This Row],[Date]])</f>
        <v>12</v>
      </c>
      <c r="L1021" s="5">
        <f>DAY(Table1[[#This Row],[Date]])</f>
        <v>7</v>
      </c>
      <c r="M1021" s="5" t="str">
        <f t="shared" si="31"/>
        <v>Dec</v>
      </c>
    </row>
    <row r="1022" spans="1:13" x14ac:dyDescent="0.25">
      <c r="A1022" s="2">
        <v>38567</v>
      </c>
      <c r="B1022" t="s">
        <v>15</v>
      </c>
      <c r="C1022" t="s">
        <v>23</v>
      </c>
      <c r="D1022" t="s">
        <v>28</v>
      </c>
      <c r="E1022" t="s">
        <v>25</v>
      </c>
      <c r="F1022" s="3">
        <v>8814.57</v>
      </c>
      <c r="G1022" s="3">
        <v>9427.35</v>
      </c>
      <c r="H1022" s="3">
        <f>Table1[[#This Row],[Sale]]-Table1[[#This Row],[Cost]]</f>
        <v>612.78000000000065</v>
      </c>
      <c r="I1022" s="4">
        <f>Table1[[#This Row],[Profit]]/Table1[[#This Row],[Sale]]</f>
        <v>6.5000238667281968E-2</v>
      </c>
      <c r="J1022" s="5">
        <f t="shared" si="30"/>
        <v>2005</v>
      </c>
      <c r="K1022" s="5">
        <f>MONTH(Table1[[#This Row],[Date]])</f>
        <v>8</v>
      </c>
      <c r="L1022" s="5">
        <f>DAY(Table1[[#This Row],[Date]])</f>
        <v>3</v>
      </c>
      <c r="M1022" s="5" t="str">
        <f t="shared" si="31"/>
        <v>Aug</v>
      </c>
    </row>
    <row r="1023" spans="1:13" x14ac:dyDescent="0.25">
      <c r="A1023" s="2">
        <v>38862</v>
      </c>
      <c r="B1023" t="s">
        <v>22</v>
      </c>
      <c r="C1023" t="s">
        <v>27</v>
      </c>
      <c r="D1023" t="s">
        <v>16</v>
      </c>
      <c r="E1023" t="s">
        <v>24</v>
      </c>
      <c r="F1023" s="3">
        <v>1259.07</v>
      </c>
      <c r="G1023" s="3">
        <v>2928.08</v>
      </c>
      <c r="H1023" s="3">
        <f>Table1[[#This Row],[Sale]]-Table1[[#This Row],[Cost]]</f>
        <v>1669.01</v>
      </c>
      <c r="I1023" s="4">
        <f>Table1[[#This Row],[Profit]]/Table1[[#This Row],[Sale]]</f>
        <v>0.57000150269118333</v>
      </c>
      <c r="J1023" s="5">
        <f t="shared" si="30"/>
        <v>2006</v>
      </c>
      <c r="K1023" s="5">
        <f>MONTH(Table1[[#This Row],[Date]])</f>
        <v>5</v>
      </c>
      <c r="L1023" s="5">
        <f>DAY(Table1[[#This Row],[Date]])</f>
        <v>25</v>
      </c>
      <c r="M1023" s="5" t="str">
        <f t="shared" si="31"/>
        <v>May</v>
      </c>
    </row>
    <row r="1024" spans="1:13" x14ac:dyDescent="0.25">
      <c r="A1024" s="2">
        <v>38454</v>
      </c>
      <c r="B1024" t="s">
        <v>21</v>
      </c>
      <c r="C1024" t="s">
        <v>29</v>
      </c>
      <c r="D1024" t="s">
        <v>19</v>
      </c>
      <c r="E1024" t="s">
        <v>24</v>
      </c>
      <c r="F1024" s="3">
        <v>7061.43</v>
      </c>
      <c r="G1024" s="3">
        <v>7552.33</v>
      </c>
      <c r="H1024" s="3">
        <f>Table1[[#This Row],[Sale]]-Table1[[#This Row],[Cost]]</f>
        <v>490.89999999999964</v>
      </c>
      <c r="I1024" s="4">
        <f>Table1[[#This Row],[Profit]]/Table1[[#This Row],[Sale]]</f>
        <v>6.4999808006270865E-2</v>
      </c>
      <c r="J1024" s="5">
        <f t="shared" si="30"/>
        <v>2005</v>
      </c>
      <c r="K1024" s="5">
        <f>MONTH(Table1[[#This Row],[Date]])</f>
        <v>4</v>
      </c>
      <c r="L1024" s="5">
        <f>DAY(Table1[[#This Row],[Date]])</f>
        <v>12</v>
      </c>
      <c r="M1024" s="5" t="str">
        <f t="shared" si="31"/>
        <v>Apr</v>
      </c>
    </row>
    <row r="1025" spans="1:13" x14ac:dyDescent="0.25">
      <c r="A1025" s="2">
        <v>38350</v>
      </c>
      <c r="B1025" t="s">
        <v>26</v>
      </c>
      <c r="C1025" t="s">
        <v>27</v>
      </c>
      <c r="D1025" t="s">
        <v>19</v>
      </c>
      <c r="E1025" t="s">
        <v>14</v>
      </c>
      <c r="F1025" s="3">
        <v>6379.41</v>
      </c>
      <c r="G1025" s="3">
        <v>6822.9</v>
      </c>
      <c r="H1025" s="3">
        <f>Table1[[#This Row],[Sale]]-Table1[[#This Row],[Cost]]</f>
        <v>443.48999999999978</v>
      </c>
      <c r="I1025" s="4">
        <f>Table1[[#This Row],[Profit]]/Table1[[#This Row],[Sale]]</f>
        <v>6.5000219847865248E-2</v>
      </c>
      <c r="J1025" s="5">
        <f t="shared" si="30"/>
        <v>2004</v>
      </c>
      <c r="K1025" s="5">
        <f>MONTH(Table1[[#This Row],[Date]])</f>
        <v>12</v>
      </c>
      <c r="L1025" s="5">
        <f>DAY(Table1[[#This Row],[Date]])</f>
        <v>29</v>
      </c>
      <c r="M1025" s="5" t="str">
        <f t="shared" si="31"/>
        <v>Dec</v>
      </c>
    </row>
    <row r="1026" spans="1:13" x14ac:dyDescent="0.25">
      <c r="A1026" s="2">
        <v>38505</v>
      </c>
      <c r="B1026" t="s">
        <v>22</v>
      </c>
      <c r="C1026" t="s">
        <v>29</v>
      </c>
      <c r="D1026" t="s">
        <v>28</v>
      </c>
      <c r="E1026" t="s">
        <v>24</v>
      </c>
      <c r="F1026" s="3">
        <v>4484.8999999999996</v>
      </c>
      <c r="G1026" s="3">
        <v>5096.4799999999996</v>
      </c>
      <c r="H1026" s="3">
        <f>Table1[[#This Row],[Sale]]-Table1[[#This Row],[Cost]]</f>
        <v>611.57999999999993</v>
      </c>
      <c r="I1026" s="4">
        <f>Table1[[#This Row],[Profit]]/Table1[[#This Row],[Sale]]</f>
        <v>0.12000047091325777</v>
      </c>
      <c r="J1026" s="5">
        <f t="shared" ref="J1026:J1089" si="32">YEAR(A:A)</f>
        <v>2005</v>
      </c>
      <c r="K1026" s="5">
        <f>MONTH(Table1[[#This Row],[Date]])</f>
        <v>6</v>
      </c>
      <c r="L1026" s="5">
        <f>DAY(Table1[[#This Row],[Date]])</f>
        <v>2</v>
      </c>
      <c r="M1026" s="5" t="str">
        <f t="shared" ref="M1026:M1089" si="33">CHOOSE(K1026,"Jan", "Feb", "Mar", "Apr", "May", "Jun", "Jul", "Aug", "Sep", "Oct", "Nov", "Dec")</f>
        <v>Jun</v>
      </c>
    </row>
    <row r="1027" spans="1:13" x14ac:dyDescent="0.25">
      <c r="A1027" s="2">
        <v>38550</v>
      </c>
      <c r="B1027" t="s">
        <v>15</v>
      </c>
      <c r="C1027" t="s">
        <v>27</v>
      </c>
      <c r="D1027" t="s">
        <v>16</v>
      </c>
      <c r="E1027" t="s">
        <v>20</v>
      </c>
      <c r="F1027" s="3">
        <v>5375.15</v>
      </c>
      <c r="G1027" s="3">
        <v>6108.12</v>
      </c>
      <c r="H1027" s="3">
        <f>Table1[[#This Row],[Sale]]-Table1[[#This Row],[Cost]]</f>
        <v>732.97000000000025</v>
      </c>
      <c r="I1027" s="4">
        <f>Table1[[#This Row],[Profit]]/Table1[[#This Row],[Sale]]</f>
        <v>0.1199992796474202</v>
      </c>
      <c r="J1027" s="5">
        <f t="shared" si="32"/>
        <v>2005</v>
      </c>
      <c r="K1027" s="5">
        <f>MONTH(Table1[[#This Row],[Date]])</f>
        <v>7</v>
      </c>
      <c r="L1027" s="5">
        <f>DAY(Table1[[#This Row],[Date]])</f>
        <v>17</v>
      </c>
      <c r="M1027" s="5" t="str">
        <f t="shared" si="33"/>
        <v>Jul</v>
      </c>
    </row>
    <row r="1028" spans="1:13" x14ac:dyDescent="0.25">
      <c r="A1028" s="2">
        <v>38260</v>
      </c>
      <c r="B1028" t="s">
        <v>26</v>
      </c>
      <c r="C1028" t="s">
        <v>29</v>
      </c>
      <c r="D1028" t="s">
        <v>28</v>
      </c>
      <c r="E1028" t="s">
        <v>14</v>
      </c>
      <c r="F1028" s="3">
        <v>6348.09</v>
      </c>
      <c r="G1028" s="3">
        <v>6789.4</v>
      </c>
      <c r="H1028" s="3">
        <f>Table1[[#This Row],[Sale]]-Table1[[#This Row],[Cost]]</f>
        <v>441.30999999999949</v>
      </c>
      <c r="I1028" s="4">
        <f>Table1[[#This Row],[Profit]]/Table1[[#This Row],[Sale]]</f>
        <v>6.499985271157975E-2</v>
      </c>
      <c r="J1028" s="5">
        <f t="shared" si="32"/>
        <v>2004</v>
      </c>
      <c r="K1028" s="5">
        <f>MONTH(Table1[[#This Row],[Date]])</f>
        <v>9</v>
      </c>
      <c r="L1028" s="5">
        <f>DAY(Table1[[#This Row],[Date]])</f>
        <v>30</v>
      </c>
      <c r="M1028" s="5" t="str">
        <f t="shared" si="33"/>
        <v>Sep</v>
      </c>
    </row>
    <row r="1029" spans="1:13" x14ac:dyDescent="0.25">
      <c r="A1029" s="2">
        <v>38675</v>
      </c>
      <c r="B1029" t="s">
        <v>22</v>
      </c>
      <c r="C1029" t="s">
        <v>27</v>
      </c>
      <c r="D1029" t="s">
        <v>13</v>
      </c>
      <c r="E1029" t="s">
        <v>25</v>
      </c>
      <c r="F1029" s="3">
        <v>399.95</v>
      </c>
      <c r="G1029" s="3">
        <v>533.27</v>
      </c>
      <c r="H1029" s="3">
        <f>Table1[[#This Row],[Sale]]-Table1[[#This Row],[Cost]]</f>
        <v>133.32</v>
      </c>
      <c r="I1029" s="4">
        <f>Table1[[#This Row],[Profit]]/Table1[[#This Row],[Sale]]</f>
        <v>0.25000468805670673</v>
      </c>
      <c r="J1029" s="5">
        <f t="shared" si="32"/>
        <v>2005</v>
      </c>
      <c r="K1029" s="5">
        <f>MONTH(Table1[[#This Row],[Date]])</f>
        <v>11</v>
      </c>
      <c r="L1029" s="5">
        <f>DAY(Table1[[#This Row],[Date]])</f>
        <v>19</v>
      </c>
      <c r="M1029" s="5" t="str">
        <f t="shared" si="33"/>
        <v>Nov</v>
      </c>
    </row>
    <row r="1030" spans="1:13" x14ac:dyDescent="0.25">
      <c r="A1030" s="2">
        <v>38740</v>
      </c>
      <c r="B1030" t="s">
        <v>15</v>
      </c>
      <c r="C1030" t="s">
        <v>18</v>
      </c>
      <c r="D1030" t="s">
        <v>28</v>
      </c>
      <c r="E1030" t="s">
        <v>24</v>
      </c>
      <c r="F1030" s="3">
        <v>6394.51</v>
      </c>
      <c r="G1030" s="3">
        <v>9403.69</v>
      </c>
      <c r="H1030" s="3">
        <f>Table1[[#This Row],[Sale]]-Table1[[#This Row],[Cost]]</f>
        <v>3009.1800000000003</v>
      </c>
      <c r="I1030" s="4">
        <f>Table1[[#This Row],[Profit]]/Table1[[#This Row],[Sale]]</f>
        <v>0.31999991492701269</v>
      </c>
      <c r="J1030" s="5">
        <f t="shared" si="32"/>
        <v>2006</v>
      </c>
      <c r="K1030" s="5">
        <f>MONTH(Table1[[#This Row],[Date]])</f>
        <v>1</v>
      </c>
      <c r="L1030" s="5">
        <f>DAY(Table1[[#This Row],[Date]])</f>
        <v>23</v>
      </c>
      <c r="M1030" s="5" t="str">
        <f t="shared" si="33"/>
        <v>Jan</v>
      </c>
    </row>
    <row r="1031" spans="1:13" x14ac:dyDescent="0.25">
      <c r="A1031" s="2">
        <v>38372</v>
      </c>
      <c r="B1031" t="s">
        <v>17</v>
      </c>
      <c r="C1031" t="s">
        <v>12</v>
      </c>
      <c r="D1031" t="s">
        <v>13</v>
      </c>
      <c r="E1031" t="s">
        <v>20</v>
      </c>
      <c r="F1031" s="3">
        <v>466.65</v>
      </c>
      <c r="G1031" s="3">
        <v>1085.23</v>
      </c>
      <c r="H1031" s="3">
        <f>Table1[[#This Row],[Sale]]-Table1[[#This Row],[Cost]]</f>
        <v>618.58000000000004</v>
      </c>
      <c r="I1031" s="4">
        <f>Table1[[#This Row],[Profit]]/Table1[[#This Row],[Sale]]</f>
        <v>0.56999898638998192</v>
      </c>
      <c r="J1031" s="5">
        <f t="shared" si="32"/>
        <v>2005</v>
      </c>
      <c r="K1031" s="5">
        <f>MONTH(Table1[[#This Row],[Date]])</f>
        <v>1</v>
      </c>
      <c r="L1031" s="5">
        <f>DAY(Table1[[#This Row],[Date]])</f>
        <v>20</v>
      </c>
      <c r="M1031" s="5" t="str">
        <f t="shared" si="33"/>
        <v>Jan</v>
      </c>
    </row>
    <row r="1032" spans="1:13" x14ac:dyDescent="0.25">
      <c r="A1032" s="2">
        <v>38368</v>
      </c>
      <c r="B1032" t="s">
        <v>22</v>
      </c>
      <c r="C1032" t="s">
        <v>12</v>
      </c>
      <c r="D1032" t="s">
        <v>19</v>
      </c>
      <c r="E1032" t="s">
        <v>25</v>
      </c>
      <c r="F1032" s="3">
        <v>3468.34</v>
      </c>
      <c r="G1032" s="3">
        <v>6306.08</v>
      </c>
      <c r="H1032" s="3">
        <f>Table1[[#This Row],[Sale]]-Table1[[#This Row],[Cost]]</f>
        <v>2837.74</v>
      </c>
      <c r="I1032" s="4">
        <f>Table1[[#This Row],[Profit]]/Table1[[#This Row],[Sale]]</f>
        <v>0.45000063430847687</v>
      </c>
      <c r="J1032" s="5">
        <f t="shared" si="32"/>
        <v>2005</v>
      </c>
      <c r="K1032" s="5">
        <f>MONTH(Table1[[#This Row],[Date]])</f>
        <v>1</v>
      </c>
      <c r="L1032" s="5">
        <f>DAY(Table1[[#This Row],[Date]])</f>
        <v>16</v>
      </c>
      <c r="M1032" s="5" t="str">
        <f t="shared" si="33"/>
        <v>Jan</v>
      </c>
    </row>
    <row r="1033" spans="1:13" x14ac:dyDescent="0.25">
      <c r="A1033" s="2">
        <v>38828</v>
      </c>
      <c r="B1033" t="s">
        <v>15</v>
      </c>
      <c r="C1033" t="s">
        <v>29</v>
      </c>
      <c r="D1033" t="s">
        <v>28</v>
      </c>
      <c r="E1033" t="s">
        <v>24</v>
      </c>
      <c r="F1033" s="3">
        <v>3303.2</v>
      </c>
      <c r="G1033" s="3">
        <v>7681.86</v>
      </c>
      <c r="H1033" s="3">
        <f>Table1[[#This Row],[Sale]]-Table1[[#This Row],[Cost]]</f>
        <v>4378.66</v>
      </c>
      <c r="I1033" s="4">
        <f>Table1[[#This Row],[Profit]]/Table1[[#This Row],[Sale]]</f>
        <v>0.56999997396463875</v>
      </c>
      <c r="J1033" s="5">
        <f t="shared" si="32"/>
        <v>2006</v>
      </c>
      <c r="K1033" s="5">
        <f>MONTH(Table1[[#This Row],[Date]])</f>
        <v>4</v>
      </c>
      <c r="L1033" s="5">
        <f>DAY(Table1[[#This Row],[Date]])</f>
        <v>21</v>
      </c>
      <c r="M1033" s="5" t="str">
        <f t="shared" si="33"/>
        <v>Apr</v>
      </c>
    </row>
    <row r="1034" spans="1:13" x14ac:dyDescent="0.25">
      <c r="A1034" s="2">
        <v>38545</v>
      </c>
      <c r="B1034" t="s">
        <v>26</v>
      </c>
      <c r="C1034" t="s">
        <v>18</v>
      </c>
      <c r="D1034" t="s">
        <v>13</v>
      </c>
      <c r="E1034" t="s">
        <v>25</v>
      </c>
      <c r="F1034" s="3">
        <v>287.64999999999998</v>
      </c>
      <c r="G1034" s="3">
        <v>326.88</v>
      </c>
      <c r="H1034" s="3">
        <f>Table1[[#This Row],[Sale]]-Table1[[#This Row],[Cost]]</f>
        <v>39.230000000000018</v>
      </c>
      <c r="I1034" s="4">
        <f>Table1[[#This Row],[Profit]]/Table1[[#This Row],[Sale]]</f>
        <v>0.1200134605971611</v>
      </c>
      <c r="J1034" s="5">
        <f t="shared" si="32"/>
        <v>2005</v>
      </c>
      <c r="K1034" s="5">
        <f>MONTH(Table1[[#This Row],[Date]])</f>
        <v>7</v>
      </c>
      <c r="L1034" s="5">
        <f>DAY(Table1[[#This Row],[Date]])</f>
        <v>12</v>
      </c>
      <c r="M1034" s="5" t="str">
        <f t="shared" si="33"/>
        <v>Jul</v>
      </c>
    </row>
    <row r="1035" spans="1:13" x14ac:dyDescent="0.25">
      <c r="A1035" s="2">
        <v>38550</v>
      </c>
      <c r="B1035" t="s">
        <v>17</v>
      </c>
      <c r="C1035" t="s">
        <v>12</v>
      </c>
      <c r="D1035" t="s">
        <v>28</v>
      </c>
      <c r="E1035" t="s">
        <v>25</v>
      </c>
      <c r="F1035" s="3">
        <v>1869.81</v>
      </c>
      <c r="G1035" s="3">
        <v>5053.54</v>
      </c>
      <c r="H1035" s="3">
        <f>Table1[[#This Row],[Sale]]-Table1[[#This Row],[Cost]]</f>
        <v>3183.73</v>
      </c>
      <c r="I1035" s="4">
        <f>Table1[[#This Row],[Profit]]/Table1[[#This Row],[Sale]]</f>
        <v>0.62999996042378215</v>
      </c>
      <c r="J1035" s="5">
        <f t="shared" si="32"/>
        <v>2005</v>
      </c>
      <c r="K1035" s="5">
        <f>MONTH(Table1[[#This Row],[Date]])</f>
        <v>7</v>
      </c>
      <c r="L1035" s="5">
        <f>DAY(Table1[[#This Row],[Date]])</f>
        <v>17</v>
      </c>
      <c r="M1035" s="5" t="str">
        <f t="shared" si="33"/>
        <v>Jul</v>
      </c>
    </row>
    <row r="1036" spans="1:13" x14ac:dyDescent="0.25">
      <c r="A1036" s="2">
        <v>38706</v>
      </c>
      <c r="B1036" t="s">
        <v>15</v>
      </c>
      <c r="C1036" t="s">
        <v>18</v>
      </c>
      <c r="D1036" t="s">
        <v>13</v>
      </c>
      <c r="E1036" t="s">
        <v>14</v>
      </c>
      <c r="F1036" s="3">
        <v>2212.8200000000002</v>
      </c>
      <c r="G1036" s="3">
        <v>5146.1000000000004</v>
      </c>
      <c r="H1036" s="3">
        <f>Table1[[#This Row],[Sale]]-Table1[[#This Row],[Cost]]</f>
        <v>2933.28</v>
      </c>
      <c r="I1036" s="4">
        <f>Table1[[#This Row],[Profit]]/Table1[[#This Row],[Sale]]</f>
        <v>0.57000058296574108</v>
      </c>
      <c r="J1036" s="5">
        <f t="shared" si="32"/>
        <v>2005</v>
      </c>
      <c r="K1036" s="5">
        <f>MONTH(Table1[[#This Row],[Date]])</f>
        <v>12</v>
      </c>
      <c r="L1036" s="5">
        <f>DAY(Table1[[#This Row],[Date]])</f>
        <v>20</v>
      </c>
      <c r="M1036" s="5" t="str">
        <f t="shared" si="33"/>
        <v>Dec</v>
      </c>
    </row>
    <row r="1037" spans="1:13" x14ac:dyDescent="0.25">
      <c r="A1037" s="2">
        <v>38185</v>
      </c>
      <c r="B1037" t="s">
        <v>15</v>
      </c>
      <c r="C1037" t="s">
        <v>29</v>
      </c>
      <c r="D1037" t="s">
        <v>16</v>
      </c>
      <c r="E1037" t="s">
        <v>14</v>
      </c>
      <c r="F1037" s="3">
        <v>1210.3399999999999</v>
      </c>
      <c r="G1037" s="3">
        <v>1613.79</v>
      </c>
      <c r="H1037" s="3">
        <f>Table1[[#This Row],[Sale]]-Table1[[#This Row],[Cost]]</f>
        <v>403.45000000000005</v>
      </c>
      <c r="I1037" s="4">
        <f>Table1[[#This Row],[Profit]]/Table1[[#This Row],[Sale]]</f>
        <v>0.25000154914827832</v>
      </c>
      <c r="J1037" s="5">
        <f t="shared" si="32"/>
        <v>2004</v>
      </c>
      <c r="K1037" s="5">
        <f>MONTH(Table1[[#This Row],[Date]])</f>
        <v>7</v>
      </c>
      <c r="L1037" s="5">
        <f>DAY(Table1[[#This Row],[Date]])</f>
        <v>17</v>
      </c>
      <c r="M1037" s="5" t="str">
        <f t="shared" si="33"/>
        <v>Jul</v>
      </c>
    </row>
    <row r="1038" spans="1:13" x14ac:dyDescent="0.25">
      <c r="A1038" s="2">
        <v>38493</v>
      </c>
      <c r="B1038" t="s">
        <v>17</v>
      </c>
      <c r="C1038" t="s">
        <v>29</v>
      </c>
      <c r="D1038" t="s">
        <v>19</v>
      </c>
      <c r="E1038" t="s">
        <v>25</v>
      </c>
      <c r="F1038" s="3">
        <v>1886.9</v>
      </c>
      <c r="G1038" s="3">
        <v>5099.74</v>
      </c>
      <c r="H1038" s="3">
        <f>Table1[[#This Row],[Sale]]-Table1[[#This Row],[Cost]]</f>
        <v>3212.8399999999997</v>
      </c>
      <c r="I1038" s="4">
        <f>Table1[[#This Row],[Profit]]/Table1[[#This Row],[Sale]]</f>
        <v>0.63000074513602655</v>
      </c>
      <c r="J1038" s="5">
        <f t="shared" si="32"/>
        <v>2005</v>
      </c>
      <c r="K1038" s="5">
        <f>MONTH(Table1[[#This Row],[Date]])</f>
        <v>5</v>
      </c>
      <c r="L1038" s="5">
        <f>DAY(Table1[[#This Row],[Date]])</f>
        <v>21</v>
      </c>
      <c r="M1038" s="5" t="str">
        <f t="shared" si="33"/>
        <v>May</v>
      </c>
    </row>
    <row r="1039" spans="1:13" x14ac:dyDescent="0.25">
      <c r="A1039" s="2">
        <v>38819</v>
      </c>
      <c r="B1039" t="s">
        <v>17</v>
      </c>
      <c r="C1039" t="s">
        <v>29</v>
      </c>
      <c r="D1039" t="s">
        <v>28</v>
      </c>
      <c r="E1039" t="s">
        <v>14</v>
      </c>
      <c r="F1039" s="3">
        <v>5261.61</v>
      </c>
      <c r="G1039" s="3">
        <v>8917.98</v>
      </c>
      <c r="H1039" s="3">
        <f>Table1[[#This Row],[Sale]]-Table1[[#This Row],[Cost]]</f>
        <v>3656.37</v>
      </c>
      <c r="I1039" s="4">
        <f>Table1[[#This Row],[Profit]]/Table1[[#This Row],[Sale]]</f>
        <v>0.40999979816057003</v>
      </c>
      <c r="J1039" s="5">
        <f t="shared" si="32"/>
        <v>2006</v>
      </c>
      <c r="K1039" s="5">
        <f>MONTH(Table1[[#This Row],[Date]])</f>
        <v>4</v>
      </c>
      <c r="L1039" s="5">
        <f>DAY(Table1[[#This Row],[Date]])</f>
        <v>12</v>
      </c>
      <c r="M1039" s="5" t="str">
        <f t="shared" si="33"/>
        <v>Apr</v>
      </c>
    </row>
    <row r="1040" spans="1:13" x14ac:dyDescent="0.25">
      <c r="A1040" s="2">
        <v>38339</v>
      </c>
      <c r="B1040" t="s">
        <v>15</v>
      </c>
      <c r="C1040" t="s">
        <v>18</v>
      </c>
      <c r="D1040" t="s">
        <v>16</v>
      </c>
      <c r="E1040" t="s">
        <v>24</v>
      </c>
      <c r="F1040" s="3">
        <v>331.26</v>
      </c>
      <c r="G1040" s="3">
        <v>561.46</v>
      </c>
      <c r="H1040" s="3">
        <f>Table1[[#This Row],[Sale]]-Table1[[#This Row],[Cost]]</f>
        <v>230.20000000000005</v>
      </c>
      <c r="I1040" s="4">
        <f>Table1[[#This Row],[Profit]]/Table1[[#This Row],[Sale]]</f>
        <v>0.41000249349909174</v>
      </c>
      <c r="J1040" s="5">
        <f t="shared" si="32"/>
        <v>2004</v>
      </c>
      <c r="K1040" s="5">
        <f>MONTH(Table1[[#This Row],[Date]])</f>
        <v>12</v>
      </c>
      <c r="L1040" s="5">
        <f>DAY(Table1[[#This Row],[Date]])</f>
        <v>18</v>
      </c>
      <c r="M1040" s="5" t="str">
        <f t="shared" si="33"/>
        <v>Dec</v>
      </c>
    </row>
    <row r="1041" spans="1:13" x14ac:dyDescent="0.25">
      <c r="A1041" s="2">
        <v>38857</v>
      </c>
      <c r="B1041" t="s">
        <v>11</v>
      </c>
      <c r="C1041" t="s">
        <v>12</v>
      </c>
      <c r="D1041" t="s">
        <v>16</v>
      </c>
      <c r="E1041" t="s">
        <v>20</v>
      </c>
      <c r="F1041" s="3">
        <v>2950.44</v>
      </c>
      <c r="G1041" s="3">
        <v>7974.17</v>
      </c>
      <c r="H1041" s="3">
        <f>Table1[[#This Row],[Sale]]-Table1[[#This Row],[Cost]]</f>
        <v>5023.7299999999996</v>
      </c>
      <c r="I1041" s="4">
        <f>Table1[[#This Row],[Profit]]/Table1[[#This Row],[Sale]]</f>
        <v>0.63000036367421308</v>
      </c>
      <c r="J1041" s="5">
        <f t="shared" si="32"/>
        <v>2006</v>
      </c>
      <c r="K1041" s="5">
        <f>MONTH(Table1[[#This Row],[Date]])</f>
        <v>5</v>
      </c>
      <c r="L1041" s="5">
        <f>DAY(Table1[[#This Row],[Date]])</f>
        <v>20</v>
      </c>
      <c r="M1041" s="5" t="str">
        <f t="shared" si="33"/>
        <v>May</v>
      </c>
    </row>
    <row r="1042" spans="1:13" x14ac:dyDescent="0.25">
      <c r="A1042" s="2">
        <v>38771</v>
      </c>
      <c r="B1042" t="s">
        <v>21</v>
      </c>
      <c r="C1042" t="s">
        <v>23</v>
      </c>
      <c r="D1042" t="s">
        <v>19</v>
      </c>
      <c r="E1042" t="s">
        <v>25</v>
      </c>
      <c r="F1042" s="3">
        <v>1776.6</v>
      </c>
      <c r="G1042" s="3">
        <v>2368.8000000000002</v>
      </c>
      <c r="H1042" s="3">
        <f>Table1[[#This Row],[Sale]]-Table1[[#This Row],[Cost]]</f>
        <v>592.20000000000027</v>
      </c>
      <c r="I1042" s="4">
        <f>Table1[[#This Row],[Profit]]/Table1[[#This Row],[Sale]]</f>
        <v>0.25000000000000011</v>
      </c>
      <c r="J1042" s="5">
        <f t="shared" si="32"/>
        <v>2006</v>
      </c>
      <c r="K1042" s="5">
        <f>MONTH(Table1[[#This Row],[Date]])</f>
        <v>2</v>
      </c>
      <c r="L1042" s="5">
        <f>DAY(Table1[[#This Row],[Date]])</f>
        <v>23</v>
      </c>
      <c r="M1042" s="5" t="str">
        <f t="shared" si="33"/>
        <v>Feb</v>
      </c>
    </row>
    <row r="1043" spans="1:13" x14ac:dyDescent="0.25">
      <c r="A1043" s="2">
        <v>38638</v>
      </c>
      <c r="B1043" t="s">
        <v>26</v>
      </c>
      <c r="C1043" t="s">
        <v>27</v>
      </c>
      <c r="D1043" t="s">
        <v>28</v>
      </c>
      <c r="E1043" t="s">
        <v>24</v>
      </c>
      <c r="F1043" s="3">
        <v>18.07</v>
      </c>
      <c r="G1043" s="3">
        <v>31.16</v>
      </c>
      <c r="H1043" s="3">
        <f>Table1[[#This Row],[Sale]]-Table1[[#This Row],[Cost]]</f>
        <v>13.09</v>
      </c>
      <c r="I1043" s="4">
        <f>Table1[[#This Row],[Profit]]/Table1[[#This Row],[Sale]]</f>
        <v>0.42008985879332478</v>
      </c>
      <c r="J1043" s="5">
        <f t="shared" si="32"/>
        <v>2005</v>
      </c>
      <c r="K1043" s="5">
        <f>MONTH(Table1[[#This Row],[Date]])</f>
        <v>10</v>
      </c>
      <c r="L1043" s="5">
        <f>DAY(Table1[[#This Row],[Date]])</f>
        <v>13</v>
      </c>
      <c r="M1043" s="5" t="str">
        <f t="shared" si="33"/>
        <v>Oct</v>
      </c>
    </row>
    <row r="1044" spans="1:13" x14ac:dyDescent="0.25">
      <c r="A1044" s="2">
        <v>38705</v>
      </c>
      <c r="B1044" t="s">
        <v>15</v>
      </c>
      <c r="C1044" t="s">
        <v>27</v>
      </c>
      <c r="D1044" t="s">
        <v>19</v>
      </c>
      <c r="E1044" t="s">
        <v>14</v>
      </c>
      <c r="F1044" s="3">
        <v>5848.91</v>
      </c>
      <c r="G1044" s="3">
        <v>7798.55</v>
      </c>
      <c r="H1044" s="3">
        <f>Table1[[#This Row],[Sale]]-Table1[[#This Row],[Cost]]</f>
        <v>1949.6400000000003</v>
      </c>
      <c r="I1044" s="4">
        <f>Table1[[#This Row],[Profit]]/Table1[[#This Row],[Sale]]</f>
        <v>0.25000032057241411</v>
      </c>
      <c r="J1044" s="5">
        <f t="shared" si="32"/>
        <v>2005</v>
      </c>
      <c r="K1044" s="5">
        <f>MONTH(Table1[[#This Row],[Date]])</f>
        <v>12</v>
      </c>
      <c r="L1044" s="5">
        <f>DAY(Table1[[#This Row],[Date]])</f>
        <v>19</v>
      </c>
      <c r="M1044" s="5" t="str">
        <f t="shared" si="33"/>
        <v>Dec</v>
      </c>
    </row>
    <row r="1045" spans="1:13" x14ac:dyDescent="0.25">
      <c r="A1045" s="2">
        <v>38755</v>
      </c>
      <c r="B1045" t="s">
        <v>15</v>
      </c>
      <c r="C1045" t="s">
        <v>29</v>
      </c>
      <c r="D1045" t="s">
        <v>16</v>
      </c>
      <c r="E1045" t="s">
        <v>20</v>
      </c>
      <c r="F1045" s="3">
        <v>297.94</v>
      </c>
      <c r="G1045" s="3">
        <v>805.23</v>
      </c>
      <c r="H1045" s="3">
        <f>Table1[[#This Row],[Sale]]-Table1[[#This Row],[Cost]]</f>
        <v>507.29</v>
      </c>
      <c r="I1045" s="4">
        <f>Table1[[#This Row],[Profit]]/Table1[[#This Row],[Sale]]</f>
        <v>0.62999391478211197</v>
      </c>
      <c r="J1045" s="5">
        <f t="shared" si="32"/>
        <v>2006</v>
      </c>
      <c r="K1045" s="5">
        <f>MONTH(Table1[[#This Row],[Date]])</f>
        <v>2</v>
      </c>
      <c r="L1045" s="5">
        <f>DAY(Table1[[#This Row],[Date]])</f>
        <v>7</v>
      </c>
      <c r="M1045" s="5" t="str">
        <f t="shared" si="33"/>
        <v>Feb</v>
      </c>
    </row>
    <row r="1046" spans="1:13" x14ac:dyDescent="0.25">
      <c r="A1046" s="2">
        <v>38446</v>
      </c>
      <c r="B1046" t="s">
        <v>11</v>
      </c>
      <c r="C1046" t="s">
        <v>23</v>
      </c>
      <c r="D1046" t="s">
        <v>13</v>
      </c>
      <c r="E1046" t="s">
        <v>24</v>
      </c>
      <c r="F1046" s="3">
        <v>1455</v>
      </c>
      <c r="G1046" s="3">
        <v>2645.45</v>
      </c>
      <c r="H1046" s="3">
        <f>Table1[[#This Row],[Sale]]-Table1[[#This Row],[Cost]]</f>
        <v>1190.4499999999998</v>
      </c>
      <c r="I1046" s="4">
        <f>Table1[[#This Row],[Profit]]/Table1[[#This Row],[Sale]]</f>
        <v>0.44999905498119408</v>
      </c>
      <c r="J1046" s="5">
        <f t="shared" si="32"/>
        <v>2005</v>
      </c>
      <c r="K1046" s="5">
        <f>MONTH(Table1[[#This Row],[Date]])</f>
        <v>4</v>
      </c>
      <c r="L1046" s="5">
        <f>DAY(Table1[[#This Row],[Date]])</f>
        <v>4</v>
      </c>
      <c r="M1046" s="5" t="str">
        <f t="shared" si="33"/>
        <v>Apr</v>
      </c>
    </row>
    <row r="1047" spans="1:13" x14ac:dyDescent="0.25">
      <c r="A1047" s="2">
        <v>38254</v>
      </c>
      <c r="B1047" t="s">
        <v>26</v>
      </c>
      <c r="C1047" t="s">
        <v>23</v>
      </c>
      <c r="D1047" t="s">
        <v>19</v>
      </c>
      <c r="E1047" t="s">
        <v>25</v>
      </c>
      <c r="F1047" s="3">
        <v>112.8</v>
      </c>
      <c r="G1047" s="3">
        <v>128.18</v>
      </c>
      <c r="H1047" s="3">
        <f>Table1[[#This Row],[Sale]]-Table1[[#This Row],[Cost]]</f>
        <v>15.38000000000001</v>
      </c>
      <c r="I1047" s="4">
        <f>Table1[[#This Row],[Profit]]/Table1[[#This Row],[Sale]]</f>
        <v>0.11998751755344055</v>
      </c>
      <c r="J1047" s="5">
        <f t="shared" si="32"/>
        <v>2004</v>
      </c>
      <c r="K1047" s="5">
        <f>MONTH(Table1[[#This Row],[Date]])</f>
        <v>9</v>
      </c>
      <c r="L1047" s="5">
        <f>DAY(Table1[[#This Row],[Date]])</f>
        <v>24</v>
      </c>
      <c r="M1047" s="5" t="str">
        <f t="shared" si="33"/>
        <v>Sep</v>
      </c>
    </row>
    <row r="1048" spans="1:13" x14ac:dyDescent="0.25">
      <c r="A1048" s="2">
        <v>38249</v>
      </c>
      <c r="B1048" t="s">
        <v>21</v>
      </c>
      <c r="C1048" t="s">
        <v>29</v>
      </c>
      <c r="D1048" t="s">
        <v>19</v>
      </c>
      <c r="E1048" t="s">
        <v>20</v>
      </c>
      <c r="F1048" s="3">
        <v>115.35</v>
      </c>
      <c r="G1048" s="3">
        <v>209.73</v>
      </c>
      <c r="H1048" s="3">
        <f>Table1[[#This Row],[Sale]]-Table1[[#This Row],[Cost]]</f>
        <v>94.38</v>
      </c>
      <c r="I1048" s="4">
        <f>Table1[[#This Row],[Profit]]/Table1[[#This Row],[Sale]]</f>
        <v>0.45000715205263908</v>
      </c>
      <c r="J1048" s="5">
        <f t="shared" si="32"/>
        <v>2004</v>
      </c>
      <c r="K1048" s="5">
        <f>MONTH(Table1[[#This Row],[Date]])</f>
        <v>9</v>
      </c>
      <c r="L1048" s="5">
        <f>DAY(Table1[[#This Row],[Date]])</f>
        <v>19</v>
      </c>
      <c r="M1048" s="5" t="str">
        <f t="shared" si="33"/>
        <v>Sep</v>
      </c>
    </row>
    <row r="1049" spans="1:13" x14ac:dyDescent="0.25">
      <c r="A1049" s="2">
        <v>38759</v>
      </c>
      <c r="B1049" t="s">
        <v>21</v>
      </c>
      <c r="C1049" t="s">
        <v>18</v>
      </c>
      <c r="D1049" t="s">
        <v>16</v>
      </c>
      <c r="E1049" t="s">
        <v>24</v>
      </c>
      <c r="F1049" s="3">
        <v>2623.23</v>
      </c>
      <c r="G1049" s="3">
        <v>7089.82</v>
      </c>
      <c r="H1049" s="3">
        <f>Table1[[#This Row],[Sale]]-Table1[[#This Row],[Cost]]</f>
        <v>4466.59</v>
      </c>
      <c r="I1049" s="4">
        <f>Table1[[#This Row],[Profit]]/Table1[[#This Row],[Sale]]</f>
        <v>0.63000047956083516</v>
      </c>
      <c r="J1049" s="5">
        <f t="shared" si="32"/>
        <v>2006</v>
      </c>
      <c r="K1049" s="5">
        <f>MONTH(Table1[[#This Row],[Date]])</f>
        <v>2</v>
      </c>
      <c r="L1049" s="5">
        <f>DAY(Table1[[#This Row],[Date]])</f>
        <v>11</v>
      </c>
      <c r="M1049" s="5" t="str">
        <f t="shared" si="33"/>
        <v>Feb</v>
      </c>
    </row>
    <row r="1050" spans="1:13" x14ac:dyDescent="0.25">
      <c r="A1050" s="2">
        <v>38264</v>
      </c>
      <c r="B1050" t="s">
        <v>11</v>
      </c>
      <c r="C1050" t="s">
        <v>23</v>
      </c>
      <c r="D1050" t="s">
        <v>16</v>
      </c>
      <c r="E1050" t="s">
        <v>25</v>
      </c>
      <c r="F1050" s="3">
        <v>4398.0600000000004</v>
      </c>
      <c r="G1050" s="3">
        <v>6467.74</v>
      </c>
      <c r="H1050" s="3">
        <f>Table1[[#This Row],[Sale]]-Table1[[#This Row],[Cost]]</f>
        <v>2069.6799999999994</v>
      </c>
      <c r="I1050" s="4">
        <f>Table1[[#This Row],[Profit]]/Table1[[#This Row],[Sale]]</f>
        <v>0.32000049476324022</v>
      </c>
      <c r="J1050" s="5">
        <f t="shared" si="32"/>
        <v>2004</v>
      </c>
      <c r="K1050" s="5">
        <f>MONTH(Table1[[#This Row],[Date]])</f>
        <v>10</v>
      </c>
      <c r="L1050" s="5">
        <f>DAY(Table1[[#This Row],[Date]])</f>
        <v>4</v>
      </c>
      <c r="M1050" s="5" t="str">
        <f t="shared" si="33"/>
        <v>Oct</v>
      </c>
    </row>
    <row r="1051" spans="1:13" x14ac:dyDescent="0.25">
      <c r="A1051" s="2">
        <v>38449</v>
      </c>
      <c r="B1051" t="s">
        <v>17</v>
      </c>
      <c r="C1051" t="s">
        <v>27</v>
      </c>
      <c r="D1051" t="s">
        <v>19</v>
      </c>
      <c r="E1051" t="s">
        <v>25</v>
      </c>
      <c r="F1051" s="3">
        <v>4155.8999999999996</v>
      </c>
      <c r="G1051" s="3">
        <v>6111.62</v>
      </c>
      <c r="H1051" s="3">
        <f>Table1[[#This Row],[Sale]]-Table1[[#This Row],[Cost]]</f>
        <v>1955.7200000000003</v>
      </c>
      <c r="I1051" s="4">
        <f>Table1[[#This Row],[Profit]]/Table1[[#This Row],[Sale]]</f>
        <v>0.32000026179638136</v>
      </c>
      <c r="J1051" s="5">
        <f t="shared" si="32"/>
        <v>2005</v>
      </c>
      <c r="K1051" s="5">
        <f>MONTH(Table1[[#This Row],[Date]])</f>
        <v>4</v>
      </c>
      <c r="L1051" s="5">
        <f>DAY(Table1[[#This Row],[Date]])</f>
        <v>7</v>
      </c>
      <c r="M1051" s="5" t="str">
        <f t="shared" si="33"/>
        <v>Apr</v>
      </c>
    </row>
    <row r="1052" spans="1:13" x14ac:dyDescent="0.25">
      <c r="A1052" s="2">
        <v>38734</v>
      </c>
      <c r="B1052" t="s">
        <v>22</v>
      </c>
      <c r="C1052" t="s">
        <v>18</v>
      </c>
      <c r="D1052" t="s">
        <v>28</v>
      </c>
      <c r="E1052" t="s">
        <v>14</v>
      </c>
      <c r="F1052" s="3">
        <v>259.3</v>
      </c>
      <c r="G1052" s="3">
        <v>471.45</v>
      </c>
      <c r="H1052" s="3">
        <f>Table1[[#This Row],[Sale]]-Table1[[#This Row],[Cost]]</f>
        <v>212.14999999999998</v>
      </c>
      <c r="I1052" s="4">
        <f>Table1[[#This Row],[Profit]]/Table1[[#This Row],[Sale]]</f>
        <v>0.44999469721073282</v>
      </c>
      <c r="J1052" s="5">
        <f t="shared" si="32"/>
        <v>2006</v>
      </c>
      <c r="K1052" s="5">
        <f>MONTH(Table1[[#This Row],[Date]])</f>
        <v>1</v>
      </c>
      <c r="L1052" s="5">
        <f>DAY(Table1[[#This Row],[Date]])</f>
        <v>17</v>
      </c>
      <c r="M1052" s="5" t="str">
        <f t="shared" si="33"/>
        <v>Jan</v>
      </c>
    </row>
    <row r="1053" spans="1:13" x14ac:dyDescent="0.25">
      <c r="A1053" s="2">
        <v>38510</v>
      </c>
      <c r="B1053" t="s">
        <v>21</v>
      </c>
      <c r="C1053" t="s">
        <v>27</v>
      </c>
      <c r="D1053" t="s">
        <v>28</v>
      </c>
      <c r="E1053" t="s">
        <v>14</v>
      </c>
      <c r="F1053" s="3">
        <v>3387.08</v>
      </c>
      <c r="G1053" s="3">
        <v>7526.85</v>
      </c>
      <c r="H1053" s="3">
        <f>Table1[[#This Row],[Sale]]-Table1[[#This Row],[Cost]]</f>
        <v>4139.7700000000004</v>
      </c>
      <c r="I1053" s="4">
        <f>Table1[[#This Row],[Profit]]/Table1[[#This Row],[Sale]]</f>
        <v>0.55000033214425692</v>
      </c>
      <c r="J1053" s="5">
        <f t="shared" si="32"/>
        <v>2005</v>
      </c>
      <c r="K1053" s="5">
        <f>MONTH(Table1[[#This Row],[Date]])</f>
        <v>6</v>
      </c>
      <c r="L1053" s="5">
        <f>DAY(Table1[[#This Row],[Date]])</f>
        <v>7</v>
      </c>
      <c r="M1053" s="5" t="str">
        <f t="shared" si="33"/>
        <v>Jun</v>
      </c>
    </row>
    <row r="1054" spans="1:13" x14ac:dyDescent="0.25">
      <c r="A1054" s="2">
        <v>38723</v>
      </c>
      <c r="B1054" t="s">
        <v>21</v>
      </c>
      <c r="C1054" t="s">
        <v>12</v>
      </c>
      <c r="D1054" t="s">
        <v>16</v>
      </c>
      <c r="E1054" t="s">
        <v>25</v>
      </c>
      <c r="F1054" s="3">
        <v>124.46</v>
      </c>
      <c r="G1054" s="3">
        <v>226.29</v>
      </c>
      <c r="H1054" s="3">
        <f>Table1[[#This Row],[Sale]]-Table1[[#This Row],[Cost]]</f>
        <v>101.83</v>
      </c>
      <c r="I1054" s="4">
        <f>Table1[[#This Row],[Profit]]/Table1[[#This Row],[Sale]]</f>
        <v>0.449997790445888</v>
      </c>
      <c r="J1054" s="5">
        <f t="shared" si="32"/>
        <v>2006</v>
      </c>
      <c r="K1054" s="5">
        <f>MONTH(Table1[[#This Row],[Date]])</f>
        <v>1</v>
      </c>
      <c r="L1054" s="5">
        <f>DAY(Table1[[#This Row],[Date]])</f>
        <v>6</v>
      </c>
      <c r="M1054" s="5" t="str">
        <f t="shared" si="33"/>
        <v>Jan</v>
      </c>
    </row>
    <row r="1055" spans="1:13" x14ac:dyDescent="0.25">
      <c r="A1055" s="2">
        <v>38476</v>
      </c>
      <c r="B1055" t="s">
        <v>15</v>
      </c>
      <c r="C1055" t="s">
        <v>23</v>
      </c>
      <c r="D1055" t="s">
        <v>19</v>
      </c>
      <c r="E1055" t="s">
        <v>25</v>
      </c>
      <c r="F1055" s="3">
        <v>2880.66</v>
      </c>
      <c r="G1055" s="3">
        <v>7785.56</v>
      </c>
      <c r="H1055" s="3">
        <f>Table1[[#This Row],[Sale]]-Table1[[#This Row],[Cost]]</f>
        <v>4904.9000000000005</v>
      </c>
      <c r="I1055" s="4">
        <f>Table1[[#This Row],[Profit]]/Table1[[#This Row],[Sale]]</f>
        <v>0.62999964035984568</v>
      </c>
      <c r="J1055" s="5">
        <f t="shared" si="32"/>
        <v>2005</v>
      </c>
      <c r="K1055" s="5">
        <f>MONTH(Table1[[#This Row],[Date]])</f>
        <v>5</v>
      </c>
      <c r="L1055" s="5">
        <f>DAY(Table1[[#This Row],[Date]])</f>
        <v>4</v>
      </c>
      <c r="M1055" s="5" t="str">
        <f t="shared" si="33"/>
        <v>May</v>
      </c>
    </row>
    <row r="1056" spans="1:13" x14ac:dyDescent="0.25">
      <c r="A1056" s="2">
        <v>38186</v>
      </c>
      <c r="B1056" t="s">
        <v>22</v>
      </c>
      <c r="C1056" t="s">
        <v>18</v>
      </c>
      <c r="D1056" t="s">
        <v>28</v>
      </c>
      <c r="E1056" t="s">
        <v>25</v>
      </c>
      <c r="F1056" s="3">
        <v>5438.64</v>
      </c>
      <c r="G1056" s="3">
        <v>9888.43</v>
      </c>
      <c r="H1056" s="3">
        <f>Table1[[#This Row],[Sale]]-Table1[[#This Row],[Cost]]</f>
        <v>4449.79</v>
      </c>
      <c r="I1056" s="4">
        <f>Table1[[#This Row],[Profit]]/Table1[[#This Row],[Sale]]</f>
        <v>0.44999964605099091</v>
      </c>
      <c r="J1056" s="5">
        <f t="shared" si="32"/>
        <v>2004</v>
      </c>
      <c r="K1056" s="5">
        <f>MONTH(Table1[[#This Row],[Date]])</f>
        <v>7</v>
      </c>
      <c r="L1056" s="5">
        <f>DAY(Table1[[#This Row],[Date]])</f>
        <v>18</v>
      </c>
      <c r="M1056" s="5" t="str">
        <f t="shared" si="33"/>
        <v>Jul</v>
      </c>
    </row>
    <row r="1057" spans="1:13" x14ac:dyDescent="0.25">
      <c r="A1057" s="2">
        <v>38410</v>
      </c>
      <c r="B1057" t="s">
        <v>17</v>
      </c>
      <c r="C1057" t="s">
        <v>18</v>
      </c>
      <c r="D1057" t="s">
        <v>16</v>
      </c>
      <c r="E1057" t="s">
        <v>25</v>
      </c>
      <c r="F1057" s="3">
        <v>582.67999999999995</v>
      </c>
      <c r="G1057" s="3">
        <v>1355.08</v>
      </c>
      <c r="H1057" s="3">
        <f>Table1[[#This Row],[Sale]]-Table1[[#This Row],[Cost]]</f>
        <v>772.4</v>
      </c>
      <c r="I1057" s="4">
        <f>Table1[[#This Row],[Profit]]/Table1[[#This Row],[Sale]]</f>
        <v>0.5700032470407651</v>
      </c>
      <c r="J1057" s="5">
        <f t="shared" si="32"/>
        <v>2005</v>
      </c>
      <c r="K1057" s="5">
        <f>MONTH(Table1[[#This Row],[Date]])</f>
        <v>2</v>
      </c>
      <c r="L1057" s="5">
        <f>DAY(Table1[[#This Row],[Date]])</f>
        <v>27</v>
      </c>
      <c r="M1057" s="5" t="str">
        <f t="shared" si="33"/>
        <v>Feb</v>
      </c>
    </row>
    <row r="1058" spans="1:13" x14ac:dyDescent="0.25">
      <c r="A1058" s="2">
        <v>38367</v>
      </c>
      <c r="B1058" t="s">
        <v>11</v>
      </c>
      <c r="C1058" t="s">
        <v>12</v>
      </c>
      <c r="D1058" t="s">
        <v>28</v>
      </c>
      <c r="E1058" t="s">
        <v>14</v>
      </c>
      <c r="F1058" s="3">
        <v>1559.61</v>
      </c>
      <c r="G1058" s="3">
        <v>2293.5500000000002</v>
      </c>
      <c r="H1058" s="3">
        <f>Table1[[#This Row],[Sale]]-Table1[[#This Row],[Cost]]</f>
        <v>733.94000000000028</v>
      </c>
      <c r="I1058" s="4">
        <f>Table1[[#This Row],[Profit]]/Table1[[#This Row],[Sale]]</f>
        <v>0.32000174402127718</v>
      </c>
      <c r="J1058" s="5">
        <f t="shared" si="32"/>
        <v>2005</v>
      </c>
      <c r="K1058" s="5">
        <f>MONTH(Table1[[#This Row],[Date]])</f>
        <v>1</v>
      </c>
      <c r="L1058" s="5">
        <f>DAY(Table1[[#This Row],[Date]])</f>
        <v>15</v>
      </c>
      <c r="M1058" s="5" t="str">
        <f t="shared" si="33"/>
        <v>Jan</v>
      </c>
    </row>
    <row r="1059" spans="1:13" x14ac:dyDescent="0.25">
      <c r="A1059" s="2">
        <v>38614</v>
      </c>
      <c r="B1059" t="s">
        <v>26</v>
      </c>
      <c r="C1059" t="s">
        <v>27</v>
      </c>
      <c r="D1059" t="s">
        <v>19</v>
      </c>
      <c r="E1059" t="s">
        <v>25</v>
      </c>
      <c r="F1059" s="3">
        <v>6886.34</v>
      </c>
      <c r="G1059" s="3">
        <v>7825.39</v>
      </c>
      <c r="H1059" s="3">
        <f>Table1[[#This Row],[Sale]]-Table1[[#This Row],[Cost]]</f>
        <v>939.05000000000018</v>
      </c>
      <c r="I1059" s="4">
        <f>Table1[[#This Row],[Profit]]/Table1[[#This Row],[Sale]]</f>
        <v>0.12000040892530597</v>
      </c>
      <c r="J1059" s="5">
        <f t="shared" si="32"/>
        <v>2005</v>
      </c>
      <c r="K1059" s="5">
        <f>MONTH(Table1[[#This Row],[Date]])</f>
        <v>9</v>
      </c>
      <c r="L1059" s="5">
        <f>DAY(Table1[[#This Row],[Date]])</f>
        <v>19</v>
      </c>
      <c r="M1059" s="5" t="str">
        <f t="shared" si="33"/>
        <v>Sep</v>
      </c>
    </row>
    <row r="1060" spans="1:13" x14ac:dyDescent="0.25">
      <c r="A1060" s="2">
        <v>38543</v>
      </c>
      <c r="B1060" t="s">
        <v>17</v>
      </c>
      <c r="C1060" t="s">
        <v>27</v>
      </c>
      <c r="D1060" t="s">
        <v>28</v>
      </c>
      <c r="E1060" t="s">
        <v>24</v>
      </c>
      <c r="F1060" s="3">
        <v>3381.07</v>
      </c>
      <c r="G1060" s="3">
        <v>9138.0400000000009</v>
      </c>
      <c r="H1060" s="3">
        <f>Table1[[#This Row],[Sale]]-Table1[[#This Row],[Cost]]</f>
        <v>5756.9700000000012</v>
      </c>
      <c r="I1060" s="4">
        <f>Table1[[#This Row],[Profit]]/Table1[[#This Row],[Sale]]</f>
        <v>0.63000052527675521</v>
      </c>
      <c r="J1060" s="5">
        <f t="shared" si="32"/>
        <v>2005</v>
      </c>
      <c r="K1060" s="5">
        <f>MONTH(Table1[[#This Row],[Date]])</f>
        <v>7</v>
      </c>
      <c r="L1060" s="5">
        <f>DAY(Table1[[#This Row],[Date]])</f>
        <v>10</v>
      </c>
      <c r="M1060" s="5" t="str">
        <f t="shared" si="33"/>
        <v>Jul</v>
      </c>
    </row>
    <row r="1061" spans="1:13" x14ac:dyDescent="0.25">
      <c r="A1061" s="2">
        <v>38782</v>
      </c>
      <c r="B1061" t="s">
        <v>26</v>
      </c>
      <c r="C1061" t="s">
        <v>27</v>
      </c>
      <c r="D1061" t="s">
        <v>19</v>
      </c>
      <c r="E1061" t="s">
        <v>14</v>
      </c>
      <c r="F1061" s="3">
        <v>925.96</v>
      </c>
      <c r="G1061" s="3">
        <v>2057.69</v>
      </c>
      <c r="H1061" s="3">
        <f>Table1[[#This Row],[Sale]]-Table1[[#This Row],[Cost]]</f>
        <v>1131.73</v>
      </c>
      <c r="I1061" s="4">
        <f>Table1[[#This Row],[Profit]]/Table1[[#This Row],[Sale]]</f>
        <v>0.55000024299092676</v>
      </c>
      <c r="J1061" s="5">
        <f t="shared" si="32"/>
        <v>2006</v>
      </c>
      <c r="K1061" s="5">
        <f>MONTH(Table1[[#This Row],[Date]])</f>
        <v>3</v>
      </c>
      <c r="L1061" s="5">
        <f>DAY(Table1[[#This Row],[Date]])</f>
        <v>6</v>
      </c>
      <c r="M1061" s="5" t="str">
        <f t="shared" si="33"/>
        <v>Mar</v>
      </c>
    </row>
    <row r="1062" spans="1:13" x14ac:dyDescent="0.25">
      <c r="A1062" s="2">
        <v>38480</v>
      </c>
      <c r="B1062" t="s">
        <v>17</v>
      </c>
      <c r="C1062" t="s">
        <v>29</v>
      </c>
      <c r="D1062" t="s">
        <v>19</v>
      </c>
      <c r="E1062" t="s">
        <v>25</v>
      </c>
      <c r="F1062" s="3">
        <v>814.52</v>
      </c>
      <c r="G1062" s="3">
        <v>1810.04</v>
      </c>
      <c r="H1062" s="3">
        <f>Table1[[#This Row],[Sale]]-Table1[[#This Row],[Cost]]</f>
        <v>995.52</v>
      </c>
      <c r="I1062" s="4">
        <f>Table1[[#This Row],[Profit]]/Table1[[#This Row],[Sale]]</f>
        <v>0.54999889505204302</v>
      </c>
      <c r="J1062" s="5">
        <f t="shared" si="32"/>
        <v>2005</v>
      </c>
      <c r="K1062" s="5">
        <f>MONTH(Table1[[#This Row],[Date]])</f>
        <v>5</v>
      </c>
      <c r="L1062" s="5">
        <f>DAY(Table1[[#This Row],[Date]])</f>
        <v>8</v>
      </c>
      <c r="M1062" s="5" t="str">
        <f t="shared" si="33"/>
        <v>May</v>
      </c>
    </row>
    <row r="1063" spans="1:13" x14ac:dyDescent="0.25">
      <c r="A1063" s="2">
        <v>38852</v>
      </c>
      <c r="B1063" t="s">
        <v>11</v>
      </c>
      <c r="C1063" t="s">
        <v>12</v>
      </c>
      <c r="D1063" t="s">
        <v>19</v>
      </c>
      <c r="E1063" t="s">
        <v>20</v>
      </c>
      <c r="F1063" s="3">
        <v>3605.04</v>
      </c>
      <c r="G1063" s="3">
        <v>6554.62</v>
      </c>
      <c r="H1063" s="3">
        <f>Table1[[#This Row],[Sale]]-Table1[[#This Row],[Cost]]</f>
        <v>2949.58</v>
      </c>
      <c r="I1063" s="4">
        <f>Table1[[#This Row],[Profit]]/Table1[[#This Row],[Sale]]</f>
        <v>0.45000015256414561</v>
      </c>
      <c r="J1063" s="5">
        <f t="shared" si="32"/>
        <v>2006</v>
      </c>
      <c r="K1063" s="5">
        <f>MONTH(Table1[[#This Row],[Date]])</f>
        <v>5</v>
      </c>
      <c r="L1063" s="5">
        <f>DAY(Table1[[#This Row],[Date]])</f>
        <v>15</v>
      </c>
      <c r="M1063" s="5" t="str">
        <f t="shared" si="33"/>
        <v>May</v>
      </c>
    </row>
    <row r="1064" spans="1:13" x14ac:dyDescent="0.25">
      <c r="A1064" s="2">
        <v>38231</v>
      </c>
      <c r="B1064" t="s">
        <v>22</v>
      </c>
      <c r="C1064" t="s">
        <v>29</v>
      </c>
      <c r="D1064" t="s">
        <v>19</v>
      </c>
      <c r="E1064" t="s">
        <v>14</v>
      </c>
      <c r="F1064" s="3">
        <v>425.44</v>
      </c>
      <c r="G1064" s="3">
        <v>455.02</v>
      </c>
      <c r="H1064" s="3">
        <f>Table1[[#This Row],[Sale]]-Table1[[#This Row],[Cost]]</f>
        <v>29.579999999999984</v>
      </c>
      <c r="I1064" s="4">
        <f>Table1[[#This Row],[Profit]]/Table1[[#This Row],[Sale]]</f>
        <v>6.5008131510702796E-2</v>
      </c>
      <c r="J1064" s="5">
        <f t="shared" si="32"/>
        <v>2004</v>
      </c>
      <c r="K1064" s="5">
        <f>MONTH(Table1[[#This Row],[Date]])</f>
        <v>9</v>
      </c>
      <c r="L1064" s="5">
        <f>DAY(Table1[[#This Row],[Date]])</f>
        <v>1</v>
      </c>
      <c r="M1064" s="5" t="str">
        <f t="shared" si="33"/>
        <v>Sep</v>
      </c>
    </row>
    <row r="1065" spans="1:13" x14ac:dyDescent="0.25">
      <c r="A1065" s="2">
        <v>38373</v>
      </c>
      <c r="B1065" t="s">
        <v>22</v>
      </c>
      <c r="C1065" t="s">
        <v>12</v>
      </c>
      <c r="D1065" t="s">
        <v>16</v>
      </c>
      <c r="E1065" t="s">
        <v>20</v>
      </c>
      <c r="F1065" s="3">
        <v>1476.29</v>
      </c>
      <c r="G1065" s="3">
        <v>3989.97</v>
      </c>
      <c r="H1065" s="3">
        <f>Table1[[#This Row],[Sale]]-Table1[[#This Row],[Cost]]</f>
        <v>2513.6799999999998</v>
      </c>
      <c r="I1065" s="4">
        <f>Table1[[#This Row],[Profit]]/Table1[[#This Row],[Sale]]</f>
        <v>0.6299997243087041</v>
      </c>
      <c r="J1065" s="5">
        <f t="shared" si="32"/>
        <v>2005</v>
      </c>
      <c r="K1065" s="5">
        <f>MONTH(Table1[[#This Row],[Date]])</f>
        <v>1</v>
      </c>
      <c r="L1065" s="5">
        <f>DAY(Table1[[#This Row],[Date]])</f>
        <v>21</v>
      </c>
      <c r="M1065" s="5" t="str">
        <f t="shared" si="33"/>
        <v>Jan</v>
      </c>
    </row>
    <row r="1066" spans="1:13" x14ac:dyDescent="0.25">
      <c r="A1066" s="2">
        <v>38711</v>
      </c>
      <c r="B1066" t="s">
        <v>11</v>
      </c>
      <c r="C1066" t="s">
        <v>23</v>
      </c>
      <c r="D1066" t="s">
        <v>19</v>
      </c>
      <c r="E1066" t="s">
        <v>20</v>
      </c>
      <c r="F1066" s="3">
        <v>1812.14</v>
      </c>
      <c r="G1066" s="3">
        <v>2416.19</v>
      </c>
      <c r="H1066" s="3">
        <f>Table1[[#This Row],[Sale]]-Table1[[#This Row],[Cost]]</f>
        <v>604.04999999999995</v>
      </c>
      <c r="I1066" s="4">
        <f>Table1[[#This Row],[Profit]]/Table1[[#This Row],[Sale]]</f>
        <v>0.25000103468684165</v>
      </c>
      <c r="J1066" s="5">
        <f t="shared" si="32"/>
        <v>2005</v>
      </c>
      <c r="K1066" s="5">
        <f>MONTH(Table1[[#This Row],[Date]])</f>
        <v>12</v>
      </c>
      <c r="L1066" s="5">
        <f>DAY(Table1[[#This Row],[Date]])</f>
        <v>25</v>
      </c>
      <c r="M1066" s="5" t="str">
        <f t="shared" si="33"/>
        <v>Dec</v>
      </c>
    </row>
    <row r="1067" spans="1:13" x14ac:dyDescent="0.25">
      <c r="A1067" s="2">
        <v>38433</v>
      </c>
      <c r="B1067" t="s">
        <v>21</v>
      </c>
      <c r="C1067" t="s">
        <v>12</v>
      </c>
      <c r="D1067" t="s">
        <v>13</v>
      </c>
      <c r="E1067" t="s">
        <v>25</v>
      </c>
      <c r="F1067" s="3">
        <v>4231.2299999999996</v>
      </c>
      <c r="G1067" s="3">
        <v>7295.22</v>
      </c>
      <c r="H1067" s="3">
        <f>Table1[[#This Row],[Sale]]-Table1[[#This Row],[Cost]]</f>
        <v>3063.9900000000007</v>
      </c>
      <c r="I1067" s="4">
        <f>Table1[[#This Row],[Profit]]/Table1[[#This Row],[Sale]]</f>
        <v>0.41999967101746083</v>
      </c>
      <c r="J1067" s="5">
        <f t="shared" si="32"/>
        <v>2005</v>
      </c>
      <c r="K1067" s="5">
        <f>MONTH(Table1[[#This Row],[Date]])</f>
        <v>3</v>
      </c>
      <c r="L1067" s="5">
        <f>DAY(Table1[[#This Row],[Date]])</f>
        <v>22</v>
      </c>
      <c r="M1067" s="5" t="str">
        <f t="shared" si="33"/>
        <v>Mar</v>
      </c>
    </row>
    <row r="1068" spans="1:13" x14ac:dyDescent="0.25">
      <c r="A1068" s="2">
        <v>38654</v>
      </c>
      <c r="B1068" t="s">
        <v>21</v>
      </c>
      <c r="C1068" t="s">
        <v>23</v>
      </c>
      <c r="D1068" t="s">
        <v>16</v>
      </c>
      <c r="E1068" t="s">
        <v>14</v>
      </c>
      <c r="F1068" s="3">
        <v>1879.08</v>
      </c>
      <c r="G1068" s="3">
        <v>3239.79</v>
      </c>
      <c r="H1068" s="3">
        <f>Table1[[#This Row],[Sale]]-Table1[[#This Row],[Cost]]</f>
        <v>1360.71</v>
      </c>
      <c r="I1068" s="4">
        <f>Table1[[#This Row],[Profit]]/Table1[[#This Row],[Sale]]</f>
        <v>0.4199994444084339</v>
      </c>
      <c r="J1068" s="5">
        <f t="shared" si="32"/>
        <v>2005</v>
      </c>
      <c r="K1068" s="5">
        <f>MONTH(Table1[[#This Row],[Date]])</f>
        <v>10</v>
      </c>
      <c r="L1068" s="5">
        <f>DAY(Table1[[#This Row],[Date]])</f>
        <v>29</v>
      </c>
      <c r="M1068" s="5" t="str">
        <f t="shared" si="33"/>
        <v>Oct</v>
      </c>
    </row>
    <row r="1069" spans="1:13" x14ac:dyDescent="0.25">
      <c r="A1069" s="2">
        <v>38690</v>
      </c>
      <c r="B1069" t="s">
        <v>26</v>
      </c>
      <c r="C1069" t="s">
        <v>23</v>
      </c>
      <c r="D1069" t="s">
        <v>28</v>
      </c>
      <c r="E1069" t="s">
        <v>24</v>
      </c>
      <c r="F1069" s="3">
        <v>3171.6</v>
      </c>
      <c r="G1069" s="3">
        <v>5375.59</v>
      </c>
      <c r="H1069" s="3">
        <f>Table1[[#This Row],[Sale]]-Table1[[#This Row],[Cost]]</f>
        <v>2203.9900000000002</v>
      </c>
      <c r="I1069" s="4">
        <f>Table1[[#This Row],[Profit]]/Table1[[#This Row],[Sale]]</f>
        <v>0.4099996465504252</v>
      </c>
      <c r="J1069" s="5">
        <f t="shared" si="32"/>
        <v>2005</v>
      </c>
      <c r="K1069" s="5">
        <f>MONTH(Table1[[#This Row],[Date]])</f>
        <v>12</v>
      </c>
      <c r="L1069" s="5">
        <f>DAY(Table1[[#This Row],[Date]])</f>
        <v>4</v>
      </c>
      <c r="M1069" s="5" t="str">
        <f t="shared" si="33"/>
        <v>Dec</v>
      </c>
    </row>
    <row r="1070" spans="1:13" x14ac:dyDescent="0.25">
      <c r="A1070" s="2">
        <v>38583</v>
      </c>
      <c r="B1070" t="s">
        <v>15</v>
      </c>
      <c r="C1070" t="s">
        <v>18</v>
      </c>
      <c r="D1070" t="s">
        <v>16</v>
      </c>
      <c r="E1070" t="s">
        <v>24</v>
      </c>
      <c r="F1070" s="3">
        <v>4217.72</v>
      </c>
      <c r="G1070" s="3">
        <v>9808.64</v>
      </c>
      <c r="H1070" s="3">
        <f>Table1[[#This Row],[Sale]]-Table1[[#This Row],[Cost]]</f>
        <v>5590.9199999999992</v>
      </c>
      <c r="I1070" s="4">
        <f>Table1[[#This Row],[Profit]]/Table1[[#This Row],[Sale]]</f>
        <v>0.56999951063552123</v>
      </c>
      <c r="J1070" s="5">
        <f t="shared" si="32"/>
        <v>2005</v>
      </c>
      <c r="K1070" s="5">
        <f>MONTH(Table1[[#This Row],[Date]])</f>
        <v>8</v>
      </c>
      <c r="L1070" s="5">
        <f>DAY(Table1[[#This Row],[Date]])</f>
        <v>19</v>
      </c>
      <c r="M1070" s="5" t="str">
        <f t="shared" si="33"/>
        <v>Aug</v>
      </c>
    </row>
    <row r="1071" spans="1:13" x14ac:dyDescent="0.25">
      <c r="A1071" s="2">
        <v>38160</v>
      </c>
      <c r="B1071" t="s">
        <v>22</v>
      </c>
      <c r="C1071" t="s">
        <v>27</v>
      </c>
      <c r="D1071" t="s">
        <v>13</v>
      </c>
      <c r="E1071" t="s">
        <v>20</v>
      </c>
      <c r="F1071" s="3">
        <v>1007.75</v>
      </c>
      <c r="G1071" s="3">
        <v>2239.44</v>
      </c>
      <c r="H1071" s="3">
        <f>Table1[[#This Row],[Sale]]-Table1[[#This Row],[Cost]]</f>
        <v>1231.69</v>
      </c>
      <c r="I1071" s="4">
        <f>Table1[[#This Row],[Profit]]/Table1[[#This Row],[Sale]]</f>
        <v>0.54999910691958709</v>
      </c>
      <c r="J1071" s="5">
        <f t="shared" si="32"/>
        <v>2004</v>
      </c>
      <c r="K1071" s="5">
        <f>MONTH(Table1[[#This Row],[Date]])</f>
        <v>6</v>
      </c>
      <c r="L1071" s="5">
        <f>DAY(Table1[[#This Row],[Date]])</f>
        <v>22</v>
      </c>
      <c r="M1071" s="5" t="str">
        <f t="shared" si="33"/>
        <v>Jun</v>
      </c>
    </row>
    <row r="1072" spans="1:13" x14ac:dyDescent="0.25">
      <c r="A1072" s="2">
        <v>38547</v>
      </c>
      <c r="B1072" t="s">
        <v>15</v>
      </c>
      <c r="C1072" t="s">
        <v>29</v>
      </c>
      <c r="D1072" t="s">
        <v>19</v>
      </c>
      <c r="E1072" t="s">
        <v>24</v>
      </c>
      <c r="F1072" s="3">
        <v>2178.79</v>
      </c>
      <c r="G1072" s="3">
        <v>5066.96</v>
      </c>
      <c r="H1072" s="3">
        <f>Table1[[#This Row],[Sale]]-Table1[[#This Row],[Cost]]</f>
        <v>2888.17</v>
      </c>
      <c r="I1072" s="4">
        <f>Table1[[#This Row],[Profit]]/Table1[[#This Row],[Sale]]</f>
        <v>0.57000055259958637</v>
      </c>
      <c r="J1072" s="5">
        <f t="shared" si="32"/>
        <v>2005</v>
      </c>
      <c r="K1072" s="5">
        <f>MONTH(Table1[[#This Row],[Date]])</f>
        <v>7</v>
      </c>
      <c r="L1072" s="5">
        <f>DAY(Table1[[#This Row],[Date]])</f>
        <v>14</v>
      </c>
      <c r="M1072" s="5" t="str">
        <f t="shared" si="33"/>
        <v>Jul</v>
      </c>
    </row>
    <row r="1073" spans="1:13" x14ac:dyDescent="0.25">
      <c r="A1073" s="2">
        <v>38638</v>
      </c>
      <c r="B1073" t="s">
        <v>26</v>
      </c>
      <c r="C1073" t="s">
        <v>12</v>
      </c>
      <c r="D1073" t="s">
        <v>28</v>
      </c>
      <c r="E1073" t="s">
        <v>14</v>
      </c>
      <c r="F1073" s="3">
        <v>2395.25</v>
      </c>
      <c r="G1073" s="3">
        <v>6473.64</v>
      </c>
      <c r="H1073" s="3">
        <f>Table1[[#This Row],[Sale]]-Table1[[#This Row],[Cost]]</f>
        <v>4078.3900000000003</v>
      </c>
      <c r="I1073" s="4">
        <f>Table1[[#This Row],[Profit]]/Table1[[#This Row],[Sale]]</f>
        <v>0.62999950568768115</v>
      </c>
      <c r="J1073" s="5">
        <f t="shared" si="32"/>
        <v>2005</v>
      </c>
      <c r="K1073" s="5">
        <f>MONTH(Table1[[#This Row],[Date]])</f>
        <v>10</v>
      </c>
      <c r="L1073" s="5">
        <f>DAY(Table1[[#This Row],[Date]])</f>
        <v>13</v>
      </c>
      <c r="M1073" s="5" t="str">
        <f t="shared" si="33"/>
        <v>Oct</v>
      </c>
    </row>
    <row r="1074" spans="1:13" x14ac:dyDescent="0.25">
      <c r="A1074" s="2">
        <v>38589</v>
      </c>
      <c r="B1074" t="s">
        <v>21</v>
      </c>
      <c r="C1074" t="s">
        <v>18</v>
      </c>
      <c r="D1074" t="s">
        <v>19</v>
      </c>
      <c r="E1074" t="s">
        <v>20</v>
      </c>
      <c r="F1074" s="3">
        <v>4355.79</v>
      </c>
      <c r="G1074" s="3">
        <v>7382.7</v>
      </c>
      <c r="H1074" s="3">
        <f>Table1[[#This Row],[Sale]]-Table1[[#This Row],[Cost]]</f>
        <v>3026.91</v>
      </c>
      <c r="I1074" s="4">
        <f>Table1[[#This Row],[Profit]]/Table1[[#This Row],[Sale]]</f>
        <v>0.41000040635539842</v>
      </c>
      <c r="J1074" s="5">
        <f t="shared" si="32"/>
        <v>2005</v>
      </c>
      <c r="K1074" s="5">
        <f>MONTH(Table1[[#This Row],[Date]])</f>
        <v>8</v>
      </c>
      <c r="L1074" s="5">
        <f>DAY(Table1[[#This Row],[Date]])</f>
        <v>25</v>
      </c>
      <c r="M1074" s="5" t="str">
        <f t="shared" si="33"/>
        <v>Aug</v>
      </c>
    </row>
    <row r="1075" spans="1:13" x14ac:dyDescent="0.25">
      <c r="A1075" s="2">
        <v>38268</v>
      </c>
      <c r="B1075" t="s">
        <v>15</v>
      </c>
      <c r="C1075" t="s">
        <v>27</v>
      </c>
      <c r="D1075" t="s">
        <v>28</v>
      </c>
      <c r="E1075" t="s">
        <v>24</v>
      </c>
      <c r="F1075" s="3">
        <v>7750.48</v>
      </c>
      <c r="G1075" s="3">
        <v>8807.36</v>
      </c>
      <c r="H1075" s="3">
        <f>Table1[[#This Row],[Sale]]-Table1[[#This Row],[Cost]]</f>
        <v>1056.880000000001</v>
      </c>
      <c r="I1075" s="4">
        <f>Table1[[#This Row],[Profit]]/Table1[[#This Row],[Sale]]</f>
        <v>0.11999963666751455</v>
      </c>
      <c r="J1075" s="5">
        <f t="shared" si="32"/>
        <v>2004</v>
      </c>
      <c r="K1075" s="5">
        <f>MONTH(Table1[[#This Row],[Date]])</f>
        <v>10</v>
      </c>
      <c r="L1075" s="5">
        <f>DAY(Table1[[#This Row],[Date]])</f>
        <v>8</v>
      </c>
      <c r="M1075" s="5" t="str">
        <f t="shared" si="33"/>
        <v>Oct</v>
      </c>
    </row>
    <row r="1076" spans="1:13" x14ac:dyDescent="0.25">
      <c r="A1076" s="2">
        <v>38427</v>
      </c>
      <c r="B1076" t="s">
        <v>15</v>
      </c>
      <c r="C1076" t="s">
        <v>12</v>
      </c>
      <c r="D1076" t="s">
        <v>19</v>
      </c>
      <c r="E1076" t="s">
        <v>25</v>
      </c>
      <c r="F1076" s="3">
        <v>4363.18</v>
      </c>
      <c r="G1076" s="3">
        <v>7395.22</v>
      </c>
      <c r="H1076" s="3">
        <f>Table1[[#This Row],[Sale]]-Table1[[#This Row],[Cost]]</f>
        <v>3032.04</v>
      </c>
      <c r="I1076" s="4">
        <f>Table1[[#This Row],[Profit]]/Table1[[#This Row],[Sale]]</f>
        <v>0.40999997295550367</v>
      </c>
      <c r="J1076" s="5">
        <f t="shared" si="32"/>
        <v>2005</v>
      </c>
      <c r="K1076" s="5">
        <f>MONTH(Table1[[#This Row],[Date]])</f>
        <v>3</v>
      </c>
      <c r="L1076" s="5">
        <f>DAY(Table1[[#This Row],[Date]])</f>
        <v>16</v>
      </c>
      <c r="M1076" s="5" t="str">
        <f t="shared" si="33"/>
        <v>Mar</v>
      </c>
    </row>
    <row r="1077" spans="1:13" x14ac:dyDescent="0.25">
      <c r="A1077" s="2">
        <v>38678</v>
      </c>
      <c r="B1077" t="s">
        <v>17</v>
      </c>
      <c r="C1077" t="s">
        <v>23</v>
      </c>
      <c r="D1077" t="s">
        <v>13</v>
      </c>
      <c r="E1077" t="s">
        <v>20</v>
      </c>
      <c r="F1077" s="3">
        <v>1014.32</v>
      </c>
      <c r="G1077" s="3">
        <v>1748.83</v>
      </c>
      <c r="H1077" s="3">
        <f>Table1[[#This Row],[Sale]]-Table1[[#This Row],[Cost]]</f>
        <v>734.50999999999988</v>
      </c>
      <c r="I1077" s="4">
        <f>Table1[[#This Row],[Profit]]/Table1[[#This Row],[Sale]]</f>
        <v>0.42000080053521494</v>
      </c>
      <c r="J1077" s="5">
        <f t="shared" si="32"/>
        <v>2005</v>
      </c>
      <c r="K1077" s="5">
        <f>MONTH(Table1[[#This Row],[Date]])</f>
        <v>11</v>
      </c>
      <c r="L1077" s="5">
        <f>DAY(Table1[[#This Row],[Date]])</f>
        <v>22</v>
      </c>
      <c r="M1077" s="5" t="str">
        <f t="shared" si="33"/>
        <v>Nov</v>
      </c>
    </row>
    <row r="1078" spans="1:13" x14ac:dyDescent="0.25">
      <c r="A1078" s="2">
        <v>38864</v>
      </c>
      <c r="B1078" t="s">
        <v>11</v>
      </c>
      <c r="C1078" t="s">
        <v>23</v>
      </c>
      <c r="D1078" t="s">
        <v>28</v>
      </c>
      <c r="E1078" t="s">
        <v>24</v>
      </c>
      <c r="F1078" s="3">
        <v>1067.1600000000001</v>
      </c>
      <c r="G1078" s="3">
        <v>1808.75</v>
      </c>
      <c r="H1078" s="3">
        <f>Table1[[#This Row],[Sale]]-Table1[[#This Row],[Cost]]</f>
        <v>741.58999999999992</v>
      </c>
      <c r="I1078" s="4">
        <f>Table1[[#This Row],[Profit]]/Table1[[#This Row],[Sale]]</f>
        <v>0.41000138217000687</v>
      </c>
      <c r="J1078" s="5">
        <f t="shared" si="32"/>
        <v>2006</v>
      </c>
      <c r="K1078" s="5">
        <f>MONTH(Table1[[#This Row],[Date]])</f>
        <v>5</v>
      </c>
      <c r="L1078" s="5">
        <f>DAY(Table1[[#This Row],[Date]])</f>
        <v>27</v>
      </c>
      <c r="M1078" s="5" t="str">
        <f t="shared" si="33"/>
        <v>May</v>
      </c>
    </row>
    <row r="1079" spans="1:13" x14ac:dyDescent="0.25">
      <c r="A1079" s="2">
        <v>38877</v>
      </c>
      <c r="B1079" t="s">
        <v>21</v>
      </c>
      <c r="C1079" t="s">
        <v>12</v>
      </c>
      <c r="D1079" t="s">
        <v>19</v>
      </c>
      <c r="E1079" t="s">
        <v>25</v>
      </c>
      <c r="F1079" s="3">
        <v>4426.8999999999996</v>
      </c>
      <c r="G1079" s="3">
        <v>7503.22</v>
      </c>
      <c r="H1079" s="3">
        <f>Table1[[#This Row],[Sale]]-Table1[[#This Row],[Cost]]</f>
        <v>3076.3200000000006</v>
      </c>
      <c r="I1079" s="4">
        <f>Table1[[#This Row],[Profit]]/Table1[[#This Row],[Sale]]</f>
        <v>0.40999997334477739</v>
      </c>
      <c r="J1079" s="5">
        <f t="shared" si="32"/>
        <v>2006</v>
      </c>
      <c r="K1079" s="5">
        <f>MONTH(Table1[[#This Row],[Date]])</f>
        <v>6</v>
      </c>
      <c r="L1079" s="5">
        <f>DAY(Table1[[#This Row],[Date]])</f>
        <v>9</v>
      </c>
      <c r="M1079" s="5" t="str">
        <f t="shared" si="33"/>
        <v>Jun</v>
      </c>
    </row>
    <row r="1080" spans="1:13" x14ac:dyDescent="0.25">
      <c r="A1080" s="2">
        <v>38244</v>
      </c>
      <c r="B1080" t="s">
        <v>15</v>
      </c>
      <c r="C1080" t="s">
        <v>18</v>
      </c>
      <c r="D1080" t="s">
        <v>19</v>
      </c>
      <c r="E1080" t="s">
        <v>14</v>
      </c>
      <c r="F1080" s="3">
        <v>3229.12</v>
      </c>
      <c r="G1080" s="3">
        <v>3453.6</v>
      </c>
      <c r="H1080" s="3">
        <f>Table1[[#This Row],[Sale]]-Table1[[#This Row],[Cost]]</f>
        <v>224.48000000000002</v>
      </c>
      <c r="I1080" s="4">
        <f>Table1[[#This Row],[Profit]]/Table1[[#This Row],[Sale]]</f>
        <v>6.4998841788278902E-2</v>
      </c>
      <c r="J1080" s="5">
        <f t="shared" si="32"/>
        <v>2004</v>
      </c>
      <c r="K1080" s="5">
        <f>MONTH(Table1[[#This Row],[Date]])</f>
        <v>9</v>
      </c>
      <c r="L1080" s="5">
        <f>DAY(Table1[[#This Row],[Date]])</f>
        <v>14</v>
      </c>
      <c r="M1080" s="5" t="str">
        <f t="shared" si="33"/>
        <v>Sep</v>
      </c>
    </row>
    <row r="1081" spans="1:13" x14ac:dyDescent="0.25">
      <c r="A1081" s="2">
        <v>38408</v>
      </c>
      <c r="B1081" t="s">
        <v>21</v>
      </c>
      <c r="C1081" t="s">
        <v>18</v>
      </c>
      <c r="D1081" t="s">
        <v>13</v>
      </c>
      <c r="E1081" t="s">
        <v>25</v>
      </c>
      <c r="F1081" s="3">
        <v>2947.35</v>
      </c>
      <c r="G1081" s="3">
        <v>3152.25</v>
      </c>
      <c r="H1081" s="3">
        <f>Table1[[#This Row],[Sale]]-Table1[[#This Row],[Cost]]</f>
        <v>204.90000000000009</v>
      </c>
      <c r="I1081" s="4">
        <f>Table1[[#This Row],[Profit]]/Table1[[#This Row],[Sale]]</f>
        <v>6.5001189626457317E-2</v>
      </c>
      <c r="J1081" s="5">
        <f t="shared" si="32"/>
        <v>2005</v>
      </c>
      <c r="K1081" s="5">
        <f>MONTH(Table1[[#This Row],[Date]])</f>
        <v>2</v>
      </c>
      <c r="L1081" s="5">
        <f>DAY(Table1[[#This Row],[Date]])</f>
        <v>25</v>
      </c>
      <c r="M1081" s="5" t="str">
        <f t="shared" si="33"/>
        <v>Feb</v>
      </c>
    </row>
    <row r="1082" spans="1:13" x14ac:dyDescent="0.25">
      <c r="A1082" s="2">
        <v>38591</v>
      </c>
      <c r="B1082" t="s">
        <v>17</v>
      </c>
      <c r="C1082" t="s">
        <v>27</v>
      </c>
      <c r="D1082" t="s">
        <v>16</v>
      </c>
      <c r="E1082" t="s">
        <v>14</v>
      </c>
      <c r="F1082" s="3">
        <v>3424.92</v>
      </c>
      <c r="G1082" s="3">
        <v>6227.12</v>
      </c>
      <c r="H1082" s="3">
        <f>Table1[[#This Row],[Sale]]-Table1[[#This Row],[Cost]]</f>
        <v>2802.2</v>
      </c>
      <c r="I1082" s="4">
        <f>Table1[[#This Row],[Profit]]/Table1[[#This Row],[Sale]]</f>
        <v>0.44999935764847954</v>
      </c>
      <c r="J1082" s="5">
        <f t="shared" si="32"/>
        <v>2005</v>
      </c>
      <c r="K1082" s="5">
        <f>MONTH(Table1[[#This Row],[Date]])</f>
        <v>8</v>
      </c>
      <c r="L1082" s="5">
        <f>DAY(Table1[[#This Row],[Date]])</f>
        <v>27</v>
      </c>
      <c r="M1082" s="5" t="str">
        <f t="shared" si="33"/>
        <v>Aug</v>
      </c>
    </row>
    <row r="1083" spans="1:13" x14ac:dyDescent="0.25">
      <c r="A1083" s="2">
        <v>38317</v>
      </c>
      <c r="B1083" t="s">
        <v>22</v>
      </c>
      <c r="C1083" t="s">
        <v>18</v>
      </c>
      <c r="D1083" t="s">
        <v>13</v>
      </c>
      <c r="E1083" t="s">
        <v>24</v>
      </c>
      <c r="F1083" s="3">
        <v>3950.35</v>
      </c>
      <c r="G1083" s="3">
        <v>4489.03</v>
      </c>
      <c r="H1083" s="3">
        <f>Table1[[#This Row],[Sale]]-Table1[[#This Row],[Cost]]</f>
        <v>538.67999999999984</v>
      </c>
      <c r="I1083" s="4">
        <f>Table1[[#This Row],[Profit]]/Table1[[#This Row],[Sale]]</f>
        <v>0.11999919804501193</v>
      </c>
      <c r="J1083" s="5">
        <f t="shared" si="32"/>
        <v>2004</v>
      </c>
      <c r="K1083" s="5">
        <f>MONTH(Table1[[#This Row],[Date]])</f>
        <v>11</v>
      </c>
      <c r="L1083" s="5">
        <f>DAY(Table1[[#This Row],[Date]])</f>
        <v>26</v>
      </c>
      <c r="M1083" s="5" t="str">
        <f t="shared" si="33"/>
        <v>Nov</v>
      </c>
    </row>
    <row r="1084" spans="1:13" x14ac:dyDescent="0.25">
      <c r="A1084" s="2">
        <v>38470</v>
      </c>
      <c r="B1084" t="s">
        <v>26</v>
      </c>
      <c r="C1084" t="s">
        <v>27</v>
      </c>
      <c r="D1084" t="s">
        <v>13</v>
      </c>
      <c r="E1084" t="s">
        <v>14</v>
      </c>
      <c r="F1084" s="3">
        <v>3493.05</v>
      </c>
      <c r="G1084" s="3">
        <v>8123.38</v>
      </c>
      <c r="H1084" s="3">
        <f>Table1[[#This Row],[Sale]]-Table1[[#This Row],[Cost]]</f>
        <v>4630.33</v>
      </c>
      <c r="I1084" s="4">
        <f>Table1[[#This Row],[Profit]]/Table1[[#This Row],[Sale]]</f>
        <v>0.57000041854498984</v>
      </c>
      <c r="J1084" s="5">
        <f t="shared" si="32"/>
        <v>2005</v>
      </c>
      <c r="K1084" s="5">
        <f>MONTH(Table1[[#This Row],[Date]])</f>
        <v>4</v>
      </c>
      <c r="L1084" s="5">
        <f>DAY(Table1[[#This Row],[Date]])</f>
        <v>28</v>
      </c>
      <c r="M1084" s="5" t="str">
        <f t="shared" si="33"/>
        <v>Apr</v>
      </c>
    </row>
    <row r="1085" spans="1:13" x14ac:dyDescent="0.25">
      <c r="A1085" s="2">
        <v>38582</v>
      </c>
      <c r="B1085" t="s">
        <v>21</v>
      </c>
      <c r="C1085" t="s">
        <v>27</v>
      </c>
      <c r="D1085" t="s">
        <v>16</v>
      </c>
      <c r="E1085" t="s">
        <v>14</v>
      </c>
      <c r="F1085" s="3">
        <v>5147.4399999999996</v>
      </c>
      <c r="G1085" s="3">
        <v>8874.89</v>
      </c>
      <c r="H1085" s="3">
        <f>Table1[[#This Row],[Sale]]-Table1[[#This Row],[Cost]]</f>
        <v>3727.45</v>
      </c>
      <c r="I1085" s="4">
        <f>Table1[[#This Row],[Profit]]/Table1[[#This Row],[Sale]]</f>
        <v>0.41999957182567899</v>
      </c>
      <c r="J1085" s="5">
        <f t="shared" si="32"/>
        <v>2005</v>
      </c>
      <c r="K1085" s="5">
        <f>MONTH(Table1[[#This Row],[Date]])</f>
        <v>8</v>
      </c>
      <c r="L1085" s="5">
        <f>DAY(Table1[[#This Row],[Date]])</f>
        <v>18</v>
      </c>
      <c r="M1085" s="5" t="str">
        <f t="shared" si="33"/>
        <v>Aug</v>
      </c>
    </row>
    <row r="1086" spans="1:13" x14ac:dyDescent="0.25">
      <c r="A1086" s="2">
        <v>38528</v>
      </c>
      <c r="B1086" t="s">
        <v>26</v>
      </c>
      <c r="C1086" t="s">
        <v>18</v>
      </c>
      <c r="D1086" t="s">
        <v>13</v>
      </c>
      <c r="E1086" t="s">
        <v>20</v>
      </c>
      <c r="F1086" s="3">
        <v>3282.32</v>
      </c>
      <c r="G1086" s="3">
        <v>7294.05</v>
      </c>
      <c r="H1086" s="3">
        <f>Table1[[#This Row],[Sale]]-Table1[[#This Row],[Cost]]</f>
        <v>4011.73</v>
      </c>
      <c r="I1086" s="4">
        <f>Table1[[#This Row],[Profit]]/Table1[[#This Row],[Sale]]</f>
        <v>0.55000034274511411</v>
      </c>
      <c r="J1086" s="5">
        <f t="shared" si="32"/>
        <v>2005</v>
      </c>
      <c r="K1086" s="5">
        <f>MONTH(Table1[[#This Row],[Date]])</f>
        <v>6</v>
      </c>
      <c r="L1086" s="5">
        <f>DAY(Table1[[#This Row],[Date]])</f>
        <v>25</v>
      </c>
      <c r="M1086" s="5" t="str">
        <f t="shared" si="33"/>
        <v>Jun</v>
      </c>
    </row>
    <row r="1087" spans="1:13" x14ac:dyDescent="0.25">
      <c r="A1087" s="2">
        <v>38654</v>
      </c>
      <c r="B1087" t="s">
        <v>26</v>
      </c>
      <c r="C1087" t="s">
        <v>27</v>
      </c>
      <c r="D1087" t="s">
        <v>16</v>
      </c>
      <c r="E1087" t="s">
        <v>20</v>
      </c>
      <c r="F1087" s="3">
        <v>2365.79</v>
      </c>
      <c r="G1087" s="3">
        <v>2688.4</v>
      </c>
      <c r="H1087" s="3">
        <f>Table1[[#This Row],[Sale]]-Table1[[#This Row],[Cost]]</f>
        <v>322.61000000000013</v>
      </c>
      <c r="I1087" s="4">
        <f>Table1[[#This Row],[Profit]]/Table1[[#This Row],[Sale]]</f>
        <v>0.12000074393691419</v>
      </c>
      <c r="J1087" s="5">
        <f t="shared" si="32"/>
        <v>2005</v>
      </c>
      <c r="K1087" s="5">
        <f>MONTH(Table1[[#This Row],[Date]])</f>
        <v>10</v>
      </c>
      <c r="L1087" s="5">
        <f>DAY(Table1[[#This Row],[Date]])</f>
        <v>29</v>
      </c>
      <c r="M1087" s="5" t="str">
        <f t="shared" si="33"/>
        <v>Oct</v>
      </c>
    </row>
    <row r="1088" spans="1:13" x14ac:dyDescent="0.25">
      <c r="A1088" s="2">
        <v>38260</v>
      </c>
      <c r="B1088" t="s">
        <v>11</v>
      </c>
      <c r="C1088" t="s">
        <v>18</v>
      </c>
      <c r="D1088" t="s">
        <v>19</v>
      </c>
      <c r="E1088" t="s">
        <v>25</v>
      </c>
      <c r="F1088" s="3">
        <v>3523.64</v>
      </c>
      <c r="G1088" s="3">
        <v>9523.35</v>
      </c>
      <c r="H1088" s="3">
        <f>Table1[[#This Row],[Sale]]-Table1[[#This Row],[Cost]]</f>
        <v>5999.7100000000009</v>
      </c>
      <c r="I1088" s="4">
        <f>Table1[[#This Row],[Profit]]/Table1[[#This Row],[Sale]]</f>
        <v>0.62999994749746679</v>
      </c>
      <c r="J1088" s="5">
        <f t="shared" si="32"/>
        <v>2004</v>
      </c>
      <c r="K1088" s="5">
        <f>MONTH(Table1[[#This Row],[Date]])</f>
        <v>9</v>
      </c>
      <c r="L1088" s="5">
        <f>DAY(Table1[[#This Row],[Date]])</f>
        <v>30</v>
      </c>
      <c r="M1088" s="5" t="str">
        <f t="shared" si="33"/>
        <v>Sep</v>
      </c>
    </row>
    <row r="1089" spans="1:13" x14ac:dyDescent="0.25">
      <c r="A1089" s="2">
        <v>38568</v>
      </c>
      <c r="B1089" t="s">
        <v>15</v>
      </c>
      <c r="C1089" t="s">
        <v>27</v>
      </c>
      <c r="D1089" t="s">
        <v>19</v>
      </c>
      <c r="E1089" t="s">
        <v>25</v>
      </c>
      <c r="F1089" s="3">
        <v>4911.25</v>
      </c>
      <c r="G1089" s="3">
        <v>5252.67</v>
      </c>
      <c r="H1089" s="3">
        <f>Table1[[#This Row],[Sale]]-Table1[[#This Row],[Cost]]</f>
        <v>341.42000000000007</v>
      </c>
      <c r="I1089" s="4">
        <f>Table1[[#This Row],[Profit]]/Table1[[#This Row],[Sale]]</f>
        <v>6.4999324153240168E-2</v>
      </c>
      <c r="J1089" s="5">
        <f t="shared" si="32"/>
        <v>2005</v>
      </c>
      <c r="K1089" s="5">
        <f>MONTH(Table1[[#This Row],[Date]])</f>
        <v>8</v>
      </c>
      <c r="L1089" s="5">
        <f>DAY(Table1[[#This Row],[Date]])</f>
        <v>4</v>
      </c>
      <c r="M1089" s="5" t="str">
        <f t="shared" si="33"/>
        <v>Aug</v>
      </c>
    </row>
    <row r="1090" spans="1:13" x14ac:dyDescent="0.25">
      <c r="A1090" s="2">
        <v>38182</v>
      </c>
      <c r="B1090" t="s">
        <v>26</v>
      </c>
      <c r="C1090" t="s">
        <v>29</v>
      </c>
      <c r="D1090" t="s">
        <v>28</v>
      </c>
      <c r="E1090" t="s">
        <v>24</v>
      </c>
      <c r="F1090" s="3">
        <v>4413.68</v>
      </c>
      <c r="G1090" s="3">
        <v>9808.18</v>
      </c>
      <c r="H1090" s="3">
        <f>Table1[[#This Row],[Sale]]-Table1[[#This Row],[Cost]]</f>
        <v>5394.5</v>
      </c>
      <c r="I1090" s="4">
        <f>Table1[[#This Row],[Profit]]/Table1[[#This Row],[Sale]]</f>
        <v>0.55000010195571447</v>
      </c>
      <c r="J1090" s="5">
        <f t="shared" ref="J1090:J1153" si="34">YEAR(A:A)</f>
        <v>2004</v>
      </c>
      <c r="K1090" s="5">
        <f>MONTH(Table1[[#This Row],[Date]])</f>
        <v>7</v>
      </c>
      <c r="L1090" s="5">
        <f>DAY(Table1[[#This Row],[Date]])</f>
        <v>14</v>
      </c>
      <c r="M1090" s="5" t="str">
        <f t="shared" ref="M1090:M1153" si="35">CHOOSE(K1090,"Jan", "Feb", "Mar", "Apr", "May", "Jun", "Jul", "Aug", "Sep", "Oct", "Nov", "Dec")</f>
        <v>Jul</v>
      </c>
    </row>
    <row r="1091" spans="1:13" x14ac:dyDescent="0.25">
      <c r="A1091" s="2">
        <v>38672</v>
      </c>
      <c r="B1091" t="s">
        <v>26</v>
      </c>
      <c r="C1091" t="s">
        <v>27</v>
      </c>
      <c r="D1091" t="s">
        <v>19</v>
      </c>
      <c r="E1091" t="s">
        <v>24</v>
      </c>
      <c r="F1091" s="3">
        <v>4919.22</v>
      </c>
      <c r="G1091" s="3">
        <v>8944.0400000000009</v>
      </c>
      <c r="H1091" s="3">
        <f>Table1[[#This Row],[Sale]]-Table1[[#This Row],[Cost]]</f>
        <v>4024.8200000000006</v>
      </c>
      <c r="I1091" s="4">
        <f>Table1[[#This Row],[Profit]]/Table1[[#This Row],[Sale]]</f>
        <v>0.45000022361259567</v>
      </c>
      <c r="J1091" s="5">
        <f t="shared" si="34"/>
        <v>2005</v>
      </c>
      <c r="K1091" s="5">
        <f>MONTH(Table1[[#This Row],[Date]])</f>
        <v>11</v>
      </c>
      <c r="L1091" s="5">
        <f>DAY(Table1[[#This Row],[Date]])</f>
        <v>16</v>
      </c>
      <c r="M1091" s="5" t="str">
        <f t="shared" si="35"/>
        <v>Nov</v>
      </c>
    </row>
    <row r="1092" spans="1:13" x14ac:dyDescent="0.25">
      <c r="A1092" s="2">
        <v>38802</v>
      </c>
      <c r="B1092" t="s">
        <v>26</v>
      </c>
      <c r="C1092" t="s">
        <v>12</v>
      </c>
      <c r="D1092" t="s">
        <v>19</v>
      </c>
      <c r="E1092" t="s">
        <v>20</v>
      </c>
      <c r="F1092" s="3">
        <v>2736.15</v>
      </c>
      <c r="G1092" s="3">
        <v>4637.55</v>
      </c>
      <c r="H1092" s="3">
        <f>Table1[[#This Row],[Sale]]-Table1[[#This Row],[Cost]]</f>
        <v>1901.4</v>
      </c>
      <c r="I1092" s="4">
        <f>Table1[[#This Row],[Profit]]/Table1[[#This Row],[Sale]]</f>
        <v>0.41000097033994243</v>
      </c>
      <c r="J1092" s="5">
        <f t="shared" si="34"/>
        <v>2006</v>
      </c>
      <c r="K1092" s="5">
        <f>MONTH(Table1[[#This Row],[Date]])</f>
        <v>3</v>
      </c>
      <c r="L1092" s="5">
        <f>DAY(Table1[[#This Row],[Date]])</f>
        <v>26</v>
      </c>
      <c r="M1092" s="5" t="str">
        <f t="shared" si="35"/>
        <v>Mar</v>
      </c>
    </row>
    <row r="1093" spans="1:13" x14ac:dyDescent="0.25">
      <c r="A1093" s="2">
        <v>38869</v>
      </c>
      <c r="B1093" t="s">
        <v>21</v>
      </c>
      <c r="C1093" t="s">
        <v>18</v>
      </c>
      <c r="D1093" t="s">
        <v>13</v>
      </c>
      <c r="E1093" t="s">
        <v>24</v>
      </c>
      <c r="F1093" s="3">
        <v>1276.1600000000001</v>
      </c>
      <c r="G1093" s="3">
        <v>1701.54</v>
      </c>
      <c r="H1093" s="3">
        <f>Table1[[#This Row],[Sale]]-Table1[[#This Row],[Cost]]</f>
        <v>425.37999999999988</v>
      </c>
      <c r="I1093" s="4">
        <f>Table1[[#This Row],[Profit]]/Table1[[#This Row],[Sale]]</f>
        <v>0.24999706148547779</v>
      </c>
      <c r="J1093" s="5">
        <f t="shared" si="34"/>
        <v>2006</v>
      </c>
      <c r="K1093" s="5">
        <f>MONTH(Table1[[#This Row],[Date]])</f>
        <v>6</v>
      </c>
      <c r="L1093" s="5">
        <f>DAY(Table1[[#This Row],[Date]])</f>
        <v>1</v>
      </c>
      <c r="M1093" s="5" t="str">
        <f t="shared" si="35"/>
        <v>Jun</v>
      </c>
    </row>
    <row r="1094" spans="1:13" x14ac:dyDescent="0.25">
      <c r="A1094" s="2">
        <v>38173</v>
      </c>
      <c r="B1094" t="s">
        <v>15</v>
      </c>
      <c r="C1094" t="s">
        <v>18</v>
      </c>
      <c r="D1094" t="s">
        <v>19</v>
      </c>
      <c r="E1094" t="s">
        <v>14</v>
      </c>
      <c r="F1094" s="3">
        <v>746.3</v>
      </c>
      <c r="G1094" s="3">
        <v>1356.9</v>
      </c>
      <c r="H1094" s="3">
        <f>Table1[[#This Row],[Sale]]-Table1[[#This Row],[Cost]]</f>
        <v>610.60000000000014</v>
      </c>
      <c r="I1094" s="4">
        <f>Table1[[#This Row],[Profit]]/Table1[[#This Row],[Sale]]</f>
        <v>0.44999631513007599</v>
      </c>
      <c r="J1094" s="5">
        <f t="shared" si="34"/>
        <v>2004</v>
      </c>
      <c r="K1094" s="5">
        <f>MONTH(Table1[[#This Row],[Date]])</f>
        <v>7</v>
      </c>
      <c r="L1094" s="5">
        <f>DAY(Table1[[#This Row],[Date]])</f>
        <v>5</v>
      </c>
      <c r="M1094" s="5" t="str">
        <f t="shared" si="35"/>
        <v>Jul</v>
      </c>
    </row>
    <row r="1095" spans="1:13" x14ac:dyDescent="0.25">
      <c r="A1095" s="2">
        <v>38570</v>
      </c>
      <c r="B1095" t="s">
        <v>21</v>
      </c>
      <c r="C1095" t="s">
        <v>18</v>
      </c>
      <c r="D1095" t="s">
        <v>16</v>
      </c>
      <c r="E1095" t="s">
        <v>14</v>
      </c>
      <c r="F1095" s="3">
        <v>4509.16</v>
      </c>
      <c r="G1095" s="3">
        <v>6631.12</v>
      </c>
      <c r="H1095" s="3">
        <f>Table1[[#This Row],[Sale]]-Table1[[#This Row],[Cost]]</f>
        <v>2121.96</v>
      </c>
      <c r="I1095" s="4">
        <f>Table1[[#This Row],[Profit]]/Table1[[#This Row],[Sale]]</f>
        <v>0.32000024128653987</v>
      </c>
      <c r="J1095" s="5">
        <f t="shared" si="34"/>
        <v>2005</v>
      </c>
      <c r="K1095" s="5">
        <f>MONTH(Table1[[#This Row],[Date]])</f>
        <v>8</v>
      </c>
      <c r="L1095" s="5">
        <f>DAY(Table1[[#This Row],[Date]])</f>
        <v>6</v>
      </c>
      <c r="M1095" s="5" t="str">
        <f t="shared" si="35"/>
        <v>Aug</v>
      </c>
    </row>
    <row r="1096" spans="1:13" x14ac:dyDescent="0.25">
      <c r="A1096" s="2">
        <v>38210</v>
      </c>
      <c r="B1096" t="s">
        <v>11</v>
      </c>
      <c r="C1096" t="s">
        <v>12</v>
      </c>
      <c r="D1096" t="s">
        <v>16</v>
      </c>
      <c r="E1096" t="s">
        <v>14</v>
      </c>
      <c r="F1096" s="3">
        <v>4044.87</v>
      </c>
      <c r="G1096" s="3">
        <v>7354.31</v>
      </c>
      <c r="H1096" s="3">
        <f>Table1[[#This Row],[Sale]]-Table1[[#This Row],[Cost]]</f>
        <v>3309.4400000000005</v>
      </c>
      <c r="I1096" s="4">
        <f>Table1[[#This Row],[Profit]]/Table1[[#This Row],[Sale]]</f>
        <v>0.45000006798734354</v>
      </c>
      <c r="J1096" s="5">
        <f t="shared" si="34"/>
        <v>2004</v>
      </c>
      <c r="K1096" s="5">
        <f>MONTH(Table1[[#This Row],[Date]])</f>
        <v>8</v>
      </c>
      <c r="L1096" s="5">
        <f>DAY(Table1[[#This Row],[Date]])</f>
        <v>11</v>
      </c>
      <c r="M1096" s="5" t="str">
        <f t="shared" si="35"/>
        <v>Aug</v>
      </c>
    </row>
    <row r="1097" spans="1:13" x14ac:dyDescent="0.25">
      <c r="A1097" s="2">
        <v>38627</v>
      </c>
      <c r="B1097" t="s">
        <v>22</v>
      </c>
      <c r="C1097" t="s">
        <v>27</v>
      </c>
      <c r="D1097" t="s">
        <v>28</v>
      </c>
      <c r="E1097" t="s">
        <v>24</v>
      </c>
      <c r="F1097" s="3">
        <v>1844.19</v>
      </c>
      <c r="G1097" s="3">
        <v>4984.3100000000004</v>
      </c>
      <c r="H1097" s="3">
        <f>Table1[[#This Row],[Sale]]-Table1[[#This Row],[Cost]]</f>
        <v>3140.1200000000003</v>
      </c>
      <c r="I1097" s="4">
        <f>Table1[[#This Row],[Profit]]/Table1[[#This Row],[Sale]]</f>
        <v>0.63000094295900533</v>
      </c>
      <c r="J1097" s="5">
        <f t="shared" si="34"/>
        <v>2005</v>
      </c>
      <c r="K1097" s="5">
        <f>MONTH(Table1[[#This Row],[Date]])</f>
        <v>10</v>
      </c>
      <c r="L1097" s="5">
        <f>DAY(Table1[[#This Row],[Date]])</f>
        <v>2</v>
      </c>
      <c r="M1097" s="5" t="str">
        <f t="shared" si="35"/>
        <v>Oct</v>
      </c>
    </row>
    <row r="1098" spans="1:13" x14ac:dyDescent="0.25">
      <c r="A1098" s="2">
        <v>38376</v>
      </c>
      <c r="B1098" t="s">
        <v>26</v>
      </c>
      <c r="C1098" t="s">
        <v>27</v>
      </c>
      <c r="D1098" t="s">
        <v>19</v>
      </c>
      <c r="E1098" t="s">
        <v>24</v>
      </c>
      <c r="F1098" s="3">
        <v>1091.1400000000001</v>
      </c>
      <c r="G1098" s="3">
        <v>2537.5300000000002</v>
      </c>
      <c r="H1098" s="3">
        <f>Table1[[#This Row],[Sale]]-Table1[[#This Row],[Cost]]</f>
        <v>1446.39</v>
      </c>
      <c r="I1098" s="4">
        <f>Table1[[#This Row],[Profit]]/Table1[[#This Row],[Sale]]</f>
        <v>0.56999917242357723</v>
      </c>
      <c r="J1098" s="5">
        <f t="shared" si="34"/>
        <v>2005</v>
      </c>
      <c r="K1098" s="5">
        <f>MONTH(Table1[[#This Row],[Date]])</f>
        <v>1</v>
      </c>
      <c r="L1098" s="5">
        <f>DAY(Table1[[#This Row],[Date]])</f>
        <v>24</v>
      </c>
      <c r="M1098" s="5" t="str">
        <f t="shared" si="35"/>
        <v>Jan</v>
      </c>
    </row>
    <row r="1099" spans="1:13" x14ac:dyDescent="0.25">
      <c r="A1099" s="2">
        <v>38654</v>
      </c>
      <c r="B1099" t="s">
        <v>17</v>
      </c>
      <c r="C1099" t="s">
        <v>23</v>
      </c>
      <c r="D1099" t="s">
        <v>13</v>
      </c>
      <c r="E1099" t="s">
        <v>24</v>
      </c>
      <c r="F1099" s="3">
        <v>6204.57</v>
      </c>
      <c r="G1099" s="3">
        <v>9124.3700000000008</v>
      </c>
      <c r="H1099" s="3">
        <f>Table1[[#This Row],[Sale]]-Table1[[#This Row],[Cost]]</f>
        <v>2919.8000000000011</v>
      </c>
      <c r="I1099" s="4">
        <f>Table1[[#This Row],[Profit]]/Table1[[#This Row],[Sale]]</f>
        <v>0.32000017535457254</v>
      </c>
      <c r="J1099" s="5">
        <f t="shared" si="34"/>
        <v>2005</v>
      </c>
      <c r="K1099" s="5">
        <f>MONTH(Table1[[#This Row],[Date]])</f>
        <v>10</v>
      </c>
      <c r="L1099" s="5">
        <f>DAY(Table1[[#This Row],[Date]])</f>
        <v>29</v>
      </c>
      <c r="M1099" s="5" t="str">
        <f t="shared" si="35"/>
        <v>Oct</v>
      </c>
    </row>
    <row r="1100" spans="1:13" x14ac:dyDescent="0.25">
      <c r="A1100" s="2">
        <v>38343</v>
      </c>
      <c r="B1100" t="s">
        <v>15</v>
      </c>
      <c r="C1100" t="s">
        <v>27</v>
      </c>
      <c r="D1100" t="s">
        <v>19</v>
      </c>
      <c r="E1100" t="s">
        <v>14</v>
      </c>
      <c r="F1100" s="3">
        <v>3786.89</v>
      </c>
      <c r="G1100" s="3">
        <v>4303.28</v>
      </c>
      <c r="H1100" s="3">
        <f>Table1[[#This Row],[Sale]]-Table1[[#This Row],[Cost]]</f>
        <v>516.38999999999987</v>
      </c>
      <c r="I1100" s="4">
        <f>Table1[[#This Row],[Profit]]/Table1[[#This Row],[Sale]]</f>
        <v>0.11999916342882636</v>
      </c>
      <c r="J1100" s="5">
        <f t="shared" si="34"/>
        <v>2004</v>
      </c>
      <c r="K1100" s="5">
        <f>MONTH(Table1[[#This Row],[Date]])</f>
        <v>12</v>
      </c>
      <c r="L1100" s="5">
        <f>DAY(Table1[[#This Row],[Date]])</f>
        <v>22</v>
      </c>
      <c r="M1100" s="5" t="str">
        <f t="shared" si="35"/>
        <v>Dec</v>
      </c>
    </row>
    <row r="1101" spans="1:13" x14ac:dyDescent="0.25">
      <c r="A1101" s="2">
        <v>38800</v>
      </c>
      <c r="B1101" t="s">
        <v>21</v>
      </c>
      <c r="C1101" t="s">
        <v>12</v>
      </c>
      <c r="D1101" t="s">
        <v>13</v>
      </c>
      <c r="E1101" t="s">
        <v>20</v>
      </c>
      <c r="F1101" s="3">
        <v>4901.43</v>
      </c>
      <c r="G1101" s="3">
        <v>8450.74</v>
      </c>
      <c r="H1101" s="3">
        <f>Table1[[#This Row],[Sale]]-Table1[[#This Row],[Cost]]</f>
        <v>3549.3099999999995</v>
      </c>
      <c r="I1101" s="4">
        <f>Table1[[#This Row],[Profit]]/Table1[[#This Row],[Sale]]</f>
        <v>0.41999990533373405</v>
      </c>
      <c r="J1101" s="5">
        <f t="shared" si="34"/>
        <v>2006</v>
      </c>
      <c r="K1101" s="5">
        <f>MONTH(Table1[[#This Row],[Date]])</f>
        <v>3</v>
      </c>
      <c r="L1101" s="5">
        <f>DAY(Table1[[#This Row],[Date]])</f>
        <v>24</v>
      </c>
      <c r="M1101" s="5" t="str">
        <f t="shared" si="35"/>
        <v>Mar</v>
      </c>
    </row>
    <row r="1102" spans="1:13" x14ac:dyDescent="0.25">
      <c r="A1102" s="2">
        <v>38405</v>
      </c>
      <c r="B1102" t="s">
        <v>21</v>
      </c>
      <c r="C1102" t="s">
        <v>18</v>
      </c>
      <c r="D1102" t="s">
        <v>16</v>
      </c>
      <c r="E1102" t="s">
        <v>20</v>
      </c>
      <c r="F1102" s="3">
        <v>7872.32</v>
      </c>
      <c r="G1102" s="3">
        <v>8945.82</v>
      </c>
      <c r="H1102" s="3">
        <f>Table1[[#This Row],[Sale]]-Table1[[#This Row],[Cost]]</f>
        <v>1073.5</v>
      </c>
      <c r="I1102" s="4">
        <f>Table1[[#This Row],[Profit]]/Table1[[#This Row],[Sale]]</f>
        <v>0.12000017885448176</v>
      </c>
      <c r="J1102" s="5">
        <f t="shared" si="34"/>
        <v>2005</v>
      </c>
      <c r="K1102" s="5">
        <f>MONTH(Table1[[#This Row],[Date]])</f>
        <v>2</v>
      </c>
      <c r="L1102" s="5">
        <f>DAY(Table1[[#This Row],[Date]])</f>
        <v>22</v>
      </c>
      <c r="M1102" s="5" t="str">
        <f t="shared" si="35"/>
        <v>Feb</v>
      </c>
    </row>
    <row r="1103" spans="1:13" x14ac:dyDescent="0.25">
      <c r="A1103" s="2">
        <v>38767</v>
      </c>
      <c r="B1103" t="s">
        <v>26</v>
      </c>
      <c r="C1103" t="s">
        <v>12</v>
      </c>
      <c r="D1103" t="s">
        <v>19</v>
      </c>
      <c r="E1103" t="s">
        <v>14</v>
      </c>
      <c r="F1103" s="3">
        <v>949.52</v>
      </c>
      <c r="G1103" s="3">
        <v>2110.04</v>
      </c>
      <c r="H1103" s="3">
        <f>Table1[[#This Row],[Sale]]-Table1[[#This Row],[Cost]]</f>
        <v>1160.52</v>
      </c>
      <c r="I1103" s="4">
        <f>Table1[[#This Row],[Profit]]/Table1[[#This Row],[Sale]]</f>
        <v>0.54999905215067013</v>
      </c>
      <c r="J1103" s="5">
        <f t="shared" si="34"/>
        <v>2006</v>
      </c>
      <c r="K1103" s="5">
        <f>MONTH(Table1[[#This Row],[Date]])</f>
        <v>2</v>
      </c>
      <c r="L1103" s="5">
        <f>DAY(Table1[[#This Row],[Date]])</f>
        <v>19</v>
      </c>
      <c r="M1103" s="5" t="str">
        <f t="shared" si="35"/>
        <v>Feb</v>
      </c>
    </row>
    <row r="1104" spans="1:13" x14ac:dyDescent="0.25">
      <c r="A1104" s="2">
        <v>38657</v>
      </c>
      <c r="B1104" t="s">
        <v>22</v>
      </c>
      <c r="C1104" t="s">
        <v>12</v>
      </c>
      <c r="D1104" t="s">
        <v>19</v>
      </c>
      <c r="E1104" t="s">
        <v>24</v>
      </c>
      <c r="F1104" s="3">
        <v>4805.8900000000003</v>
      </c>
      <c r="G1104" s="3">
        <v>7067.48</v>
      </c>
      <c r="H1104" s="3">
        <f>Table1[[#This Row],[Sale]]-Table1[[#This Row],[Cost]]</f>
        <v>2261.5899999999992</v>
      </c>
      <c r="I1104" s="4">
        <f>Table1[[#This Row],[Profit]]/Table1[[#This Row],[Sale]]</f>
        <v>0.31999949062466387</v>
      </c>
      <c r="J1104" s="5">
        <f t="shared" si="34"/>
        <v>2005</v>
      </c>
      <c r="K1104" s="5">
        <f>MONTH(Table1[[#This Row],[Date]])</f>
        <v>11</v>
      </c>
      <c r="L1104" s="5">
        <f>DAY(Table1[[#This Row],[Date]])</f>
        <v>1</v>
      </c>
      <c r="M1104" s="5" t="str">
        <f t="shared" si="35"/>
        <v>Nov</v>
      </c>
    </row>
    <row r="1105" spans="1:13" x14ac:dyDescent="0.25">
      <c r="A1105" s="2">
        <v>38776</v>
      </c>
      <c r="B1105" t="s">
        <v>26</v>
      </c>
      <c r="C1105" t="s">
        <v>18</v>
      </c>
      <c r="D1105" t="s">
        <v>13</v>
      </c>
      <c r="E1105" t="s">
        <v>14</v>
      </c>
      <c r="F1105" s="3">
        <v>125.9</v>
      </c>
      <c r="G1105" s="3">
        <v>340.27</v>
      </c>
      <c r="H1105" s="3">
        <f>Table1[[#This Row],[Sale]]-Table1[[#This Row],[Cost]]</f>
        <v>214.36999999999998</v>
      </c>
      <c r="I1105" s="4">
        <f>Table1[[#This Row],[Profit]]/Table1[[#This Row],[Sale]]</f>
        <v>0.62999970611573164</v>
      </c>
      <c r="J1105" s="5">
        <f t="shared" si="34"/>
        <v>2006</v>
      </c>
      <c r="K1105" s="5">
        <f>MONTH(Table1[[#This Row],[Date]])</f>
        <v>2</v>
      </c>
      <c r="L1105" s="5">
        <f>DAY(Table1[[#This Row],[Date]])</f>
        <v>28</v>
      </c>
      <c r="M1105" s="5" t="str">
        <f t="shared" si="35"/>
        <v>Feb</v>
      </c>
    </row>
    <row r="1106" spans="1:13" x14ac:dyDescent="0.25">
      <c r="A1106" s="2">
        <v>38208</v>
      </c>
      <c r="B1106" t="s">
        <v>22</v>
      </c>
      <c r="C1106" t="s">
        <v>27</v>
      </c>
      <c r="D1106" t="s">
        <v>13</v>
      </c>
      <c r="E1106" t="s">
        <v>24</v>
      </c>
      <c r="F1106" s="3">
        <v>1950.72</v>
      </c>
      <c r="G1106" s="3">
        <v>2216.73</v>
      </c>
      <c r="H1106" s="3">
        <f>Table1[[#This Row],[Sale]]-Table1[[#This Row],[Cost]]</f>
        <v>266.01</v>
      </c>
      <c r="I1106" s="4">
        <f>Table1[[#This Row],[Profit]]/Table1[[#This Row],[Sale]]</f>
        <v>0.12000108267583331</v>
      </c>
      <c r="J1106" s="5">
        <f t="shared" si="34"/>
        <v>2004</v>
      </c>
      <c r="K1106" s="5">
        <f>MONTH(Table1[[#This Row],[Date]])</f>
        <v>8</v>
      </c>
      <c r="L1106" s="5">
        <f>DAY(Table1[[#This Row],[Date]])</f>
        <v>9</v>
      </c>
      <c r="M1106" s="5" t="str">
        <f t="shared" si="35"/>
        <v>Aug</v>
      </c>
    </row>
    <row r="1107" spans="1:13" x14ac:dyDescent="0.25">
      <c r="A1107" s="2">
        <v>38534</v>
      </c>
      <c r="B1107" t="s">
        <v>21</v>
      </c>
      <c r="C1107" t="s">
        <v>29</v>
      </c>
      <c r="D1107" t="s">
        <v>13</v>
      </c>
      <c r="E1107" t="s">
        <v>25</v>
      </c>
      <c r="F1107" s="3">
        <v>5412.79</v>
      </c>
      <c r="G1107" s="3">
        <v>7959.98</v>
      </c>
      <c r="H1107" s="3">
        <f>Table1[[#This Row],[Sale]]-Table1[[#This Row],[Cost]]</f>
        <v>2547.1899999999996</v>
      </c>
      <c r="I1107" s="4">
        <f>Table1[[#This Row],[Profit]]/Table1[[#This Row],[Sale]]</f>
        <v>0.31999954773755712</v>
      </c>
      <c r="J1107" s="5">
        <f t="shared" si="34"/>
        <v>2005</v>
      </c>
      <c r="K1107" s="5">
        <f>MONTH(Table1[[#This Row],[Date]])</f>
        <v>7</v>
      </c>
      <c r="L1107" s="5">
        <f>DAY(Table1[[#This Row],[Date]])</f>
        <v>1</v>
      </c>
      <c r="M1107" s="5" t="str">
        <f t="shared" si="35"/>
        <v>Jul</v>
      </c>
    </row>
    <row r="1108" spans="1:13" x14ac:dyDescent="0.25">
      <c r="A1108" s="2">
        <v>38680</v>
      </c>
      <c r="B1108" t="s">
        <v>22</v>
      </c>
      <c r="C1108" t="s">
        <v>27</v>
      </c>
      <c r="D1108" t="s">
        <v>16</v>
      </c>
      <c r="E1108" t="s">
        <v>24</v>
      </c>
      <c r="F1108" s="3">
        <v>2959.1</v>
      </c>
      <c r="G1108" s="3">
        <v>5101.8900000000003</v>
      </c>
      <c r="H1108" s="3">
        <f>Table1[[#This Row],[Sale]]-Table1[[#This Row],[Cost]]</f>
        <v>2142.7900000000004</v>
      </c>
      <c r="I1108" s="4">
        <f>Table1[[#This Row],[Profit]]/Table1[[#This Row],[Sale]]</f>
        <v>0.41999925517798309</v>
      </c>
      <c r="J1108" s="5">
        <f t="shared" si="34"/>
        <v>2005</v>
      </c>
      <c r="K1108" s="5">
        <f>MONTH(Table1[[#This Row],[Date]])</f>
        <v>11</v>
      </c>
      <c r="L1108" s="5">
        <f>DAY(Table1[[#This Row],[Date]])</f>
        <v>24</v>
      </c>
      <c r="M1108" s="5" t="str">
        <f t="shared" si="35"/>
        <v>Nov</v>
      </c>
    </row>
    <row r="1109" spans="1:13" x14ac:dyDescent="0.25">
      <c r="A1109" s="2">
        <v>38376</v>
      </c>
      <c r="B1109" t="s">
        <v>22</v>
      </c>
      <c r="C1109" t="s">
        <v>23</v>
      </c>
      <c r="D1109" t="s">
        <v>28</v>
      </c>
      <c r="E1109" t="s">
        <v>20</v>
      </c>
      <c r="F1109" s="3">
        <v>331.15</v>
      </c>
      <c r="G1109" s="3">
        <v>895.01</v>
      </c>
      <c r="H1109" s="3">
        <f>Table1[[#This Row],[Sale]]-Table1[[#This Row],[Cost]]</f>
        <v>563.86</v>
      </c>
      <c r="I1109" s="4">
        <f>Table1[[#This Row],[Profit]]/Table1[[#This Row],[Sale]]</f>
        <v>0.63000413403202205</v>
      </c>
      <c r="J1109" s="5">
        <f t="shared" si="34"/>
        <v>2005</v>
      </c>
      <c r="K1109" s="5">
        <f>MONTH(Table1[[#This Row],[Date]])</f>
        <v>1</v>
      </c>
      <c r="L1109" s="5">
        <f>DAY(Table1[[#This Row],[Date]])</f>
        <v>24</v>
      </c>
      <c r="M1109" s="5" t="str">
        <f t="shared" si="35"/>
        <v>Jan</v>
      </c>
    </row>
    <row r="1110" spans="1:13" x14ac:dyDescent="0.25">
      <c r="A1110" s="2">
        <v>38519</v>
      </c>
      <c r="B1110" t="s">
        <v>22</v>
      </c>
      <c r="C1110" t="s">
        <v>12</v>
      </c>
      <c r="D1110" t="s">
        <v>16</v>
      </c>
      <c r="E1110" t="s">
        <v>25</v>
      </c>
      <c r="F1110" s="3">
        <v>4949.54</v>
      </c>
      <c r="G1110" s="3">
        <v>6599.38</v>
      </c>
      <c r="H1110" s="3">
        <f>Table1[[#This Row],[Sale]]-Table1[[#This Row],[Cost]]</f>
        <v>1649.8400000000001</v>
      </c>
      <c r="I1110" s="4">
        <f>Table1[[#This Row],[Profit]]/Table1[[#This Row],[Sale]]</f>
        <v>0.24999924235306956</v>
      </c>
      <c r="J1110" s="5">
        <f t="shared" si="34"/>
        <v>2005</v>
      </c>
      <c r="K1110" s="5">
        <f>MONTH(Table1[[#This Row],[Date]])</f>
        <v>6</v>
      </c>
      <c r="L1110" s="5">
        <f>DAY(Table1[[#This Row],[Date]])</f>
        <v>16</v>
      </c>
      <c r="M1110" s="5" t="str">
        <f t="shared" si="35"/>
        <v>Jun</v>
      </c>
    </row>
    <row r="1111" spans="1:13" x14ac:dyDescent="0.25">
      <c r="A1111" s="2">
        <v>38221</v>
      </c>
      <c r="B1111" t="s">
        <v>17</v>
      </c>
      <c r="C1111" t="s">
        <v>27</v>
      </c>
      <c r="D1111" t="s">
        <v>13</v>
      </c>
      <c r="E1111" t="s">
        <v>14</v>
      </c>
      <c r="F1111" s="3">
        <v>3539.22</v>
      </c>
      <c r="G1111" s="3">
        <v>9565.4500000000007</v>
      </c>
      <c r="H1111" s="3">
        <f>Table1[[#This Row],[Sale]]-Table1[[#This Row],[Cost]]</f>
        <v>6026.2300000000014</v>
      </c>
      <c r="I1111" s="4">
        <f>Table1[[#This Row],[Profit]]/Table1[[#This Row],[Sale]]</f>
        <v>0.62999963409980719</v>
      </c>
      <c r="J1111" s="5">
        <f t="shared" si="34"/>
        <v>2004</v>
      </c>
      <c r="K1111" s="5">
        <f>MONTH(Table1[[#This Row],[Date]])</f>
        <v>8</v>
      </c>
      <c r="L1111" s="5">
        <f>DAY(Table1[[#This Row],[Date]])</f>
        <v>22</v>
      </c>
      <c r="M1111" s="5" t="str">
        <f t="shared" si="35"/>
        <v>Aug</v>
      </c>
    </row>
    <row r="1112" spans="1:13" x14ac:dyDescent="0.25">
      <c r="A1112" s="2">
        <v>38490</v>
      </c>
      <c r="B1112" t="s">
        <v>17</v>
      </c>
      <c r="C1112" t="s">
        <v>29</v>
      </c>
      <c r="D1112" t="s">
        <v>19</v>
      </c>
      <c r="E1112" t="s">
        <v>25</v>
      </c>
      <c r="F1112" s="3">
        <v>3795.61</v>
      </c>
      <c r="G1112" s="3">
        <v>6433.23</v>
      </c>
      <c r="H1112" s="3">
        <f>Table1[[#This Row],[Sale]]-Table1[[#This Row],[Cost]]</f>
        <v>2637.6199999999994</v>
      </c>
      <c r="I1112" s="4">
        <f>Table1[[#This Row],[Profit]]/Table1[[#This Row],[Sale]]</f>
        <v>0.40999933159548152</v>
      </c>
      <c r="J1112" s="5">
        <f t="shared" si="34"/>
        <v>2005</v>
      </c>
      <c r="K1112" s="5">
        <f>MONTH(Table1[[#This Row],[Date]])</f>
        <v>5</v>
      </c>
      <c r="L1112" s="5">
        <f>DAY(Table1[[#This Row],[Date]])</f>
        <v>18</v>
      </c>
      <c r="M1112" s="5" t="str">
        <f t="shared" si="35"/>
        <v>May</v>
      </c>
    </row>
    <row r="1113" spans="1:13" x14ac:dyDescent="0.25">
      <c r="A1113" s="2">
        <v>38612</v>
      </c>
      <c r="B1113" t="s">
        <v>21</v>
      </c>
      <c r="C1113" t="s">
        <v>23</v>
      </c>
      <c r="D1113" t="s">
        <v>19</v>
      </c>
      <c r="E1113" t="s">
        <v>25</v>
      </c>
      <c r="F1113" s="3">
        <v>2918.63</v>
      </c>
      <c r="G1113" s="3">
        <v>6485.84</v>
      </c>
      <c r="H1113" s="3">
        <f>Table1[[#This Row],[Sale]]-Table1[[#This Row],[Cost]]</f>
        <v>3567.21</v>
      </c>
      <c r="I1113" s="4">
        <f>Table1[[#This Row],[Profit]]/Table1[[#This Row],[Sale]]</f>
        <v>0.5499996916359331</v>
      </c>
      <c r="J1113" s="5">
        <f t="shared" si="34"/>
        <v>2005</v>
      </c>
      <c r="K1113" s="5">
        <f>MONTH(Table1[[#This Row],[Date]])</f>
        <v>9</v>
      </c>
      <c r="L1113" s="5">
        <f>DAY(Table1[[#This Row],[Date]])</f>
        <v>17</v>
      </c>
      <c r="M1113" s="5" t="str">
        <f t="shared" si="35"/>
        <v>Sep</v>
      </c>
    </row>
    <row r="1114" spans="1:13" x14ac:dyDescent="0.25">
      <c r="A1114" s="2">
        <v>38280</v>
      </c>
      <c r="B1114" t="s">
        <v>11</v>
      </c>
      <c r="C1114" t="s">
        <v>12</v>
      </c>
      <c r="D1114" t="s">
        <v>28</v>
      </c>
      <c r="E1114" t="s">
        <v>20</v>
      </c>
      <c r="F1114" s="3">
        <v>6882.57</v>
      </c>
      <c r="G1114" s="3">
        <v>7821.1</v>
      </c>
      <c r="H1114" s="3">
        <f>Table1[[#This Row],[Sale]]-Table1[[#This Row],[Cost]]</f>
        <v>938.53000000000065</v>
      </c>
      <c r="I1114" s="4">
        <f>Table1[[#This Row],[Profit]]/Table1[[#This Row],[Sale]]</f>
        <v>0.11999974428149501</v>
      </c>
      <c r="J1114" s="5">
        <f t="shared" si="34"/>
        <v>2004</v>
      </c>
      <c r="K1114" s="5">
        <f>MONTH(Table1[[#This Row],[Date]])</f>
        <v>10</v>
      </c>
      <c r="L1114" s="5">
        <f>DAY(Table1[[#This Row],[Date]])</f>
        <v>20</v>
      </c>
      <c r="M1114" s="5" t="str">
        <f t="shared" si="35"/>
        <v>Oct</v>
      </c>
    </row>
    <row r="1115" spans="1:13" x14ac:dyDescent="0.25">
      <c r="A1115" s="2">
        <v>38726</v>
      </c>
      <c r="B1115" t="s">
        <v>21</v>
      </c>
      <c r="C1115" t="s">
        <v>18</v>
      </c>
      <c r="D1115" t="s">
        <v>13</v>
      </c>
      <c r="E1115" t="s">
        <v>20</v>
      </c>
      <c r="F1115" s="3">
        <v>1222.6199999999999</v>
      </c>
      <c r="G1115" s="3">
        <v>1630.16</v>
      </c>
      <c r="H1115" s="3">
        <f>Table1[[#This Row],[Sale]]-Table1[[#This Row],[Cost]]</f>
        <v>407.54000000000019</v>
      </c>
      <c r="I1115" s="4">
        <f>Table1[[#This Row],[Profit]]/Table1[[#This Row],[Sale]]</f>
        <v>0.25000000000000011</v>
      </c>
      <c r="J1115" s="5">
        <f t="shared" si="34"/>
        <v>2006</v>
      </c>
      <c r="K1115" s="5">
        <f>MONTH(Table1[[#This Row],[Date]])</f>
        <v>1</v>
      </c>
      <c r="L1115" s="5">
        <f>DAY(Table1[[#This Row],[Date]])</f>
        <v>9</v>
      </c>
      <c r="M1115" s="5" t="str">
        <f t="shared" si="35"/>
        <v>Jan</v>
      </c>
    </row>
    <row r="1116" spans="1:13" x14ac:dyDescent="0.25">
      <c r="A1116" s="2">
        <v>38300</v>
      </c>
      <c r="B1116" t="s">
        <v>26</v>
      </c>
      <c r="C1116" t="s">
        <v>18</v>
      </c>
      <c r="D1116" t="s">
        <v>28</v>
      </c>
      <c r="E1116" t="s">
        <v>24</v>
      </c>
      <c r="F1116" s="3">
        <v>3374.21</v>
      </c>
      <c r="G1116" s="3">
        <v>7846.99</v>
      </c>
      <c r="H1116" s="3">
        <f>Table1[[#This Row],[Sale]]-Table1[[#This Row],[Cost]]</f>
        <v>4472.78</v>
      </c>
      <c r="I1116" s="4">
        <f>Table1[[#This Row],[Profit]]/Table1[[#This Row],[Sale]]</f>
        <v>0.5699994520191819</v>
      </c>
      <c r="J1116" s="5">
        <f t="shared" si="34"/>
        <v>2004</v>
      </c>
      <c r="K1116" s="5">
        <f>MONTH(Table1[[#This Row],[Date]])</f>
        <v>11</v>
      </c>
      <c r="L1116" s="5">
        <f>DAY(Table1[[#This Row],[Date]])</f>
        <v>9</v>
      </c>
      <c r="M1116" s="5" t="str">
        <f t="shared" si="35"/>
        <v>Nov</v>
      </c>
    </row>
    <row r="1117" spans="1:13" x14ac:dyDescent="0.25">
      <c r="A1117" s="2">
        <v>38235</v>
      </c>
      <c r="B1117" t="s">
        <v>15</v>
      </c>
      <c r="C1117" t="s">
        <v>12</v>
      </c>
      <c r="D1117" t="s">
        <v>16</v>
      </c>
      <c r="E1117" t="s">
        <v>25</v>
      </c>
      <c r="F1117" s="3">
        <v>965.33</v>
      </c>
      <c r="G1117" s="3">
        <v>2244.96</v>
      </c>
      <c r="H1117" s="3">
        <f>Table1[[#This Row],[Sale]]-Table1[[#This Row],[Cost]]</f>
        <v>1279.6300000000001</v>
      </c>
      <c r="I1117" s="4">
        <f>Table1[[#This Row],[Profit]]/Table1[[#This Row],[Sale]]</f>
        <v>0.57000124723825818</v>
      </c>
      <c r="J1117" s="5">
        <f t="shared" si="34"/>
        <v>2004</v>
      </c>
      <c r="K1117" s="5">
        <f>MONTH(Table1[[#This Row],[Date]])</f>
        <v>9</v>
      </c>
      <c r="L1117" s="5">
        <f>DAY(Table1[[#This Row],[Date]])</f>
        <v>5</v>
      </c>
      <c r="M1117" s="5" t="str">
        <f t="shared" si="35"/>
        <v>Sep</v>
      </c>
    </row>
    <row r="1118" spans="1:13" x14ac:dyDescent="0.25">
      <c r="A1118" s="2">
        <v>38640</v>
      </c>
      <c r="B1118" t="s">
        <v>21</v>
      </c>
      <c r="C1118" t="s">
        <v>18</v>
      </c>
      <c r="D1118" t="s">
        <v>16</v>
      </c>
      <c r="E1118" t="s">
        <v>24</v>
      </c>
      <c r="F1118" s="3">
        <v>3219.61</v>
      </c>
      <c r="G1118" s="3">
        <v>8701.64</v>
      </c>
      <c r="H1118" s="3">
        <f>Table1[[#This Row],[Sale]]-Table1[[#This Row],[Cost]]</f>
        <v>5482.0299999999988</v>
      </c>
      <c r="I1118" s="4">
        <f>Table1[[#This Row],[Profit]]/Table1[[#This Row],[Sale]]</f>
        <v>0.6299996322532303</v>
      </c>
      <c r="J1118" s="5">
        <f t="shared" si="34"/>
        <v>2005</v>
      </c>
      <c r="K1118" s="5">
        <f>MONTH(Table1[[#This Row],[Date]])</f>
        <v>10</v>
      </c>
      <c r="L1118" s="5">
        <f>DAY(Table1[[#This Row],[Date]])</f>
        <v>15</v>
      </c>
      <c r="M1118" s="5" t="str">
        <f t="shared" si="35"/>
        <v>Oct</v>
      </c>
    </row>
    <row r="1119" spans="1:13" x14ac:dyDescent="0.25">
      <c r="A1119" s="2">
        <v>38520</v>
      </c>
      <c r="B1119" t="s">
        <v>26</v>
      </c>
      <c r="C1119" t="s">
        <v>18</v>
      </c>
      <c r="D1119" t="s">
        <v>28</v>
      </c>
      <c r="E1119" t="s">
        <v>20</v>
      </c>
      <c r="F1119" s="3">
        <v>676.91</v>
      </c>
      <c r="G1119" s="3">
        <v>1147.3</v>
      </c>
      <c r="H1119" s="3">
        <f>Table1[[#This Row],[Sale]]-Table1[[#This Row],[Cost]]</f>
        <v>470.39</v>
      </c>
      <c r="I1119" s="4">
        <f>Table1[[#This Row],[Profit]]/Table1[[#This Row],[Sale]]</f>
        <v>0.40999738516517042</v>
      </c>
      <c r="J1119" s="5">
        <f t="shared" si="34"/>
        <v>2005</v>
      </c>
      <c r="K1119" s="5">
        <f>MONTH(Table1[[#This Row],[Date]])</f>
        <v>6</v>
      </c>
      <c r="L1119" s="5">
        <f>DAY(Table1[[#This Row],[Date]])</f>
        <v>17</v>
      </c>
      <c r="M1119" s="5" t="str">
        <f t="shared" si="35"/>
        <v>Jun</v>
      </c>
    </row>
    <row r="1120" spans="1:13" x14ac:dyDescent="0.25">
      <c r="A1120" s="2">
        <v>38677</v>
      </c>
      <c r="B1120" t="s">
        <v>17</v>
      </c>
      <c r="C1120" t="s">
        <v>18</v>
      </c>
      <c r="D1120" t="s">
        <v>19</v>
      </c>
      <c r="E1120" t="s">
        <v>14</v>
      </c>
      <c r="F1120" s="3">
        <v>396.9</v>
      </c>
      <c r="G1120" s="3">
        <v>1072.69</v>
      </c>
      <c r="H1120" s="3">
        <f>Table1[[#This Row],[Sale]]-Table1[[#This Row],[Cost]]</f>
        <v>675.79000000000008</v>
      </c>
      <c r="I1120" s="4">
        <f>Table1[[#This Row],[Profit]]/Table1[[#This Row],[Sale]]</f>
        <v>0.62999561849182895</v>
      </c>
      <c r="J1120" s="5">
        <f t="shared" si="34"/>
        <v>2005</v>
      </c>
      <c r="K1120" s="5">
        <f>MONTH(Table1[[#This Row],[Date]])</f>
        <v>11</v>
      </c>
      <c r="L1120" s="5">
        <f>DAY(Table1[[#This Row],[Date]])</f>
        <v>21</v>
      </c>
      <c r="M1120" s="5" t="str">
        <f t="shared" si="35"/>
        <v>Nov</v>
      </c>
    </row>
    <row r="1121" spans="1:13" x14ac:dyDescent="0.25">
      <c r="A1121" s="2">
        <v>38845</v>
      </c>
      <c r="B1121" t="s">
        <v>26</v>
      </c>
      <c r="C1121" t="s">
        <v>27</v>
      </c>
      <c r="D1121" t="s">
        <v>13</v>
      </c>
      <c r="E1121" t="s">
        <v>14</v>
      </c>
      <c r="F1121" s="3">
        <v>6255.5</v>
      </c>
      <c r="G1121" s="3">
        <v>8340.66</v>
      </c>
      <c r="H1121" s="3">
        <f>Table1[[#This Row],[Sale]]-Table1[[#This Row],[Cost]]</f>
        <v>2085.16</v>
      </c>
      <c r="I1121" s="4">
        <f>Table1[[#This Row],[Profit]]/Table1[[#This Row],[Sale]]</f>
        <v>0.2499994005270566</v>
      </c>
      <c r="J1121" s="5">
        <f t="shared" si="34"/>
        <v>2006</v>
      </c>
      <c r="K1121" s="5">
        <f>MONTH(Table1[[#This Row],[Date]])</f>
        <v>5</v>
      </c>
      <c r="L1121" s="5">
        <f>DAY(Table1[[#This Row],[Date]])</f>
        <v>8</v>
      </c>
      <c r="M1121" s="5" t="str">
        <f t="shared" si="35"/>
        <v>May</v>
      </c>
    </row>
    <row r="1122" spans="1:13" x14ac:dyDescent="0.25">
      <c r="A1122" s="2">
        <v>38459</v>
      </c>
      <c r="B1122" t="s">
        <v>15</v>
      </c>
      <c r="C1122" t="s">
        <v>18</v>
      </c>
      <c r="D1122" t="s">
        <v>13</v>
      </c>
      <c r="E1122" t="s">
        <v>14</v>
      </c>
      <c r="F1122" s="3">
        <v>1486.28</v>
      </c>
      <c r="G1122" s="3">
        <v>1589.6</v>
      </c>
      <c r="H1122" s="3">
        <f>Table1[[#This Row],[Sale]]-Table1[[#This Row],[Cost]]</f>
        <v>103.31999999999994</v>
      </c>
      <c r="I1122" s="4">
        <f>Table1[[#This Row],[Profit]]/Table1[[#This Row],[Sale]]</f>
        <v>6.4997483643683907E-2</v>
      </c>
      <c r="J1122" s="5">
        <f t="shared" si="34"/>
        <v>2005</v>
      </c>
      <c r="K1122" s="5">
        <f>MONTH(Table1[[#This Row],[Date]])</f>
        <v>4</v>
      </c>
      <c r="L1122" s="5">
        <f>DAY(Table1[[#This Row],[Date]])</f>
        <v>17</v>
      </c>
      <c r="M1122" s="5" t="str">
        <f t="shared" si="35"/>
        <v>Apr</v>
      </c>
    </row>
    <row r="1123" spans="1:13" x14ac:dyDescent="0.25">
      <c r="A1123" s="2">
        <v>38875</v>
      </c>
      <c r="B1123" t="s">
        <v>11</v>
      </c>
      <c r="C1123" t="s">
        <v>29</v>
      </c>
      <c r="D1123" t="s">
        <v>19</v>
      </c>
      <c r="E1123" t="s">
        <v>14</v>
      </c>
      <c r="F1123" s="3">
        <v>304.81</v>
      </c>
      <c r="G1123" s="3">
        <v>326</v>
      </c>
      <c r="H1123" s="3">
        <f>Table1[[#This Row],[Sale]]-Table1[[#This Row],[Cost]]</f>
        <v>21.189999999999998</v>
      </c>
      <c r="I1123" s="4">
        <f>Table1[[#This Row],[Profit]]/Table1[[#This Row],[Sale]]</f>
        <v>6.4999999999999988E-2</v>
      </c>
      <c r="J1123" s="5">
        <f t="shared" si="34"/>
        <v>2006</v>
      </c>
      <c r="K1123" s="5">
        <f>MONTH(Table1[[#This Row],[Date]])</f>
        <v>6</v>
      </c>
      <c r="L1123" s="5">
        <f>DAY(Table1[[#This Row],[Date]])</f>
        <v>7</v>
      </c>
      <c r="M1123" s="5" t="str">
        <f t="shared" si="35"/>
        <v>Jun</v>
      </c>
    </row>
    <row r="1124" spans="1:13" x14ac:dyDescent="0.25">
      <c r="A1124" s="2">
        <v>38250</v>
      </c>
      <c r="B1124" t="s">
        <v>17</v>
      </c>
      <c r="C1124" t="s">
        <v>27</v>
      </c>
      <c r="D1124" t="s">
        <v>28</v>
      </c>
      <c r="E1124" t="s">
        <v>25</v>
      </c>
      <c r="F1124" s="3">
        <v>939.33</v>
      </c>
      <c r="G1124" s="3">
        <v>1381.37</v>
      </c>
      <c r="H1124" s="3">
        <f>Table1[[#This Row],[Sale]]-Table1[[#This Row],[Cost]]</f>
        <v>442.03999999999985</v>
      </c>
      <c r="I1124" s="4">
        <f>Table1[[#This Row],[Profit]]/Table1[[#This Row],[Sale]]</f>
        <v>0.32000115827041264</v>
      </c>
      <c r="J1124" s="5">
        <f t="shared" si="34"/>
        <v>2004</v>
      </c>
      <c r="K1124" s="5">
        <f>MONTH(Table1[[#This Row],[Date]])</f>
        <v>9</v>
      </c>
      <c r="L1124" s="5">
        <f>DAY(Table1[[#This Row],[Date]])</f>
        <v>20</v>
      </c>
      <c r="M1124" s="5" t="str">
        <f t="shared" si="35"/>
        <v>Sep</v>
      </c>
    </row>
    <row r="1125" spans="1:13" x14ac:dyDescent="0.25">
      <c r="A1125" s="2">
        <v>38163</v>
      </c>
      <c r="B1125" t="s">
        <v>22</v>
      </c>
      <c r="C1125" t="s">
        <v>23</v>
      </c>
      <c r="D1125" t="s">
        <v>28</v>
      </c>
      <c r="E1125" t="s">
        <v>20</v>
      </c>
      <c r="F1125" s="3">
        <v>2357.4299999999998</v>
      </c>
      <c r="G1125" s="3">
        <v>2521.3200000000002</v>
      </c>
      <c r="H1125" s="3">
        <f>Table1[[#This Row],[Sale]]-Table1[[#This Row],[Cost]]</f>
        <v>163.89000000000033</v>
      </c>
      <c r="I1125" s="4">
        <f>Table1[[#This Row],[Profit]]/Table1[[#This Row],[Sale]]</f>
        <v>6.5001665794107974E-2</v>
      </c>
      <c r="J1125" s="5">
        <f t="shared" si="34"/>
        <v>2004</v>
      </c>
      <c r="K1125" s="5">
        <f>MONTH(Table1[[#This Row],[Date]])</f>
        <v>6</v>
      </c>
      <c r="L1125" s="5">
        <f>DAY(Table1[[#This Row],[Date]])</f>
        <v>25</v>
      </c>
      <c r="M1125" s="5" t="str">
        <f t="shared" si="35"/>
        <v>Jun</v>
      </c>
    </row>
    <row r="1126" spans="1:13" x14ac:dyDescent="0.25">
      <c r="A1126" s="2">
        <v>38510</v>
      </c>
      <c r="B1126" t="s">
        <v>11</v>
      </c>
      <c r="C1126" t="s">
        <v>29</v>
      </c>
      <c r="D1126" t="s">
        <v>13</v>
      </c>
      <c r="E1126" t="s">
        <v>24</v>
      </c>
      <c r="F1126" s="3">
        <v>5256.06</v>
      </c>
      <c r="G1126" s="3">
        <v>9556.48</v>
      </c>
      <c r="H1126" s="3">
        <f>Table1[[#This Row],[Sale]]-Table1[[#This Row],[Cost]]</f>
        <v>4300.4199999999992</v>
      </c>
      <c r="I1126" s="4">
        <f>Table1[[#This Row],[Profit]]/Table1[[#This Row],[Sale]]</f>
        <v>0.45000041856415746</v>
      </c>
      <c r="J1126" s="5">
        <f t="shared" si="34"/>
        <v>2005</v>
      </c>
      <c r="K1126" s="5">
        <f>MONTH(Table1[[#This Row],[Date]])</f>
        <v>6</v>
      </c>
      <c r="L1126" s="5">
        <f>DAY(Table1[[#This Row],[Date]])</f>
        <v>7</v>
      </c>
      <c r="M1126" s="5" t="str">
        <f t="shared" si="35"/>
        <v>Jun</v>
      </c>
    </row>
    <row r="1127" spans="1:13" x14ac:dyDescent="0.25">
      <c r="A1127" s="2">
        <v>38737</v>
      </c>
      <c r="B1127" t="s">
        <v>11</v>
      </c>
      <c r="C1127" t="s">
        <v>12</v>
      </c>
      <c r="D1127" t="s">
        <v>28</v>
      </c>
      <c r="E1127" t="s">
        <v>14</v>
      </c>
      <c r="F1127" s="3">
        <v>871.22</v>
      </c>
      <c r="G1127" s="3">
        <v>990.02</v>
      </c>
      <c r="H1127" s="3">
        <f>Table1[[#This Row],[Sale]]-Table1[[#This Row],[Cost]]</f>
        <v>118.79999999999995</v>
      </c>
      <c r="I1127" s="4">
        <f>Table1[[#This Row],[Profit]]/Table1[[#This Row],[Sale]]</f>
        <v>0.11999757580654932</v>
      </c>
      <c r="J1127" s="5">
        <f t="shared" si="34"/>
        <v>2006</v>
      </c>
      <c r="K1127" s="5">
        <f>MONTH(Table1[[#This Row],[Date]])</f>
        <v>1</v>
      </c>
      <c r="L1127" s="5">
        <f>DAY(Table1[[#This Row],[Date]])</f>
        <v>20</v>
      </c>
      <c r="M1127" s="5" t="str">
        <f t="shared" si="35"/>
        <v>Jan</v>
      </c>
    </row>
    <row r="1128" spans="1:13" x14ac:dyDescent="0.25">
      <c r="A1128" s="2">
        <v>38402</v>
      </c>
      <c r="B1128" t="s">
        <v>17</v>
      </c>
      <c r="C1128" t="s">
        <v>27</v>
      </c>
      <c r="D1128" t="s">
        <v>16</v>
      </c>
      <c r="E1128" t="s">
        <v>25</v>
      </c>
      <c r="F1128" s="3">
        <v>3523.01</v>
      </c>
      <c r="G1128" s="3">
        <v>9521.65</v>
      </c>
      <c r="H1128" s="3">
        <f>Table1[[#This Row],[Sale]]-Table1[[#This Row],[Cost]]</f>
        <v>5998.6399999999994</v>
      </c>
      <c r="I1128" s="4">
        <f>Table1[[#This Row],[Profit]]/Table1[[#This Row],[Sale]]</f>
        <v>0.63000005251190705</v>
      </c>
      <c r="J1128" s="5">
        <f t="shared" si="34"/>
        <v>2005</v>
      </c>
      <c r="K1128" s="5">
        <f>MONTH(Table1[[#This Row],[Date]])</f>
        <v>2</v>
      </c>
      <c r="L1128" s="5">
        <f>DAY(Table1[[#This Row],[Date]])</f>
        <v>19</v>
      </c>
      <c r="M1128" s="5" t="str">
        <f t="shared" si="35"/>
        <v>Feb</v>
      </c>
    </row>
    <row r="1129" spans="1:13" x14ac:dyDescent="0.25">
      <c r="A1129" s="2">
        <v>38366</v>
      </c>
      <c r="B1129" t="s">
        <v>26</v>
      </c>
      <c r="C1129" t="s">
        <v>18</v>
      </c>
      <c r="D1129" t="s">
        <v>16</v>
      </c>
      <c r="E1129" t="s">
        <v>24</v>
      </c>
      <c r="F1129" s="3">
        <v>2876.21</v>
      </c>
      <c r="G1129" s="3">
        <v>6688.86</v>
      </c>
      <c r="H1129" s="3">
        <f>Table1[[#This Row],[Sale]]-Table1[[#This Row],[Cost]]</f>
        <v>3812.6499999999996</v>
      </c>
      <c r="I1129" s="4">
        <f>Table1[[#This Row],[Profit]]/Table1[[#This Row],[Sale]]</f>
        <v>0.56999997009953862</v>
      </c>
      <c r="J1129" s="5">
        <f t="shared" si="34"/>
        <v>2005</v>
      </c>
      <c r="K1129" s="5">
        <f>MONTH(Table1[[#This Row],[Date]])</f>
        <v>1</v>
      </c>
      <c r="L1129" s="5">
        <f>DAY(Table1[[#This Row],[Date]])</f>
        <v>14</v>
      </c>
      <c r="M1129" s="5" t="str">
        <f t="shared" si="35"/>
        <v>Jan</v>
      </c>
    </row>
    <row r="1130" spans="1:13" x14ac:dyDescent="0.25">
      <c r="A1130" s="2">
        <v>38288</v>
      </c>
      <c r="B1130" t="s">
        <v>21</v>
      </c>
      <c r="C1130" t="s">
        <v>27</v>
      </c>
      <c r="D1130" t="s">
        <v>19</v>
      </c>
      <c r="E1130" t="s">
        <v>20</v>
      </c>
      <c r="F1130" s="3">
        <v>1701.03</v>
      </c>
      <c r="G1130" s="3">
        <v>1819.28</v>
      </c>
      <c r="H1130" s="3">
        <f>Table1[[#This Row],[Sale]]-Table1[[#This Row],[Cost]]</f>
        <v>118.25</v>
      </c>
      <c r="I1130" s="4">
        <f>Table1[[#This Row],[Profit]]/Table1[[#This Row],[Sale]]</f>
        <v>6.4998241062398307E-2</v>
      </c>
      <c r="J1130" s="5">
        <f t="shared" si="34"/>
        <v>2004</v>
      </c>
      <c r="K1130" s="5">
        <f>MONTH(Table1[[#This Row],[Date]])</f>
        <v>10</v>
      </c>
      <c r="L1130" s="5">
        <f>DAY(Table1[[#This Row],[Date]])</f>
        <v>28</v>
      </c>
      <c r="M1130" s="5" t="str">
        <f t="shared" si="35"/>
        <v>Oct</v>
      </c>
    </row>
    <row r="1131" spans="1:13" x14ac:dyDescent="0.25">
      <c r="A1131" s="2">
        <v>38588</v>
      </c>
      <c r="B1131" t="s">
        <v>11</v>
      </c>
      <c r="C1131" t="s">
        <v>12</v>
      </c>
      <c r="D1131" t="s">
        <v>13</v>
      </c>
      <c r="E1131" t="s">
        <v>25</v>
      </c>
      <c r="F1131" s="3">
        <v>4633.1400000000003</v>
      </c>
      <c r="G1131" s="3">
        <v>7988.18</v>
      </c>
      <c r="H1131" s="3">
        <f>Table1[[#This Row],[Sale]]-Table1[[#This Row],[Cost]]</f>
        <v>3355.04</v>
      </c>
      <c r="I1131" s="4">
        <f>Table1[[#This Row],[Profit]]/Table1[[#This Row],[Sale]]</f>
        <v>0.42000055081382742</v>
      </c>
      <c r="J1131" s="5">
        <f t="shared" si="34"/>
        <v>2005</v>
      </c>
      <c r="K1131" s="5">
        <f>MONTH(Table1[[#This Row],[Date]])</f>
        <v>8</v>
      </c>
      <c r="L1131" s="5">
        <f>DAY(Table1[[#This Row],[Date]])</f>
        <v>24</v>
      </c>
      <c r="M1131" s="5" t="str">
        <f t="shared" si="35"/>
        <v>Aug</v>
      </c>
    </row>
    <row r="1132" spans="1:13" x14ac:dyDescent="0.25">
      <c r="A1132" s="2">
        <v>38432</v>
      </c>
      <c r="B1132" t="s">
        <v>15</v>
      </c>
      <c r="C1132" t="s">
        <v>18</v>
      </c>
      <c r="D1132" t="s">
        <v>16</v>
      </c>
      <c r="E1132" t="s">
        <v>25</v>
      </c>
      <c r="F1132" s="3">
        <v>2729.76</v>
      </c>
      <c r="G1132" s="3">
        <v>7377.74</v>
      </c>
      <c r="H1132" s="3">
        <f>Table1[[#This Row],[Sale]]-Table1[[#This Row],[Cost]]</f>
        <v>4647.9799999999996</v>
      </c>
      <c r="I1132" s="4">
        <f>Table1[[#This Row],[Profit]]/Table1[[#This Row],[Sale]]</f>
        <v>0.63000051506287824</v>
      </c>
      <c r="J1132" s="5">
        <f t="shared" si="34"/>
        <v>2005</v>
      </c>
      <c r="K1132" s="5">
        <f>MONTH(Table1[[#This Row],[Date]])</f>
        <v>3</v>
      </c>
      <c r="L1132" s="5">
        <f>DAY(Table1[[#This Row],[Date]])</f>
        <v>21</v>
      </c>
      <c r="M1132" s="5" t="str">
        <f t="shared" si="35"/>
        <v>Mar</v>
      </c>
    </row>
    <row r="1133" spans="1:13" x14ac:dyDescent="0.25">
      <c r="A1133" s="2">
        <v>38561</v>
      </c>
      <c r="B1133" t="s">
        <v>26</v>
      </c>
      <c r="C1133" t="s">
        <v>27</v>
      </c>
      <c r="D1133" t="s">
        <v>28</v>
      </c>
      <c r="E1133" t="s">
        <v>25</v>
      </c>
      <c r="F1133" s="3">
        <v>500.22</v>
      </c>
      <c r="G1133" s="3">
        <v>568.42999999999995</v>
      </c>
      <c r="H1133" s="3">
        <f>Table1[[#This Row],[Sale]]-Table1[[#This Row],[Cost]]</f>
        <v>68.209999999999923</v>
      </c>
      <c r="I1133" s="4">
        <f>Table1[[#This Row],[Profit]]/Table1[[#This Row],[Sale]]</f>
        <v>0.11999718522949163</v>
      </c>
      <c r="J1133" s="5">
        <f t="shared" si="34"/>
        <v>2005</v>
      </c>
      <c r="K1133" s="5">
        <f>MONTH(Table1[[#This Row],[Date]])</f>
        <v>7</v>
      </c>
      <c r="L1133" s="5">
        <f>DAY(Table1[[#This Row],[Date]])</f>
        <v>28</v>
      </c>
      <c r="M1133" s="5" t="str">
        <f t="shared" si="35"/>
        <v>Jul</v>
      </c>
    </row>
    <row r="1134" spans="1:13" x14ac:dyDescent="0.25">
      <c r="A1134" s="2">
        <v>38816</v>
      </c>
      <c r="B1134" t="s">
        <v>11</v>
      </c>
      <c r="C1134" t="s">
        <v>18</v>
      </c>
      <c r="D1134" t="s">
        <v>19</v>
      </c>
      <c r="E1134" t="s">
        <v>24</v>
      </c>
      <c r="F1134" s="3">
        <v>2647.43</v>
      </c>
      <c r="G1134" s="3">
        <v>4564.54</v>
      </c>
      <c r="H1134" s="3">
        <f>Table1[[#This Row],[Sale]]-Table1[[#This Row],[Cost]]</f>
        <v>1917.1100000000001</v>
      </c>
      <c r="I1134" s="4">
        <f>Table1[[#This Row],[Profit]]/Table1[[#This Row],[Sale]]</f>
        <v>0.42000070105640441</v>
      </c>
      <c r="J1134" s="5">
        <f t="shared" si="34"/>
        <v>2006</v>
      </c>
      <c r="K1134" s="5">
        <f>MONTH(Table1[[#This Row],[Date]])</f>
        <v>4</v>
      </c>
      <c r="L1134" s="5">
        <f>DAY(Table1[[#This Row],[Date]])</f>
        <v>9</v>
      </c>
      <c r="M1134" s="5" t="str">
        <f t="shared" si="35"/>
        <v>Apr</v>
      </c>
    </row>
    <row r="1135" spans="1:13" x14ac:dyDescent="0.25">
      <c r="A1135" s="2">
        <v>38486</v>
      </c>
      <c r="B1135" t="s">
        <v>22</v>
      </c>
      <c r="C1135" t="s">
        <v>12</v>
      </c>
      <c r="D1135" t="s">
        <v>28</v>
      </c>
      <c r="E1135" t="s">
        <v>24</v>
      </c>
      <c r="F1135" s="3">
        <v>4811.76</v>
      </c>
      <c r="G1135" s="3">
        <v>8296.1299999999992</v>
      </c>
      <c r="H1135" s="3">
        <f>Table1[[#This Row],[Sale]]-Table1[[#This Row],[Cost]]</f>
        <v>3484.369999999999</v>
      </c>
      <c r="I1135" s="4">
        <f>Table1[[#This Row],[Profit]]/Table1[[#This Row],[Sale]]</f>
        <v>0.41999944552459995</v>
      </c>
      <c r="J1135" s="5">
        <f t="shared" si="34"/>
        <v>2005</v>
      </c>
      <c r="K1135" s="5">
        <f>MONTH(Table1[[#This Row],[Date]])</f>
        <v>5</v>
      </c>
      <c r="L1135" s="5">
        <f>DAY(Table1[[#This Row],[Date]])</f>
        <v>14</v>
      </c>
      <c r="M1135" s="5" t="str">
        <f t="shared" si="35"/>
        <v>May</v>
      </c>
    </row>
    <row r="1136" spans="1:13" x14ac:dyDescent="0.25">
      <c r="A1136" s="2">
        <v>38665</v>
      </c>
      <c r="B1136" t="s">
        <v>26</v>
      </c>
      <c r="C1136" t="s">
        <v>29</v>
      </c>
      <c r="D1136" t="s">
        <v>28</v>
      </c>
      <c r="E1136" t="s">
        <v>20</v>
      </c>
      <c r="F1136" s="3">
        <v>3090.4</v>
      </c>
      <c r="G1136" s="3">
        <v>5328.27</v>
      </c>
      <c r="H1136" s="3">
        <f>Table1[[#This Row],[Sale]]-Table1[[#This Row],[Cost]]</f>
        <v>2237.8700000000003</v>
      </c>
      <c r="I1136" s="4">
        <f>Table1[[#This Row],[Profit]]/Table1[[#This Row],[Sale]]</f>
        <v>0.41999936189419834</v>
      </c>
      <c r="J1136" s="5">
        <f t="shared" si="34"/>
        <v>2005</v>
      </c>
      <c r="K1136" s="5">
        <f>MONTH(Table1[[#This Row],[Date]])</f>
        <v>11</v>
      </c>
      <c r="L1136" s="5">
        <f>DAY(Table1[[#This Row],[Date]])</f>
        <v>9</v>
      </c>
      <c r="M1136" s="5" t="str">
        <f t="shared" si="35"/>
        <v>Nov</v>
      </c>
    </row>
    <row r="1137" spans="1:13" x14ac:dyDescent="0.25">
      <c r="A1137" s="2">
        <v>38239</v>
      </c>
      <c r="B1137" t="s">
        <v>17</v>
      </c>
      <c r="C1137" t="s">
        <v>29</v>
      </c>
      <c r="D1137" t="s">
        <v>28</v>
      </c>
      <c r="E1137" t="s">
        <v>14</v>
      </c>
      <c r="F1137" s="3">
        <v>4665.41</v>
      </c>
      <c r="G1137" s="3">
        <v>4989.74</v>
      </c>
      <c r="H1137" s="3">
        <f>Table1[[#This Row],[Sale]]-Table1[[#This Row],[Cost]]</f>
        <v>324.32999999999993</v>
      </c>
      <c r="I1137" s="4">
        <f>Table1[[#This Row],[Profit]]/Table1[[#This Row],[Sale]]</f>
        <v>6.4999378725143983E-2</v>
      </c>
      <c r="J1137" s="5">
        <f t="shared" si="34"/>
        <v>2004</v>
      </c>
      <c r="K1137" s="5">
        <f>MONTH(Table1[[#This Row],[Date]])</f>
        <v>9</v>
      </c>
      <c r="L1137" s="5">
        <f>DAY(Table1[[#This Row],[Date]])</f>
        <v>9</v>
      </c>
      <c r="M1137" s="5" t="str">
        <f t="shared" si="35"/>
        <v>Sep</v>
      </c>
    </row>
    <row r="1138" spans="1:13" x14ac:dyDescent="0.25">
      <c r="A1138" s="2">
        <v>38571</v>
      </c>
      <c r="B1138" t="s">
        <v>21</v>
      </c>
      <c r="C1138" t="s">
        <v>12</v>
      </c>
      <c r="D1138" t="s">
        <v>19</v>
      </c>
      <c r="E1138" t="s">
        <v>20</v>
      </c>
      <c r="F1138" s="3">
        <v>8482.25</v>
      </c>
      <c r="G1138" s="3">
        <v>9071.92</v>
      </c>
      <c r="H1138" s="3">
        <f>Table1[[#This Row],[Sale]]-Table1[[#This Row],[Cost]]</f>
        <v>589.67000000000007</v>
      </c>
      <c r="I1138" s="4">
        <f>Table1[[#This Row],[Profit]]/Table1[[#This Row],[Sale]]</f>
        <v>6.4999470894805081E-2</v>
      </c>
      <c r="J1138" s="5">
        <f t="shared" si="34"/>
        <v>2005</v>
      </c>
      <c r="K1138" s="5">
        <f>MONTH(Table1[[#This Row],[Date]])</f>
        <v>8</v>
      </c>
      <c r="L1138" s="5">
        <f>DAY(Table1[[#This Row],[Date]])</f>
        <v>7</v>
      </c>
      <c r="M1138" s="5" t="str">
        <f t="shared" si="35"/>
        <v>Aug</v>
      </c>
    </row>
    <row r="1139" spans="1:13" x14ac:dyDescent="0.25">
      <c r="A1139" s="2">
        <v>38230</v>
      </c>
      <c r="B1139" t="s">
        <v>11</v>
      </c>
      <c r="C1139" t="s">
        <v>29</v>
      </c>
      <c r="D1139" t="s">
        <v>13</v>
      </c>
      <c r="E1139" t="s">
        <v>20</v>
      </c>
      <c r="F1139" s="3">
        <v>2393.5500000000002</v>
      </c>
      <c r="G1139" s="3">
        <v>3519.92</v>
      </c>
      <c r="H1139" s="3">
        <f>Table1[[#This Row],[Sale]]-Table1[[#This Row],[Cost]]</f>
        <v>1126.3699999999999</v>
      </c>
      <c r="I1139" s="4">
        <f>Table1[[#This Row],[Profit]]/Table1[[#This Row],[Sale]]</f>
        <v>0.31999874997159022</v>
      </c>
      <c r="J1139" s="5">
        <f t="shared" si="34"/>
        <v>2004</v>
      </c>
      <c r="K1139" s="5">
        <f>MONTH(Table1[[#This Row],[Date]])</f>
        <v>8</v>
      </c>
      <c r="L1139" s="5">
        <f>DAY(Table1[[#This Row],[Date]])</f>
        <v>31</v>
      </c>
      <c r="M1139" s="5" t="str">
        <f t="shared" si="35"/>
        <v>Aug</v>
      </c>
    </row>
    <row r="1140" spans="1:13" x14ac:dyDescent="0.25">
      <c r="A1140" s="2">
        <v>38513</v>
      </c>
      <c r="B1140" t="s">
        <v>11</v>
      </c>
      <c r="C1140" t="s">
        <v>12</v>
      </c>
      <c r="D1140" t="s">
        <v>16</v>
      </c>
      <c r="E1140" t="s">
        <v>24</v>
      </c>
      <c r="F1140" s="3">
        <v>3657.63</v>
      </c>
      <c r="G1140" s="3">
        <v>8506.1200000000008</v>
      </c>
      <c r="H1140" s="3">
        <f>Table1[[#This Row],[Sale]]-Table1[[#This Row],[Cost]]</f>
        <v>4848.4900000000007</v>
      </c>
      <c r="I1140" s="4">
        <f>Table1[[#This Row],[Profit]]/Table1[[#This Row],[Sale]]</f>
        <v>0.57000018809986219</v>
      </c>
      <c r="J1140" s="5">
        <f t="shared" si="34"/>
        <v>2005</v>
      </c>
      <c r="K1140" s="5">
        <f>MONTH(Table1[[#This Row],[Date]])</f>
        <v>6</v>
      </c>
      <c r="L1140" s="5">
        <f>DAY(Table1[[#This Row],[Date]])</f>
        <v>10</v>
      </c>
      <c r="M1140" s="5" t="str">
        <f t="shared" si="35"/>
        <v>Jun</v>
      </c>
    </row>
    <row r="1141" spans="1:13" x14ac:dyDescent="0.25">
      <c r="A1141" s="2">
        <v>38797</v>
      </c>
      <c r="B1141" t="s">
        <v>17</v>
      </c>
      <c r="C1141" t="s">
        <v>23</v>
      </c>
      <c r="D1141" t="s">
        <v>19</v>
      </c>
      <c r="E1141" t="s">
        <v>20</v>
      </c>
      <c r="F1141" s="3">
        <v>4823.6899999999996</v>
      </c>
      <c r="G1141" s="3">
        <v>8770.34</v>
      </c>
      <c r="H1141" s="3">
        <f>Table1[[#This Row],[Sale]]-Table1[[#This Row],[Cost]]</f>
        <v>3946.6500000000005</v>
      </c>
      <c r="I1141" s="4">
        <f>Table1[[#This Row],[Profit]]/Table1[[#This Row],[Sale]]</f>
        <v>0.44999965793800473</v>
      </c>
      <c r="J1141" s="5">
        <f t="shared" si="34"/>
        <v>2006</v>
      </c>
      <c r="K1141" s="5">
        <f>MONTH(Table1[[#This Row],[Date]])</f>
        <v>3</v>
      </c>
      <c r="L1141" s="5">
        <f>DAY(Table1[[#This Row],[Date]])</f>
        <v>21</v>
      </c>
      <c r="M1141" s="5" t="str">
        <f t="shared" si="35"/>
        <v>Mar</v>
      </c>
    </row>
    <row r="1142" spans="1:13" x14ac:dyDescent="0.25">
      <c r="A1142" s="2">
        <v>38749</v>
      </c>
      <c r="B1142" t="s">
        <v>15</v>
      </c>
      <c r="C1142" t="s">
        <v>27</v>
      </c>
      <c r="D1142" t="s">
        <v>28</v>
      </c>
      <c r="E1142" t="s">
        <v>20</v>
      </c>
      <c r="F1142" s="3">
        <v>4422.45</v>
      </c>
      <c r="G1142" s="3">
        <v>6503.61</v>
      </c>
      <c r="H1142" s="3">
        <f>Table1[[#This Row],[Sale]]-Table1[[#This Row],[Cost]]</f>
        <v>2081.16</v>
      </c>
      <c r="I1142" s="4">
        <f>Table1[[#This Row],[Profit]]/Table1[[#This Row],[Sale]]</f>
        <v>0.32000073805163592</v>
      </c>
      <c r="J1142" s="5">
        <f t="shared" si="34"/>
        <v>2006</v>
      </c>
      <c r="K1142" s="5">
        <f>MONTH(Table1[[#This Row],[Date]])</f>
        <v>2</v>
      </c>
      <c r="L1142" s="5">
        <f>DAY(Table1[[#This Row],[Date]])</f>
        <v>1</v>
      </c>
      <c r="M1142" s="5" t="str">
        <f t="shared" si="35"/>
        <v>Feb</v>
      </c>
    </row>
    <row r="1143" spans="1:13" x14ac:dyDescent="0.25">
      <c r="A1143" s="2">
        <v>38190</v>
      </c>
      <c r="B1143" t="s">
        <v>11</v>
      </c>
      <c r="C1143" t="s">
        <v>29</v>
      </c>
      <c r="D1143" t="s">
        <v>28</v>
      </c>
      <c r="E1143" t="s">
        <v>14</v>
      </c>
      <c r="F1143" s="3">
        <v>704.27</v>
      </c>
      <c r="G1143" s="3">
        <v>1214.26</v>
      </c>
      <c r="H1143" s="3">
        <f>Table1[[#This Row],[Sale]]-Table1[[#This Row],[Cost]]</f>
        <v>509.99</v>
      </c>
      <c r="I1143" s="4">
        <f>Table1[[#This Row],[Profit]]/Table1[[#This Row],[Sale]]</f>
        <v>0.42000065883748128</v>
      </c>
      <c r="J1143" s="5">
        <f t="shared" si="34"/>
        <v>2004</v>
      </c>
      <c r="K1143" s="5">
        <f>MONTH(Table1[[#This Row],[Date]])</f>
        <v>7</v>
      </c>
      <c r="L1143" s="5">
        <f>DAY(Table1[[#This Row],[Date]])</f>
        <v>22</v>
      </c>
      <c r="M1143" s="5" t="str">
        <f t="shared" si="35"/>
        <v>Jul</v>
      </c>
    </row>
    <row r="1144" spans="1:13" x14ac:dyDescent="0.25">
      <c r="A1144" s="2">
        <v>38622</v>
      </c>
      <c r="B1144" t="s">
        <v>11</v>
      </c>
      <c r="C1144" t="s">
        <v>27</v>
      </c>
      <c r="D1144" t="s">
        <v>28</v>
      </c>
      <c r="E1144" t="s">
        <v>24</v>
      </c>
      <c r="F1144" s="3">
        <v>2648.42</v>
      </c>
      <c r="G1144" s="3">
        <v>3894.74</v>
      </c>
      <c r="H1144" s="3">
        <f>Table1[[#This Row],[Sale]]-Table1[[#This Row],[Cost]]</f>
        <v>1246.3199999999997</v>
      </c>
      <c r="I1144" s="4">
        <f>Table1[[#This Row],[Profit]]/Table1[[#This Row],[Sale]]</f>
        <v>0.32000082162095539</v>
      </c>
      <c r="J1144" s="5">
        <f t="shared" si="34"/>
        <v>2005</v>
      </c>
      <c r="K1144" s="5">
        <f>MONTH(Table1[[#This Row],[Date]])</f>
        <v>9</v>
      </c>
      <c r="L1144" s="5">
        <f>DAY(Table1[[#This Row],[Date]])</f>
        <v>27</v>
      </c>
      <c r="M1144" s="5" t="str">
        <f t="shared" si="35"/>
        <v>Sep</v>
      </c>
    </row>
    <row r="1145" spans="1:13" x14ac:dyDescent="0.25">
      <c r="A1145" s="2">
        <v>38612</v>
      </c>
      <c r="B1145" t="s">
        <v>17</v>
      </c>
      <c r="C1145" t="s">
        <v>23</v>
      </c>
      <c r="D1145" t="s">
        <v>19</v>
      </c>
      <c r="E1145" t="s">
        <v>24</v>
      </c>
      <c r="F1145" s="3">
        <v>1575.67</v>
      </c>
      <c r="G1145" s="3">
        <v>2864.86</v>
      </c>
      <c r="H1145" s="3">
        <f>Table1[[#This Row],[Sale]]-Table1[[#This Row],[Cost]]</f>
        <v>1289.19</v>
      </c>
      <c r="I1145" s="4">
        <f>Table1[[#This Row],[Profit]]/Table1[[#This Row],[Sale]]</f>
        <v>0.45000104717158956</v>
      </c>
      <c r="J1145" s="5">
        <f t="shared" si="34"/>
        <v>2005</v>
      </c>
      <c r="K1145" s="5">
        <f>MONTH(Table1[[#This Row],[Date]])</f>
        <v>9</v>
      </c>
      <c r="L1145" s="5">
        <f>DAY(Table1[[#This Row],[Date]])</f>
        <v>17</v>
      </c>
      <c r="M1145" s="5" t="str">
        <f t="shared" si="35"/>
        <v>Sep</v>
      </c>
    </row>
    <row r="1146" spans="1:13" x14ac:dyDescent="0.25">
      <c r="A1146" s="2">
        <v>38215</v>
      </c>
      <c r="B1146" t="s">
        <v>21</v>
      </c>
      <c r="C1146" t="s">
        <v>29</v>
      </c>
      <c r="D1146" t="s">
        <v>13</v>
      </c>
      <c r="E1146" t="s">
        <v>20</v>
      </c>
      <c r="F1146" s="3">
        <v>5014.3599999999997</v>
      </c>
      <c r="G1146" s="3">
        <v>5698.14</v>
      </c>
      <c r="H1146" s="3">
        <f>Table1[[#This Row],[Sale]]-Table1[[#This Row],[Cost]]</f>
        <v>683.78000000000065</v>
      </c>
      <c r="I1146" s="4">
        <f>Table1[[#This Row],[Profit]]/Table1[[#This Row],[Sale]]</f>
        <v>0.1200005615867635</v>
      </c>
      <c r="J1146" s="5">
        <f t="shared" si="34"/>
        <v>2004</v>
      </c>
      <c r="K1146" s="5">
        <f>MONTH(Table1[[#This Row],[Date]])</f>
        <v>8</v>
      </c>
      <c r="L1146" s="5">
        <f>DAY(Table1[[#This Row],[Date]])</f>
        <v>16</v>
      </c>
      <c r="M1146" s="5" t="str">
        <f t="shared" si="35"/>
        <v>Aug</v>
      </c>
    </row>
    <row r="1147" spans="1:13" x14ac:dyDescent="0.25">
      <c r="A1147" s="2">
        <v>38335</v>
      </c>
      <c r="B1147" t="s">
        <v>22</v>
      </c>
      <c r="C1147" t="s">
        <v>12</v>
      </c>
      <c r="D1147" t="s">
        <v>19</v>
      </c>
      <c r="E1147" t="s">
        <v>24</v>
      </c>
      <c r="F1147" s="3">
        <v>6245.37</v>
      </c>
      <c r="G1147" s="3">
        <v>9184.3700000000008</v>
      </c>
      <c r="H1147" s="3">
        <f>Table1[[#This Row],[Sale]]-Table1[[#This Row],[Cost]]</f>
        <v>2939.0000000000009</v>
      </c>
      <c r="I1147" s="4">
        <f>Table1[[#This Row],[Profit]]/Table1[[#This Row],[Sale]]</f>
        <v>0.3200001742090095</v>
      </c>
      <c r="J1147" s="5">
        <f t="shared" si="34"/>
        <v>2004</v>
      </c>
      <c r="K1147" s="5">
        <f>MONTH(Table1[[#This Row],[Date]])</f>
        <v>12</v>
      </c>
      <c r="L1147" s="5">
        <f>DAY(Table1[[#This Row],[Date]])</f>
        <v>14</v>
      </c>
      <c r="M1147" s="5" t="str">
        <f t="shared" si="35"/>
        <v>Dec</v>
      </c>
    </row>
    <row r="1148" spans="1:13" x14ac:dyDescent="0.25">
      <c r="A1148" s="2">
        <v>38316</v>
      </c>
      <c r="B1148" t="s">
        <v>15</v>
      </c>
      <c r="C1148" t="s">
        <v>18</v>
      </c>
      <c r="D1148" t="s">
        <v>13</v>
      </c>
      <c r="E1148" t="s">
        <v>14</v>
      </c>
      <c r="F1148" s="3">
        <v>3066.81</v>
      </c>
      <c r="G1148" s="3">
        <v>8288.67</v>
      </c>
      <c r="H1148" s="3">
        <f>Table1[[#This Row],[Sale]]-Table1[[#This Row],[Cost]]</f>
        <v>5221.8600000000006</v>
      </c>
      <c r="I1148" s="4">
        <f>Table1[[#This Row],[Profit]]/Table1[[#This Row],[Sale]]</f>
        <v>0.62999974664210312</v>
      </c>
      <c r="J1148" s="5">
        <f t="shared" si="34"/>
        <v>2004</v>
      </c>
      <c r="K1148" s="5">
        <f>MONTH(Table1[[#This Row],[Date]])</f>
        <v>11</v>
      </c>
      <c r="L1148" s="5">
        <f>DAY(Table1[[#This Row],[Date]])</f>
        <v>25</v>
      </c>
      <c r="M1148" s="5" t="str">
        <f t="shared" si="35"/>
        <v>Nov</v>
      </c>
    </row>
    <row r="1149" spans="1:13" x14ac:dyDescent="0.25">
      <c r="A1149" s="2">
        <v>38491</v>
      </c>
      <c r="B1149" t="s">
        <v>17</v>
      </c>
      <c r="C1149" t="s">
        <v>29</v>
      </c>
      <c r="D1149" t="s">
        <v>16</v>
      </c>
      <c r="E1149" t="s">
        <v>25</v>
      </c>
      <c r="F1149" s="3">
        <v>1319.85</v>
      </c>
      <c r="G1149" s="3">
        <v>2399.7199999999998</v>
      </c>
      <c r="H1149" s="3">
        <f>Table1[[#This Row],[Sale]]-Table1[[#This Row],[Cost]]</f>
        <v>1079.8699999999999</v>
      </c>
      <c r="I1149" s="4">
        <f>Table1[[#This Row],[Profit]]/Table1[[#This Row],[Sale]]</f>
        <v>0.44999833313886617</v>
      </c>
      <c r="J1149" s="5">
        <f t="shared" si="34"/>
        <v>2005</v>
      </c>
      <c r="K1149" s="5">
        <f>MONTH(Table1[[#This Row],[Date]])</f>
        <v>5</v>
      </c>
      <c r="L1149" s="5">
        <f>DAY(Table1[[#This Row],[Date]])</f>
        <v>19</v>
      </c>
      <c r="M1149" s="5" t="str">
        <f t="shared" si="35"/>
        <v>May</v>
      </c>
    </row>
    <row r="1150" spans="1:13" x14ac:dyDescent="0.25">
      <c r="A1150" s="2">
        <v>38880</v>
      </c>
      <c r="B1150" t="s">
        <v>15</v>
      </c>
      <c r="C1150" t="s">
        <v>27</v>
      </c>
      <c r="D1150" t="s">
        <v>16</v>
      </c>
      <c r="E1150" t="s">
        <v>20</v>
      </c>
      <c r="F1150" s="3">
        <v>2292.2199999999998</v>
      </c>
      <c r="G1150" s="3">
        <v>5330.75</v>
      </c>
      <c r="H1150" s="3">
        <f>Table1[[#This Row],[Sale]]-Table1[[#This Row],[Cost]]</f>
        <v>3038.53</v>
      </c>
      <c r="I1150" s="4">
        <f>Table1[[#This Row],[Profit]]/Table1[[#This Row],[Sale]]</f>
        <v>0.57000046897716083</v>
      </c>
      <c r="J1150" s="5">
        <f t="shared" si="34"/>
        <v>2006</v>
      </c>
      <c r="K1150" s="5">
        <f>MONTH(Table1[[#This Row],[Date]])</f>
        <v>6</v>
      </c>
      <c r="L1150" s="5">
        <f>DAY(Table1[[#This Row],[Date]])</f>
        <v>12</v>
      </c>
      <c r="M1150" s="5" t="str">
        <f t="shared" si="35"/>
        <v>Jun</v>
      </c>
    </row>
    <row r="1151" spans="1:13" x14ac:dyDescent="0.25">
      <c r="A1151" s="2">
        <v>38182</v>
      </c>
      <c r="B1151" t="s">
        <v>11</v>
      </c>
      <c r="C1151" t="s">
        <v>23</v>
      </c>
      <c r="D1151" t="s">
        <v>16</v>
      </c>
      <c r="E1151" t="s">
        <v>20</v>
      </c>
      <c r="F1151" s="3">
        <v>1143.3499999999999</v>
      </c>
      <c r="G1151" s="3">
        <v>1971.29</v>
      </c>
      <c r="H1151" s="3">
        <f>Table1[[#This Row],[Sale]]-Table1[[#This Row],[Cost]]</f>
        <v>827.94</v>
      </c>
      <c r="I1151" s="4">
        <f>Table1[[#This Row],[Profit]]/Table1[[#This Row],[Sale]]</f>
        <v>0.41999908689233956</v>
      </c>
      <c r="J1151" s="5">
        <f t="shared" si="34"/>
        <v>2004</v>
      </c>
      <c r="K1151" s="5">
        <f>MONTH(Table1[[#This Row],[Date]])</f>
        <v>7</v>
      </c>
      <c r="L1151" s="5">
        <f>DAY(Table1[[#This Row],[Date]])</f>
        <v>14</v>
      </c>
      <c r="M1151" s="5" t="str">
        <f t="shared" si="35"/>
        <v>Jul</v>
      </c>
    </row>
    <row r="1152" spans="1:13" x14ac:dyDescent="0.25">
      <c r="A1152" s="2">
        <v>38254</v>
      </c>
      <c r="B1152" t="s">
        <v>15</v>
      </c>
      <c r="C1152" t="s">
        <v>29</v>
      </c>
      <c r="D1152" t="s">
        <v>13</v>
      </c>
      <c r="E1152" t="s">
        <v>20</v>
      </c>
      <c r="F1152" s="3">
        <v>2872.72</v>
      </c>
      <c r="G1152" s="3">
        <v>3830.29</v>
      </c>
      <c r="H1152" s="3">
        <f>Table1[[#This Row],[Sale]]-Table1[[#This Row],[Cost]]</f>
        <v>957.57000000000016</v>
      </c>
      <c r="I1152" s="4">
        <f>Table1[[#This Row],[Profit]]/Table1[[#This Row],[Sale]]</f>
        <v>0.24999934730790624</v>
      </c>
      <c r="J1152" s="5">
        <f t="shared" si="34"/>
        <v>2004</v>
      </c>
      <c r="K1152" s="5">
        <f>MONTH(Table1[[#This Row],[Date]])</f>
        <v>9</v>
      </c>
      <c r="L1152" s="5">
        <f>DAY(Table1[[#This Row],[Date]])</f>
        <v>24</v>
      </c>
      <c r="M1152" s="5" t="str">
        <f t="shared" si="35"/>
        <v>Sep</v>
      </c>
    </row>
    <row r="1153" spans="1:13" x14ac:dyDescent="0.25">
      <c r="A1153" s="2">
        <v>38375</v>
      </c>
      <c r="B1153" t="s">
        <v>26</v>
      </c>
      <c r="C1153" t="s">
        <v>18</v>
      </c>
      <c r="D1153" t="s">
        <v>28</v>
      </c>
      <c r="E1153" t="s">
        <v>24</v>
      </c>
      <c r="F1153" s="3">
        <v>4448.4399999999996</v>
      </c>
      <c r="G1153" s="3">
        <v>6541.82</v>
      </c>
      <c r="H1153" s="3">
        <f>Table1[[#This Row],[Sale]]-Table1[[#This Row],[Cost]]</f>
        <v>2093.38</v>
      </c>
      <c r="I1153" s="4">
        <f>Table1[[#This Row],[Profit]]/Table1[[#This Row],[Sale]]</f>
        <v>0.31999963312961838</v>
      </c>
      <c r="J1153" s="5">
        <f t="shared" si="34"/>
        <v>2005</v>
      </c>
      <c r="K1153" s="5">
        <f>MONTH(Table1[[#This Row],[Date]])</f>
        <v>1</v>
      </c>
      <c r="L1153" s="5">
        <f>DAY(Table1[[#This Row],[Date]])</f>
        <v>23</v>
      </c>
      <c r="M1153" s="5" t="str">
        <f t="shared" si="35"/>
        <v>Jan</v>
      </c>
    </row>
    <row r="1154" spans="1:13" x14ac:dyDescent="0.25">
      <c r="A1154" s="2">
        <v>38359</v>
      </c>
      <c r="B1154" t="s">
        <v>17</v>
      </c>
      <c r="C1154" t="s">
        <v>18</v>
      </c>
      <c r="D1154" t="s">
        <v>16</v>
      </c>
      <c r="E1154" t="s">
        <v>24</v>
      </c>
      <c r="F1154" s="3">
        <v>1406.34</v>
      </c>
      <c r="G1154" s="3">
        <v>3125.2</v>
      </c>
      <c r="H1154" s="3">
        <f>Table1[[#This Row],[Sale]]-Table1[[#This Row],[Cost]]</f>
        <v>1718.86</v>
      </c>
      <c r="I1154" s="4">
        <f>Table1[[#This Row],[Profit]]/Table1[[#This Row],[Sale]]</f>
        <v>0.55000000000000004</v>
      </c>
      <c r="J1154" s="5">
        <f t="shared" ref="J1154:J1217" si="36">YEAR(A:A)</f>
        <v>2005</v>
      </c>
      <c r="K1154" s="5">
        <f>MONTH(Table1[[#This Row],[Date]])</f>
        <v>1</v>
      </c>
      <c r="L1154" s="5">
        <f>DAY(Table1[[#This Row],[Date]])</f>
        <v>7</v>
      </c>
      <c r="M1154" s="5" t="str">
        <f t="shared" ref="M1154:M1217" si="37">CHOOSE(K1154,"Jan", "Feb", "Mar", "Apr", "May", "Jun", "Jul", "Aug", "Sep", "Oct", "Nov", "Dec")</f>
        <v>Jan</v>
      </c>
    </row>
    <row r="1155" spans="1:13" x14ac:dyDescent="0.25">
      <c r="A1155" s="2">
        <v>38452</v>
      </c>
      <c r="B1155" t="s">
        <v>21</v>
      </c>
      <c r="C1155" t="s">
        <v>18</v>
      </c>
      <c r="D1155" t="s">
        <v>13</v>
      </c>
      <c r="E1155" t="s">
        <v>20</v>
      </c>
      <c r="F1155" s="3">
        <v>2771.37</v>
      </c>
      <c r="G1155" s="3">
        <v>6445.05</v>
      </c>
      <c r="H1155" s="3">
        <f>Table1[[#This Row],[Sale]]-Table1[[#This Row],[Cost]]</f>
        <v>3673.6800000000003</v>
      </c>
      <c r="I1155" s="4">
        <f>Table1[[#This Row],[Profit]]/Table1[[#This Row],[Sale]]</f>
        <v>0.57000023273675149</v>
      </c>
      <c r="J1155" s="5">
        <f t="shared" si="36"/>
        <v>2005</v>
      </c>
      <c r="K1155" s="5">
        <f>MONTH(Table1[[#This Row],[Date]])</f>
        <v>4</v>
      </c>
      <c r="L1155" s="5">
        <f>DAY(Table1[[#This Row],[Date]])</f>
        <v>10</v>
      </c>
      <c r="M1155" s="5" t="str">
        <f t="shared" si="37"/>
        <v>Apr</v>
      </c>
    </row>
    <row r="1156" spans="1:13" x14ac:dyDescent="0.25">
      <c r="A1156" s="2">
        <v>38168</v>
      </c>
      <c r="B1156" t="s">
        <v>22</v>
      </c>
      <c r="C1156" t="s">
        <v>27</v>
      </c>
      <c r="D1156" t="s">
        <v>13</v>
      </c>
      <c r="E1156" t="s">
        <v>25</v>
      </c>
      <c r="F1156" s="3">
        <v>5122.01</v>
      </c>
      <c r="G1156" s="3">
        <v>5478.09</v>
      </c>
      <c r="H1156" s="3">
        <f>Table1[[#This Row],[Sale]]-Table1[[#This Row],[Cost]]</f>
        <v>356.07999999999993</v>
      </c>
      <c r="I1156" s="4">
        <f>Table1[[#This Row],[Profit]]/Table1[[#This Row],[Sale]]</f>
        <v>6.5000757563311279E-2</v>
      </c>
      <c r="J1156" s="5">
        <f t="shared" si="36"/>
        <v>2004</v>
      </c>
      <c r="K1156" s="5">
        <f>MONTH(Table1[[#This Row],[Date]])</f>
        <v>6</v>
      </c>
      <c r="L1156" s="5">
        <f>DAY(Table1[[#This Row],[Date]])</f>
        <v>30</v>
      </c>
      <c r="M1156" s="5" t="str">
        <f t="shared" si="37"/>
        <v>Jun</v>
      </c>
    </row>
    <row r="1157" spans="1:13" x14ac:dyDescent="0.25">
      <c r="A1157" s="2">
        <v>38719</v>
      </c>
      <c r="B1157" t="s">
        <v>22</v>
      </c>
      <c r="C1157" t="s">
        <v>12</v>
      </c>
      <c r="D1157" t="s">
        <v>28</v>
      </c>
      <c r="E1157" t="s">
        <v>25</v>
      </c>
      <c r="F1157" s="3">
        <v>3217.34</v>
      </c>
      <c r="G1157" s="3">
        <v>7149.65</v>
      </c>
      <c r="H1157" s="3">
        <f>Table1[[#This Row],[Sale]]-Table1[[#This Row],[Cost]]</f>
        <v>3932.3099999999995</v>
      </c>
      <c r="I1157" s="4">
        <f>Table1[[#This Row],[Profit]]/Table1[[#This Row],[Sale]]</f>
        <v>0.55000034966746625</v>
      </c>
      <c r="J1157" s="5">
        <f t="shared" si="36"/>
        <v>2006</v>
      </c>
      <c r="K1157" s="5">
        <f>MONTH(Table1[[#This Row],[Date]])</f>
        <v>1</v>
      </c>
      <c r="L1157" s="5">
        <f>DAY(Table1[[#This Row],[Date]])</f>
        <v>2</v>
      </c>
      <c r="M1157" s="5" t="str">
        <f t="shared" si="37"/>
        <v>Jan</v>
      </c>
    </row>
    <row r="1158" spans="1:13" x14ac:dyDescent="0.25">
      <c r="A1158" s="2">
        <v>38706</v>
      </c>
      <c r="B1158" t="s">
        <v>21</v>
      </c>
      <c r="C1158" t="s">
        <v>27</v>
      </c>
      <c r="D1158" t="s">
        <v>28</v>
      </c>
      <c r="E1158" t="s">
        <v>24</v>
      </c>
      <c r="F1158" s="3">
        <v>5489.84</v>
      </c>
      <c r="G1158" s="3">
        <v>6238.45</v>
      </c>
      <c r="H1158" s="3">
        <f>Table1[[#This Row],[Sale]]-Table1[[#This Row],[Cost]]</f>
        <v>748.60999999999967</v>
      </c>
      <c r="I1158" s="4">
        <f>Table1[[#This Row],[Profit]]/Table1[[#This Row],[Sale]]</f>
        <v>0.11999935881509023</v>
      </c>
      <c r="J1158" s="5">
        <f t="shared" si="36"/>
        <v>2005</v>
      </c>
      <c r="K1158" s="5">
        <f>MONTH(Table1[[#This Row],[Date]])</f>
        <v>12</v>
      </c>
      <c r="L1158" s="5">
        <f>DAY(Table1[[#This Row],[Date]])</f>
        <v>20</v>
      </c>
      <c r="M1158" s="5" t="str">
        <f t="shared" si="37"/>
        <v>Dec</v>
      </c>
    </row>
    <row r="1159" spans="1:13" x14ac:dyDescent="0.25">
      <c r="A1159" s="2">
        <v>38786</v>
      </c>
      <c r="B1159" t="s">
        <v>17</v>
      </c>
      <c r="C1159" t="s">
        <v>18</v>
      </c>
      <c r="D1159" t="s">
        <v>19</v>
      </c>
      <c r="E1159" t="s">
        <v>14</v>
      </c>
      <c r="F1159" s="3">
        <v>4264.1000000000004</v>
      </c>
      <c r="G1159" s="3">
        <v>9916.51</v>
      </c>
      <c r="H1159" s="3">
        <f>Table1[[#This Row],[Sale]]-Table1[[#This Row],[Cost]]</f>
        <v>5652.41</v>
      </c>
      <c r="I1159" s="4">
        <f>Table1[[#This Row],[Profit]]/Table1[[#This Row],[Sale]]</f>
        <v>0.56999992941064948</v>
      </c>
      <c r="J1159" s="5">
        <f t="shared" si="36"/>
        <v>2006</v>
      </c>
      <c r="K1159" s="5">
        <f>MONTH(Table1[[#This Row],[Date]])</f>
        <v>3</v>
      </c>
      <c r="L1159" s="5">
        <f>DAY(Table1[[#This Row],[Date]])</f>
        <v>10</v>
      </c>
      <c r="M1159" s="5" t="str">
        <f t="shared" si="37"/>
        <v>Mar</v>
      </c>
    </row>
    <row r="1160" spans="1:13" x14ac:dyDescent="0.25">
      <c r="A1160" s="2">
        <v>38260</v>
      </c>
      <c r="B1160" t="s">
        <v>22</v>
      </c>
      <c r="C1160" t="s">
        <v>29</v>
      </c>
      <c r="D1160" t="s">
        <v>19</v>
      </c>
      <c r="E1160" t="s">
        <v>14</v>
      </c>
      <c r="F1160" s="3">
        <v>500.89</v>
      </c>
      <c r="G1160" s="3">
        <v>1353.75</v>
      </c>
      <c r="H1160" s="3">
        <f>Table1[[#This Row],[Sale]]-Table1[[#This Row],[Cost]]</f>
        <v>852.86</v>
      </c>
      <c r="I1160" s="4">
        <f>Table1[[#This Row],[Profit]]/Table1[[#This Row],[Sale]]</f>
        <v>0.62999815327793163</v>
      </c>
      <c r="J1160" s="5">
        <f t="shared" si="36"/>
        <v>2004</v>
      </c>
      <c r="K1160" s="5">
        <f>MONTH(Table1[[#This Row],[Date]])</f>
        <v>9</v>
      </c>
      <c r="L1160" s="5">
        <f>DAY(Table1[[#This Row],[Date]])</f>
        <v>30</v>
      </c>
      <c r="M1160" s="5" t="str">
        <f t="shared" si="37"/>
        <v>Sep</v>
      </c>
    </row>
    <row r="1161" spans="1:13" x14ac:dyDescent="0.25">
      <c r="A1161" s="2">
        <v>38521</v>
      </c>
      <c r="B1161" t="s">
        <v>17</v>
      </c>
      <c r="C1161" t="s">
        <v>12</v>
      </c>
      <c r="D1161" t="s">
        <v>16</v>
      </c>
      <c r="E1161" t="s">
        <v>20</v>
      </c>
      <c r="F1161" s="3">
        <v>175.8</v>
      </c>
      <c r="G1161" s="3">
        <v>297.95999999999998</v>
      </c>
      <c r="H1161" s="3">
        <f>Table1[[#This Row],[Sale]]-Table1[[#This Row],[Cost]]</f>
        <v>122.15999999999997</v>
      </c>
      <c r="I1161" s="4">
        <f>Table1[[#This Row],[Profit]]/Table1[[#This Row],[Sale]]</f>
        <v>0.40998791784132088</v>
      </c>
      <c r="J1161" s="5">
        <f t="shared" si="36"/>
        <v>2005</v>
      </c>
      <c r="K1161" s="5">
        <f>MONTH(Table1[[#This Row],[Date]])</f>
        <v>6</v>
      </c>
      <c r="L1161" s="5">
        <f>DAY(Table1[[#This Row],[Date]])</f>
        <v>18</v>
      </c>
      <c r="M1161" s="5" t="str">
        <f t="shared" si="37"/>
        <v>Jun</v>
      </c>
    </row>
    <row r="1162" spans="1:13" x14ac:dyDescent="0.25">
      <c r="A1162" s="2">
        <v>38350</v>
      </c>
      <c r="B1162" t="s">
        <v>26</v>
      </c>
      <c r="C1162" t="s">
        <v>29</v>
      </c>
      <c r="D1162" t="s">
        <v>13</v>
      </c>
      <c r="E1162" t="s">
        <v>20</v>
      </c>
      <c r="F1162" s="3">
        <v>2767.93</v>
      </c>
      <c r="G1162" s="3">
        <v>3145.38</v>
      </c>
      <c r="H1162" s="3">
        <f>Table1[[#This Row],[Sale]]-Table1[[#This Row],[Cost]]</f>
        <v>377.45000000000027</v>
      </c>
      <c r="I1162" s="4">
        <f>Table1[[#This Row],[Profit]]/Table1[[#This Row],[Sale]]</f>
        <v>0.12000139887708329</v>
      </c>
      <c r="J1162" s="5">
        <f t="shared" si="36"/>
        <v>2004</v>
      </c>
      <c r="K1162" s="5">
        <f>MONTH(Table1[[#This Row],[Date]])</f>
        <v>12</v>
      </c>
      <c r="L1162" s="5">
        <f>DAY(Table1[[#This Row],[Date]])</f>
        <v>29</v>
      </c>
      <c r="M1162" s="5" t="str">
        <f t="shared" si="37"/>
        <v>Dec</v>
      </c>
    </row>
    <row r="1163" spans="1:13" x14ac:dyDescent="0.25">
      <c r="A1163" s="2">
        <v>38348</v>
      </c>
      <c r="B1163" t="s">
        <v>26</v>
      </c>
      <c r="C1163" t="s">
        <v>29</v>
      </c>
      <c r="D1163" t="s">
        <v>28</v>
      </c>
      <c r="E1163" t="s">
        <v>24</v>
      </c>
      <c r="F1163" s="3">
        <v>1919</v>
      </c>
      <c r="G1163" s="3">
        <v>3252.54</v>
      </c>
      <c r="H1163" s="3">
        <f>Table1[[#This Row],[Sale]]-Table1[[#This Row],[Cost]]</f>
        <v>1333.54</v>
      </c>
      <c r="I1163" s="4">
        <f>Table1[[#This Row],[Profit]]/Table1[[#This Row],[Sale]]</f>
        <v>0.40999956956716904</v>
      </c>
      <c r="J1163" s="5">
        <f t="shared" si="36"/>
        <v>2004</v>
      </c>
      <c r="K1163" s="5">
        <f>MONTH(Table1[[#This Row],[Date]])</f>
        <v>12</v>
      </c>
      <c r="L1163" s="5">
        <f>DAY(Table1[[#This Row],[Date]])</f>
        <v>27</v>
      </c>
      <c r="M1163" s="5" t="str">
        <f t="shared" si="37"/>
        <v>Dec</v>
      </c>
    </row>
    <row r="1164" spans="1:13" x14ac:dyDescent="0.25">
      <c r="A1164" s="2">
        <v>38542</v>
      </c>
      <c r="B1164" t="s">
        <v>15</v>
      </c>
      <c r="C1164" t="s">
        <v>27</v>
      </c>
      <c r="D1164" t="s">
        <v>16</v>
      </c>
      <c r="E1164" t="s">
        <v>25</v>
      </c>
      <c r="F1164" s="3">
        <v>2437.02</v>
      </c>
      <c r="G1164" s="3">
        <v>6586.53</v>
      </c>
      <c r="H1164" s="3">
        <f>Table1[[#This Row],[Sale]]-Table1[[#This Row],[Cost]]</f>
        <v>4149.51</v>
      </c>
      <c r="I1164" s="4">
        <f>Table1[[#This Row],[Profit]]/Table1[[#This Row],[Sale]]</f>
        <v>0.62999940788245101</v>
      </c>
      <c r="J1164" s="5">
        <f t="shared" si="36"/>
        <v>2005</v>
      </c>
      <c r="K1164" s="5">
        <f>MONTH(Table1[[#This Row],[Date]])</f>
        <v>7</v>
      </c>
      <c r="L1164" s="5">
        <f>DAY(Table1[[#This Row],[Date]])</f>
        <v>9</v>
      </c>
      <c r="M1164" s="5" t="str">
        <f t="shared" si="37"/>
        <v>Jul</v>
      </c>
    </row>
    <row r="1165" spans="1:13" x14ac:dyDescent="0.25">
      <c r="A1165" s="2">
        <v>38823</v>
      </c>
      <c r="B1165" t="s">
        <v>11</v>
      </c>
      <c r="C1165" t="s">
        <v>27</v>
      </c>
      <c r="D1165" t="s">
        <v>28</v>
      </c>
      <c r="E1165" t="s">
        <v>25</v>
      </c>
      <c r="F1165" s="3">
        <v>4473.25</v>
      </c>
      <c r="G1165" s="3">
        <v>5964.33</v>
      </c>
      <c r="H1165" s="3">
        <f>Table1[[#This Row],[Sale]]-Table1[[#This Row],[Cost]]</f>
        <v>1491.08</v>
      </c>
      <c r="I1165" s="4">
        <f>Table1[[#This Row],[Profit]]/Table1[[#This Row],[Sale]]</f>
        <v>0.24999958084143567</v>
      </c>
      <c r="J1165" s="5">
        <f t="shared" si="36"/>
        <v>2006</v>
      </c>
      <c r="K1165" s="5">
        <f>MONTH(Table1[[#This Row],[Date]])</f>
        <v>4</v>
      </c>
      <c r="L1165" s="5">
        <f>DAY(Table1[[#This Row],[Date]])</f>
        <v>16</v>
      </c>
      <c r="M1165" s="5" t="str">
        <f t="shared" si="37"/>
        <v>Apr</v>
      </c>
    </row>
    <row r="1166" spans="1:13" x14ac:dyDescent="0.25">
      <c r="A1166" s="2">
        <v>38520</v>
      </c>
      <c r="B1166" t="s">
        <v>26</v>
      </c>
      <c r="C1166" t="s">
        <v>12</v>
      </c>
      <c r="D1166" t="s">
        <v>16</v>
      </c>
      <c r="E1166" t="s">
        <v>20</v>
      </c>
      <c r="F1166" s="3">
        <v>6311.32</v>
      </c>
      <c r="G1166" s="3">
        <v>9281.35</v>
      </c>
      <c r="H1166" s="3">
        <f>Table1[[#This Row],[Sale]]-Table1[[#This Row],[Cost]]</f>
        <v>2970.0300000000007</v>
      </c>
      <c r="I1166" s="4">
        <f>Table1[[#This Row],[Profit]]/Table1[[#This Row],[Sale]]</f>
        <v>0.31999978451410632</v>
      </c>
      <c r="J1166" s="5">
        <f t="shared" si="36"/>
        <v>2005</v>
      </c>
      <c r="K1166" s="5">
        <f>MONTH(Table1[[#This Row],[Date]])</f>
        <v>6</v>
      </c>
      <c r="L1166" s="5">
        <f>DAY(Table1[[#This Row],[Date]])</f>
        <v>17</v>
      </c>
      <c r="M1166" s="5" t="str">
        <f t="shared" si="37"/>
        <v>Jun</v>
      </c>
    </row>
    <row r="1167" spans="1:13" x14ac:dyDescent="0.25">
      <c r="A1167" s="2">
        <v>38461</v>
      </c>
      <c r="B1167" t="s">
        <v>17</v>
      </c>
      <c r="C1167" t="s">
        <v>29</v>
      </c>
      <c r="D1167" t="s">
        <v>28</v>
      </c>
      <c r="E1167" t="s">
        <v>25</v>
      </c>
      <c r="F1167" s="3">
        <v>231.83</v>
      </c>
      <c r="G1167" s="3">
        <v>399.7</v>
      </c>
      <c r="H1167" s="3">
        <f>Table1[[#This Row],[Sale]]-Table1[[#This Row],[Cost]]</f>
        <v>167.86999999999998</v>
      </c>
      <c r="I1167" s="4">
        <f>Table1[[#This Row],[Profit]]/Table1[[#This Row],[Sale]]</f>
        <v>0.41998999249437075</v>
      </c>
      <c r="J1167" s="5">
        <f t="shared" si="36"/>
        <v>2005</v>
      </c>
      <c r="K1167" s="5">
        <f>MONTH(Table1[[#This Row],[Date]])</f>
        <v>4</v>
      </c>
      <c r="L1167" s="5">
        <f>DAY(Table1[[#This Row],[Date]])</f>
        <v>19</v>
      </c>
      <c r="M1167" s="5" t="str">
        <f t="shared" si="37"/>
        <v>Apr</v>
      </c>
    </row>
    <row r="1168" spans="1:13" x14ac:dyDescent="0.25">
      <c r="A1168" s="2">
        <v>38762</v>
      </c>
      <c r="B1168" t="s">
        <v>22</v>
      </c>
      <c r="C1168" t="s">
        <v>27</v>
      </c>
      <c r="D1168" t="s">
        <v>16</v>
      </c>
      <c r="E1168" t="s">
        <v>24</v>
      </c>
      <c r="F1168" s="3">
        <v>4800.8900000000003</v>
      </c>
      <c r="G1168" s="3">
        <v>7060.13</v>
      </c>
      <c r="H1168" s="3">
        <f>Table1[[#This Row],[Sale]]-Table1[[#This Row],[Cost]]</f>
        <v>2259.2399999999998</v>
      </c>
      <c r="I1168" s="4">
        <f>Table1[[#This Row],[Profit]]/Table1[[#This Row],[Sale]]</f>
        <v>0.31999977337527774</v>
      </c>
      <c r="J1168" s="5">
        <f t="shared" si="36"/>
        <v>2006</v>
      </c>
      <c r="K1168" s="5">
        <f>MONTH(Table1[[#This Row],[Date]])</f>
        <v>2</v>
      </c>
      <c r="L1168" s="5">
        <f>DAY(Table1[[#This Row],[Date]])</f>
        <v>14</v>
      </c>
      <c r="M1168" s="5" t="str">
        <f t="shared" si="37"/>
        <v>Feb</v>
      </c>
    </row>
    <row r="1169" spans="1:13" x14ac:dyDescent="0.25">
      <c r="A1169" s="2">
        <v>38601</v>
      </c>
      <c r="B1169" t="s">
        <v>21</v>
      </c>
      <c r="C1169" t="s">
        <v>18</v>
      </c>
      <c r="D1169" t="s">
        <v>19</v>
      </c>
      <c r="E1169" t="s">
        <v>25</v>
      </c>
      <c r="F1169" s="3">
        <v>1421.21</v>
      </c>
      <c r="G1169" s="3">
        <v>3305.15</v>
      </c>
      <c r="H1169" s="3">
        <f>Table1[[#This Row],[Sale]]-Table1[[#This Row],[Cost]]</f>
        <v>1883.94</v>
      </c>
      <c r="I1169" s="4">
        <f>Table1[[#This Row],[Profit]]/Table1[[#This Row],[Sale]]</f>
        <v>0.57000136151158043</v>
      </c>
      <c r="J1169" s="5">
        <f t="shared" si="36"/>
        <v>2005</v>
      </c>
      <c r="K1169" s="5">
        <f>MONTH(Table1[[#This Row],[Date]])</f>
        <v>9</v>
      </c>
      <c r="L1169" s="5">
        <f>DAY(Table1[[#This Row],[Date]])</f>
        <v>6</v>
      </c>
      <c r="M1169" s="5" t="str">
        <f t="shared" si="37"/>
        <v>Sep</v>
      </c>
    </row>
    <row r="1170" spans="1:13" x14ac:dyDescent="0.25">
      <c r="A1170" s="2">
        <v>38574</v>
      </c>
      <c r="B1170" t="s">
        <v>17</v>
      </c>
      <c r="C1170" t="s">
        <v>29</v>
      </c>
      <c r="D1170" t="s">
        <v>19</v>
      </c>
      <c r="E1170" t="s">
        <v>25</v>
      </c>
      <c r="F1170" s="3">
        <v>944.34</v>
      </c>
      <c r="G1170" s="3">
        <v>2552.2800000000002</v>
      </c>
      <c r="H1170" s="3">
        <f>Table1[[#This Row],[Sale]]-Table1[[#This Row],[Cost]]</f>
        <v>1607.94</v>
      </c>
      <c r="I1170" s="4">
        <f>Table1[[#This Row],[Profit]]/Table1[[#This Row],[Sale]]</f>
        <v>0.63000141050354974</v>
      </c>
      <c r="J1170" s="5">
        <f t="shared" si="36"/>
        <v>2005</v>
      </c>
      <c r="K1170" s="5">
        <f>MONTH(Table1[[#This Row],[Date]])</f>
        <v>8</v>
      </c>
      <c r="L1170" s="5">
        <f>DAY(Table1[[#This Row],[Date]])</f>
        <v>10</v>
      </c>
      <c r="M1170" s="5" t="str">
        <f t="shared" si="37"/>
        <v>Aug</v>
      </c>
    </row>
    <row r="1171" spans="1:13" x14ac:dyDescent="0.25">
      <c r="A1171" s="2">
        <v>38343</v>
      </c>
      <c r="B1171" t="s">
        <v>22</v>
      </c>
      <c r="C1171" t="s">
        <v>27</v>
      </c>
      <c r="D1171" t="s">
        <v>19</v>
      </c>
      <c r="E1171" t="s">
        <v>14</v>
      </c>
      <c r="F1171" s="3">
        <v>3727.46</v>
      </c>
      <c r="G1171" s="3">
        <v>3986.59</v>
      </c>
      <c r="H1171" s="3">
        <f>Table1[[#This Row],[Sale]]-Table1[[#This Row],[Cost]]</f>
        <v>259.13000000000011</v>
      </c>
      <c r="I1171" s="4">
        <f>Table1[[#This Row],[Profit]]/Table1[[#This Row],[Sale]]</f>
        <v>6.5000413887558062E-2</v>
      </c>
      <c r="J1171" s="5">
        <f t="shared" si="36"/>
        <v>2004</v>
      </c>
      <c r="K1171" s="5">
        <f>MONTH(Table1[[#This Row],[Date]])</f>
        <v>12</v>
      </c>
      <c r="L1171" s="5">
        <f>DAY(Table1[[#This Row],[Date]])</f>
        <v>22</v>
      </c>
      <c r="M1171" s="5" t="str">
        <f t="shared" si="37"/>
        <v>Dec</v>
      </c>
    </row>
    <row r="1172" spans="1:13" x14ac:dyDescent="0.25">
      <c r="A1172" s="2">
        <v>38820</v>
      </c>
      <c r="B1172" t="s">
        <v>11</v>
      </c>
      <c r="C1172" t="s">
        <v>18</v>
      </c>
      <c r="D1172" t="s">
        <v>13</v>
      </c>
      <c r="E1172" t="s">
        <v>24</v>
      </c>
      <c r="F1172" s="3">
        <v>3293.43</v>
      </c>
      <c r="G1172" s="3">
        <v>5678.32</v>
      </c>
      <c r="H1172" s="3">
        <f>Table1[[#This Row],[Sale]]-Table1[[#This Row],[Cost]]</f>
        <v>2384.89</v>
      </c>
      <c r="I1172" s="4">
        <f>Table1[[#This Row],[Profit]]/Table1[[#This Row],[Sale]]</f>
        <v>0.4199992251229237</v>
      </c>
      <c r="J1172" s="5">
        <f t="shared" si="36"/>
        <v>2006</v>
      </c>
      <c r="K1172" s="5">
        <f>MONTH(Table1[[#This Row],[Date]])</f>
        <v>4</v>
      </c>
      <c r="L1172" s="5">
        <f>DAY(Table1[[#This Row],[Date]])</f>
        <v>13</v>
      </c>
      <c r="M1172" s="5" t="str">
        <f t="shared" si="37"/>
        <v>Apr</v>
      </c>
    </row>
    <row r="1173" spans="1:13" x14ac:dyDescent="0.25">
      <c r="A1173" s="2">
        <v>38709</v>
      </c>
      <c r="B1173" t="s">
        <v>17</v>
      </c>
      <c r="C1173" t="s">
        <v>12</v>
      </c>
      <c r="D1173" t="s">
        <v>16</v>
      </c>
      <c r="E1173" t="s">
        <v>20</v>
      </c>
      <c r="F1173" s="3">
        <v>1609.96</v>
      </c>
      <c r="G1173" s="3">
        <v>3577.68</v>
      </c>
      <c r="H1173" s="3">
        <f>Table1[[#This Row],[Sale]]-Table1[[#This Row],[Cost]]</f>
        <v>1967.7199999999998</v>
      </c>
      <c r="I1173" s="4">
        <f>Table1[[#This Row],[Profit]]/Table1[[#This Row],[Sale]]</f>
        <v>0.5499988819570224</v>
      </c>
      <c r="J1173" s="5">
        <f t="shared" si="36"/>
        <v>2005</v>
      </c>
      <c r="K1173" s="5">
        <f>MONTH(Table1[[#This Row],[Date]])</f>
        <v>12</v>
      </c>
      <c r="L1173" s="5">
        <f>DAY(Table1[[#This Row],[Date]])</f>
        <v>23</v>
      </c>
      <c r="M1173" s="5" t="str">
        <f t="shared" si="37"/>
        <v>Dec</v>
      </c>
    </row>
    <row r="1174" spans="1:13" x14ac:dyDescent="0.25">
      <c r="A1174" s="2">
        <v>38537</v>
      </c>
      <c r="B1174" t="s">
        <v>26</v>
      </c>
      <c r="C1174" t="s">
        <v>23</v>
      </c>
      <c r="D1174" t="s">
        <v>16</v>
      </c>
      <c r="E1174" t="s">
        <v>20</v>
      </c>
      <c r="F1174" s="3">
        <v>2910.96</v>
      </c>
      <c r="G1174" s="3">
        <v>5018.8900000000003</v>
      </c>
      <c r="H1174" s="3">
        <f>Table1[[#This Row],[Sale]]-Table1[[#This Row],[Cost]]</f>
        <v>2107.9300000000003</v>
      </c>
      <c r="I1174" s="4">
        <f>Table1[[#This Row],[Profit]]/Table1[[#This Row],[Sale]]</f>
        <v>0.41999924286047319</v>
      </c>
      <c r="J1174" s="5">
        <f t="shared" si="36"/>
        <v>2005</v>
      </c>
      <c r="K1174" s="5">
        <f>MONTH(Table1[[#This Row],[Date]])</f>
        <v>7</v>
      </c>
      <c r="L1174" s="5">
        <f>DAY(Table1[[#This Row],[Date]])</f>
        <v>4</v>
      </c>
      <c r="M1174" s="5" t="str">
        <f t="shared" si="37"/>
        <v>Jul</v>
      </c>
    </row>
    <row r="1175" spans="1:13" x14ac:dyDescent="0.25">
      <c r="A1175" s="2">
        <v>38323</v>
      </c>
      <c r="B1175" t="s">
        <v>15</v>
      </c>
      <c r="C1175" t="s">
        <v>12</v>
      </c>
      <c r="D1175" t="s">
        <v>16</v>
      </c>
      <c r="E1175" t="s">
        <v>14</v>
      </c>
      <c r="F1175" s="3">
        <v>6835.97</v>
      </c>
      <c r="G1175" s="3">
        <v>7768.15</v>
      </c>
      <c r="H1175" s="3">
        <f>Table1[[#This Row],[Sale]]-Table1[[#This Row],[Cost]]</f>
        <v>932.17999999999938</v>
      </c>
      <c r="I1175" s="4">
        <f>Table1[[#This Row],[Profit]]/Table1[[#This Row],[Sale]]</f>
        <v>0.12000025746155769</v>
      </c>
      <c r="J1175" s="5">
        <f t="shared" si="36"/>
        <v>2004</v>
      </c>
      <c r="K1175" s="5">
        <f>MONTH(Table1[[#This Row],[Date]])</f>
        <v>12</v>
      </c>
      <c r="L1175" s="5">
        <f>DAY(Table1[[#This Row],[Date]])</f>
        <v>2</v>
      </c>
      <c r="M1175" s="5" t="str">
        <f t="shared" si="37"/>
        <v>Dec</v>
      </c>
    </row>
    <row r="1176" spans="1:13" x14ac:dyDescent="0.25">
      <c r="A1176" s="2">
        <v>38383</v>
      </c>
      <c r="B1176" t="s">
        <v>21</v>
      </c>
      <c r="C1176" t="s">
        <v>29</v>
      </c>
      <c r="D1176" t="s">
        <v>19</v>
      </c>
      <c r="E1176" t="s">
        <v>14</v>
      </c>
      <c r="F1176" s="3">
        <v>347.12</v>
      </c>
      <c r="G1176" s="3">
        <v>394.45</v>
      </c>
      <c r="H1176" s="3">
        <f>Table1[[#This Row],[Sale]]-Table1[[#This Row],[Cost]]</f>
        <v>47.329999999999984</v>
      </c>
      <c r="I1176" s="4">
        <f>Table1[[#This Row],[Profit]]/Table1[[#This Row],[Sale]]</f>
        <v>0.11998985929775634</v>
      </c>
      <c r="J1176" s="5">
        <f t="shared" si="36"/>
        <v>2005</v>
      </c>
      <c r="K1176" s="5">
        <f>MONTH(Table1[[#This Row],[Date]])</f>
        <v>1</v>
      </c>
      <c r="L1176" s="5">
        <f>DAY(Table1[[#This Row],[Date]])</f>
        <v>31</v>
      </c>
      <c r="M1176" s="5" t="str">
        <f t="shared" si="37"/>
        <v>Jan</v>
      </c>
    </row>
    <row r="1177" spans="1:13" x14ac:dyDescent="0.25">
      <c r="A1177" s="2">
        <v>38554</v>
      </c>
      <c r="B1177" t="s">
        <v>26</v>
      </c>
      <c r="C1177" t="s">
        <v>29</v>
      </c>
      <c r="D1177" t="s">
        <v>16</v>
      </c>
      <c r="E1177" t="s">
        <v>20</v>
      </c>
      <c r="F1177" s="3">
        <v>7044.34</v>
      </c>
      <c r="G1177" s="3">
        <v>9392.4500000000007</v>
      </c>
      <c r="H1177" s="3">
        <f>Table1[[#This Row],[Sale]]-Table1[[#This Row],[Cost]]</f>
        <v>2348.1100000000006</v>
      </c>
      <c r="I1177" s="4">
        <f>Table1[[#This Row],[Profit]]/Table1[[#This Row],[Sale]]</f>
        <v>0.24999973382876675</v>
      </c>
      <c r="J1177" s="5">
        <f t="shared" si="36"/>
        <v>2005</v>
      </c>
      <c r="K1177" s="5">
        <f>MONTH(Table1[[#This Row],[Date]])</f>
        <v>7</v>
      </c>
      <c r="L1177" s="5">
        <f>DAY(Table1[[#This Row],[Date]])</f>
        <v>21</v>
      </c>
      <c r="M1177" s="5" t="str">
        <f t="shared" si="37"/>
        <v>Jul</v>
      </c>
    </row>
    <row r="1178" spans="1:13" x14ac:dyDescent="0.25">
      <c r="A1178" s="2">
        <v>38601</v>
      </c>
      <c r="B1178" t="s">
        <v>26</v>
      </c>
      <c r="C1178" t="s">
        <v>18</v>
      </c>
      <c r="D1178" t="s">
        <v>13</v>
      </c>
      <c r="E1178" t="s">
        <v>20</v>
      </c>
      <c r="F1178" s="3">
        <v>4294.03</v>
      </c>
      <c r="G1178" s="3">
        <v>6314.75</v>
      </c>
      <c r="H1178" s="3">
        <f>Table1[[#This Row],[Sale]]-Table1[[#This Row],[Cost]]</f>
        <v>2020.7200000000003</v>
      </c>
      <c r="I1178" s="4">
        <f>Table1[[#This Row],[Profit]]/Table1[[#This Row],[Sale]]</f>
        <v>0.32000000000000006</v>
      </c>
      <c r="J1178" s="5">
        <f t="shared" si="36"/>
        <v>2005</v>
      </c>
      <c r="K1178" s="5">
        <f>MONTH(Table1[[#This Row],[Date]])</f>
        <v>9</v>
      </c>
      <c r="L1178" s="5">
        <f>DAY(Table1[[#This Row],[Date]])</f>
        <v>6</v>
      </c>
      <c r="M1178" s="5" t="str">
        <f t="shared" si="37"/>
        <v>Sep</v>
      </c>
    </row>
    <row r="1179" spans="1:13" x14ac:dyDescent="0.25">
      <c r="A1179" s="2">
        <v>38715</v>
      </c>
      <c r="B1179" t="s">
        <v>26</v>
      </c>
      <c r="C1179" t="s">
        <v>18</v>
      </c>
      <c r="D1179" t="s">
        <v>16</v>
      </c>
      <c r="E1179" t="s">
        <v>20</v>
      </c>
      <c r="F1179" s="3">
        <v>822.27</v>
      </c>
      <c r="G1179" s="3">
        <v>1393.67</v>
      </c>
      <c r="H1179" s="3">
        <f>Table1[[#This Row],[Sale]]-Table1[[#This Row],[Cost]]</f>
        <v>571.40000000000009</v>
      </c>
      <c r="I1179" s="4">
        <f>Table1[[#This Row],[Profit]]/Table1[[#This Row],[Sale]]</f>
        <v>0.40999662760911842</v>
      </c>
      <c r="J1179" s="5">
        <f t="shared" si="36"/>
        <v>2005</v>
      </c>
      <c r="K1179" s="5">
        <f>MONTH(Table1[[#This Row],[Date]])</f>
        <v>12</v>
      </c>
      <c r="L1179" s="5">
        <f>DAY(Table1[[#This Row],[Date]])</f>
        <v>29</v>
      </c>
      <c r="M1179" s="5" t="str">
        <f t="shared" si="37"/>
        <v>Dec</v>
      </c>
    </row>
    <row r="1180" spans="1:13" x14ac:dyDescent="0.25">
      <c r="A1180" s="2">
        <v>38873</v>
      </c>
      <c r="B1180" t="s">
        <v>21</v>
      </c>
      <c r="C1180" t="s">
        <v>27</v>
      </c>
      <c r="D1180" t="s">
        <v>19</v>
      </c>
      <c r="E1180" t="s">
        <v>14</v>
      </c>
      <c r="F1180" s="3">
        <v>1012.15</v>
      </c>
      <c r="G1180" s="3">
        <v>1082.51</v>
      </c>
      <c r="H1180" s="3">
        <f>Table1[[#This Row],[Sale]]-Table1[[#This Row],[Cost]]</f>
        <v>70.360000000000014</v>
      </c>
      <c r="I1180" s="4">
        <f>Table1[[#This Row],[Profit]]/Table1[[#This Row],[Sale]]</f>
        <v>6.4997090096165402E-2</v>
      </c>
      <c r="J1180" s="5">
        <f t="shared" si="36"/>
        <v>2006</v>
      </c>
      <c r="K1180" s="5">
        <f>MONTH(Table1[[#This Row],[Date]])</f>
        <v>6</v>
      </c>
      <c r="L1180" s="5">
        <f>DAY(Table1[[#This Row],[Date]])</f>
        <v>5</v>
      </c>
      <c r="M1180" s="5" t="str">
        <f t="shared" si="37"/>
        <v>Jun</v>
      </c>
    </row>
    <row r="1181" spans="1:13" x14ac:dyDescent="0.25">
      <c r="A1181" s="2">
        <v>38838</v>
      </c>
      <c r="B1181" t="s">
        <v>22</v>
      </c>
      <c r="C1181" t="s">
        <v>18</v>
      </c>
      <c r="D1181" t="s">
        <v>19</v>
      </c>
      <c r="E1181" t="s">
        <v>25</v>
      </c>
      <c r="F1181" s="3">
        <v>3750.08</v>
      </c>
      <c r="G1181" s="3">
        <v>8721.11</v>
      </c>
      <c r="H1181" s="3">
        <f>Table1[[#This Row],[Sale]]-Table1[[#This Row],[Cost]]</f>
        <v>4971.0300000000007</v>
      </c>
      <c r="I1181" s="4">
        <f>Table1[[#This Row],[Profit]]/Table1[[#This Row],[Sale]]</f>
        <v>0.56999969040638176</v>
      </c>
      <c r="J1181" s="5">
        <f t="shared" si="36"/>
        <v>2006</v>
      </c>
      <c r="K1181" s="5">
        <f>MONTH(Table1[[#This Row],[Date]])</f>
        <v>5</v>
      </c>
      <c r="L1181" s="5">
        <f>DAY(Table1[[#This Row],[Date]])</f>
        <v>1</v>
      </c>
      <c r="M1181" s="5" t="str">
        <f t="shared" si="37"/>
        <v>May</v>
      </c>
    </row>
    <row r="1182" spans="1:13" x14ac:dyDescent="0.25">
      <c r="A1182" s="2">
        <v>38650</v>
      </c>
      <c r="B1182" t="s">
        <v>11</v>
      </c>
      <c r="C1182" t="s">
        <v>12</v>
      </c>
      <c r="D1182" t="s">
        <v>16</v>
      </c>
      <c r="E1182" t="s">
        <v>24</v>
      </c>
      <c r="F1182" s="3">
        <v>2033.54</v>
      </c>
      <c r="G1182" s="3">
        <v>3506.11</v>
      </c>
      <c r="H1182" s="3">
        <f>Table1[[#This Row],[Sale]]-Table1[[#This Row],[Cost]]</f>
        <v>1472.5700000000002</v>
      </c>
      <c r="I1182" s="4">
        <f>Table1[[#This Row],[Profit]]/Table1[[#This Row],[Sale]]</f>
        <v>0.42000108382224177</v>
      </c>
      <c r="J1182" s="5">
        <f t="shared" si="36"/>
        <v>2005</v>
      </c>
      <c r="K1182" s="5">
        <f>MONTH(Table1[[#This Row],[Date]])</f>
        <v>10</v>
      </c>
      <c r="L1182" s="5">
        <f>DAY(Table1[[#This Row],[Date]])</f>
        <v>25</v>
      </c>
      <c r="M1182" s="5" t="str">
        <f t="shared" si="37"/>
        <v>Oct</v>
      </c>
    </row>
    <row r="1183" spans="1:13" x14ac:dyDescent="0.25">
      <c r="A1183" s="2">
        <v>38821</v>
      </c>
      <c r="B1183" t="s">
        <v>17</v>
      </c>
      <c r="C1183" t="s">
        <v>23</v>
      </c>
      <c r="D1183" t="s">
        <v>19</v>
      </c>
      <c r="E1183" t="s">
        <v>20</v>
      </c>
      <c r="F1183" s="3">
        <v>343.22</v>
      </c>
      <c r="G1183" s="3">
        <v>762.71</v>
      </c>
      <c r="H1183" s="3">
        <f>Table1[[#This Row],[Sale]]-Table1[[#This Row],[Cost]]</f>
        <v>419.49</v>
      </c>
      <c r="I1183" s="4">
        <f>Table1[[#This Row],[Profit]]/Table1[[#This Row],[Sale]]</f>
        <v>0.54999934444284193</v>
      </c>
      <c r="J1183" s="5">
        <f t="shared" si="36"/>
        <v>2006</v>
      </c>
      <c r="K1183" s="5">
        <f>MONTH(Table1[[#This Row],[Date]])</f>
        <v>4</v>
      </c>
      <c r="L1183" s="5">
        <f>DAY(Table1[[#This Row],[Date]])</f>
        <v>14</v>
      </c>
      <c r="M1183" s="5" t="str">
        <f t="shared" si="37"/>
        <v>Apr</v>
      </c>
    </row>
    <row r="1184" spans="1:13" x14ac:dyDescent="0.25">
      <c r="A1184" s="2">
        <v>38515</v>
      </c>
      <c r="B1184" t="s">
        <v>22</v>
      </c>
      <c r="C1184" t="s">
        <v>12</v>
      </c>
      <c r="D1184" t="s">
        <v>19</v>
      </c>
      <c r="E1184" t="s">
        <v>24</v>
      </c>
      <c r="F1184" s="3">
        <v>3438.09</v>
      </c>
      <c r="G1184" s="3">
        <v>5927.74</v>
      </c>
      <c r="H1184" s="3">
        <f>Table1[[#This Row],[Sale]]-Table1[[#This Row],[Cost]]</f>
        <v>2489.6499999999996</v>
      </c>
      <c r="I1184" s="4">
        <f>Table1[[#This Row],[Profit]]/Table1[[#This Row],[Sale]]</f>
        <v>0.4199998650413142</v>
      </c>
      <c r="J1184" s="5">
        <f t="shared" si="36"/>
        <v>2005</v>
      </c>
      <c r="K1184" s="5">
        <f>MONTH(Table1[[#This Row],[Date]])</f>
        <v>6</v>
      </c>
      <c r="L1184" s="5">
        <f>DAY(Table1[[#This Row],[Date]])</f>
        <v>12</v>
      </c>
      <c r="M1184" s="5" t="str">
        <f t="shared" si="37"/>
        <v>Jun</v>
      </c>
    </row>
    <row r="1185" spans="1:13" x14ac:dyDescent="0.25">
      <c r="A1185" s="2">
        <v>38715</v>
      </c>
      <c r="B1185" t="s">
        <v>21</v>
      </c>
      <c r="C1185" t="s">
        <v>27</v>
      </c>
      <c r="D1185" t="s">
        <v>13</v>
      </c>
      <c r="E1185" t="s">
        <v>20</v>
      </c>
      <c r="F1185" s="3">
        <v>788.88</v>
      </c>
      <c r="G1185" s="3">
        <v>1337.08</v>
      </c>
      <c r="H1185" s="3">
        <f>Table1[[#This Row],[Sale]]-Table1[[#This Row],[Cost]]</f>
        <v>548.19999999999993</v>
      </c>
      <c r="I1185" s="4">
        <f>Table1[[#This Row],[Profit]]/Table1[[#This Row],[Sale]]</f>
        <v>0.40999790588446461</v>
      </c>
      <c r="J1185" s="5">
        <f t="shared" si="36"/>
        <v>2005</v>
      </c>
      <c r="K1185" s="5">
        <f>MONTH(Table1[[#This Row],[Date]])</f>
        <v>12</v>
      </c>
      <c r="L1185" s="5">
        <f>DAY(Table1[[#This Row],[Date]])</f>
        <v>29</v>
      </c>
      <c r="M1185" s="5" t="str">
        <f t="shared" si="37"/>
        <v>Dec</v>
      </c>
    </row>
    <row r="1186" spans="1:13" x14ac:dyDescent="0.25">
      <c r="A1186" s="2">
        <v>38190</v>
      </c>
      <c r="B1186" t="s">
        <v>22</v>
      </c>
      <c r="C1186" t="s">
        <v>23</v>
      </c>
      <c r="D1186" t="s">
        <v>16</v>
      </c>
      <c r="E1186" t="s">
        <v>25</v>
      </c>
      <c r="F1186" s="3">
        <v>1926.54</v>
      </c>
      <c r="G1186" s="3">
        <v>3265.32</v>
      </c>
      <c r="H1186" s="3">
        <f>Table1[[#This Row],[Sale]]-Table1[[#This Row],[Cost]]</f>
        <v>1338.7800000000002</v>
      </c>
      <c r="I1186" s="4">
        <f>Table1[[#This Row],[Profit]]/Table1[[#This Row],[Sale]]</f>
        <v>0.40999963250156191</v>
      </c>
      <c r="J1186" s="5">
        <f t="shared" si="36"/>
        <v>2004</v>
      </c>
      <c r="K1186" s="5">
        <f>MONTH(Table1[[#This Row],[Date]])</f>
        <v>7</v>
      </c>
      <c r="L1186" s="5">
        <f>DAY(Table1[[#This Row],[Date]])</f>
        <v>22</v>
      </c>
      <c r="M1186" s="5" t="str">
        <f t="shared" si="37"/>
        <v>Jul</v>
      </c>
    </row>
    <row r="1187" spans="1:13" x14ac:dyDescent="0.25">
      <c r="A1187" s="2">
        <v>38632</v>
      </c>
      <c r="B1187" t="s">
        <v>11</v>
      </c>
      <c r="C1187" t="s">
        <v>18</v>
      </c>
      <c r="D1187" t="s">
        <v>16</v>
      </c>
      <c r="E1187" t="s">
        <v>25</v>
      </c>
      <c r="F1187" s="3">
        <v>3328.69</v>
      </c>
      <c r="G1187" s="3">
        <v>7741.13</v>
      </c>
      <c r="H1187" s="3">
        <f>Table1[[#This Row],[Sale]]-Table1[[#This Row],[Cost]]</f>
        <v>4412.4400000000005</v>
      </c>
      <c r="I1187" s="4">
        <f>Table1[[#This Row],[Profit]]/Table1[[#This Row],[Sale]]</f>
        <v>0.56999947036156229</v>
      </c>
      <c r="J1187" s="5">
        <f t="shared" si="36"/>
        <v>2005</v>
      </c>
      <c r="K1187" s="5">
        <f>MONTH(Table1[[#This Row],[Date]])</f>
        <v>10</v>
      </c>
      <c r="L1187" s="5">
        <f>DAY(Table1[[#This Row],[Date]])</f>
        <v>7</v>
      </c>
      <c r="M1187" s="5" t="str">
        <f t="shared" si="37"/>
        <v>Oct</v>
      </c>
    </row>
    <row r="1188" spans="1:13" x14ac:dyDescent="0.25">
      <c r="A1188" s="2">
        <v>38177</v>
      </c>
      <c r="B1188" t="s">
        <v>11</v>
      </c>
      <c r="C1188" t="s">
        <v>18</v>
      </c>
      <c r="D1188" t="s">
        <v>13</v>
      </c>
      <c r="E1188" t="s">
        <v>25</v>
      </c>
      <c r="F1188" s="3">
        <v>1236.69</v>
      </c>
      <c r="G1188" s="3">
        <v>2876.02</v>
      </c>
      <c r="H1188" s="3">
        <f>Table1[[#This Row],[Sale]]-Table1[[#This Row],[Cost]]</f>
        <v>1639.33</v>
      </c>
      <c r="I1188" s="4">
        <f>Table1[[#This Row],[Profit]]/Table1[[#This Row],[Sale]]</f>
        <v>0.5699995132161807</v>
      </c>
      <c r="J1188" s="5">
        <f t="shared" si="36"/>
        <v>2004</v>
      </c>
      <c r="K1188" s="5">
        <f>MONTH(Table1[[#This Row],[Date]])</f>
        <v>7</v>
      </c>
      <c r="L1188" s="5">
        <f>DAY(Table1[[#This Row],[Date]])</f>
        <v>9</v>
      </c>
      <c r="M1188" s="5" t="str">
        <f t="shared" si="37"/>
        <v>Jul</v>
      </c>
    </row>
    <row r="1189" spans="1:13" x14ac:dyDescent="0.25">
      <c r="A1189" s="2">
        <v>38501</v>
      </c>
      <c r="B1189" t="s">
        <v>22</v>
      </c>
      <c r="C1189" t="s">
        <v>29</v>
      </c>
      <c r="D1189" t="s">
        <v>13</v>
      </c>
      <c r="E1189" t="s">
        <v>14</v>
      </c>
      <c r="F1189" s="3">
        <v>2052.71</v>
      </c>
      <c r="G1189" s="3">
        <v>3018.69</v>
      </c>
      <c r="H1189" s="3">
        <f>Table1[[#This Row],[Sale]]-Table1[[#This Row],[Cost]]</f>
        <v>965.98</v>
      </c>
      <c r="I1189" s="4">
        <f>Table1[[#This Row],[Profit]]/Table1[[#This Row],[Sale]]</f>
        <v>0.31999973498438067</v>
      </c>
      <c r="J1189" s="5">
        <f t="shared" si="36"/>
        <v>2005</v>
      </c>
      <c r="K1189" s="5">
        <f>MONTH(Table1[[#This Row],[Date]])</f>
        <v>5</v>
      </c>
      <c r="L1189" s="5">
        <f>DAY(Table1[[#This Row],[Date]])</f>
        <v>29</v>
      </c>
      <c r="M1189" s="5" t="str">
        <f t="shared" si="37"/>
        <v>May</v>
      </c>
    </row>
    <row r="1190" spans="1:13" x14ac:dyDescent="0.25">
      <c r="A1190" s="2">
        <v>38208</v>
      </c>
      <c r="B1190" t="s">
        <v>11</v>
      </c>
      <c r="C1190" t="s">
        <v>29</v>
      </c>
      <c r="D1190" t="s">
        <v>28</v>
      </c>
      <c r="E1190" t="s">
        <v>25</v>
      </c>
      <c r="F1190" s="3">
        <v>1149.29</v>
      </c>
      <c r="G1190" s="3">
        <v>3106.18</v>
      </c>
      <c r="H1190" s="3">
        <f>Table1[[#This Row],[Sale]]-Table1[[#This Row],[Cost]]</f>
        <v>1956.8899999999999</v>
      </c>
      <c r="I1190" s="4">
        <f>Table1[[#This Row],[Profit]]/Table1[[#This Row],[Sale]]</f>
        <v>0.62999890540792869</v>
      </c>
      <c r="J1190" s="5">
        <f t="shared" si="36"/>
        <v>2004</v>
      </c>
      <c r="K1190" s="5">
        <f>MONTH(Table1[[#This Row],[Date]])</f>
        <v>8</v>
      </c>
      <c r="L1190" s="5">
        <f>DAY(Table1[[#This Row],[Date]])</f>
        <v>9</v>
      </c>
      <c r="M1190" s="5" t="str">
        <f t="shared" si="37"/>
        <v>Aug</v>
      </c>
    </row>
    <row r="1191" spans="1:13" x14ac:dyDescent="0.25">
      <c r="A1191" s="2">
        <v>38400</v>
      </c>
      <c r="B1191" t="s">
        <v>21</v>
      </c>
      <c r="C1191" t="s">
        <v>23</v>
      </c>
      <c r="D1191" t="s">
        <v>16</v>
      </c>
      <c r="E1191" t="s">
        <v>24</v>
      </c>
      <c r="F1191" s="3">
        <v>3002.01</v>
      </c>
      <c r="G1191" s="3">
        <v>4414.72</v>
      </c>
      <c r="H1191" s="3">
        <f>Table1[[#This Row],[Sale]]-Table1[[#This Row],[Cost]]</f>
        <v>1412.71</v>
      </c>
      <c r="I1191" s="4">
        <f>Table1[[#This Row],[Profit]]/Table1[[#This Row],[Sale]]</f>
        <v>0.31999990939402723</v>
      </c>
      <c r="J1191" s="5">
        <f t="shared" si="36"/>
        <v>2005</v>
      </c>
      <c r="K1191" s="5">
        <f>MONTH(Table1[[#This Row],[Date]])</f>
        <v>2</v>
      </c>
      <c r="L1191" s="5">
        <f>DAY(Table1[[#This Row],[Date]])</f>
        <v>17</v>
      </c>
      <c r="M1191" s="5" t="str">
        <f t="shared" si="37"/>
        <v>Feb</v>
      </c>
    </row>
    <row r="1192" spans="1:13" x14ac:dyDescent="0.25">
      <c r="A1192" s="2">
        <v>38274</v>
      </c>
      <c r="B1192" t="s">
        <v>21</v>
      </c>
      <c r="C1192" t="s">
        <v>23</v>
      </c>
      <c r="D1192" t="s">
        <v>28</v>
      </c>
      <c r="E1192" t="s">
        <v>25</v>
      </c>
      <c r="F1192" s="3">
        <v>2317.3000000000002</v>
      </c>
      <c r="G1192" s="3">
        <v>3407.8</v>
      </c>
      <c r="H1192" s="3">
        <f>Table1[[#This Row],[Sale]]-Table1[[#This Row],[Cost]]</f>
        <v>1090.5</v>
      </c>
      <c r="I1192" s="4">
        <f>Table1[[#This Row],[Profit]]/Table1[[#This Row],[Sale]]</f>
        <v>0.32000117377780385</v>
      </c>
      <c r="J1192" s="5">
        <f t="shared" si="36"/>
        <v>2004</v>
      </c>
      <c r="K1192" s="5">
        <f>MONTH(Table1[[#This Row],[Date]])</f>
        <v>10</v>
      </c>
      <c r="L1192" s="5">
        <f>DAY(Table1[[#This Row],[Date]])</f>
        <v>14</v>
      </c>
      <c r="M1192" s="5" t="str">
        <f t="shared" si="37"/>
        <v>Oct</v>
      </c>
    </row>
    <row r="1193" spans="1:13" x14ac:dyDescent="0.25">
      <c r="A1193" s="2">
        <v>38229</v>
      </c>
      <c r="B1193" t="s">
        <v>11</v>
      </c>
      <c r="C1193" t="s">
        <v>12</v>
      </c>
      <c r="D1193" t="s">
        <v>28</v>
      </c>
      <c r="E1193" t="s">
        <v>25</v>
      </c>
      <c r="F1193" s="3">
        <v>3931.98</v>
      </c>
      <c r="G1193" s="3">
        <v>6779.28</v>
      </c>
      <c r="H1193" s="3">
        <f>Table1[[#This Row],[Sale]]-Table1[[#This Row],[Cost]]</f>
        <v>2847.2999999999997</v>
      </c>
      <c r="I1193" s="4">
        <f>Table1[[#This Row],[Profit]]/Table1[[#This Row],[Sale]]</f>
        <v>0.42000035401989588</v>
      </c>
      <c r="J1193" s="5">
        <f t="shared" si="36"/>
        <v>2004</v>
      </c>
      <c r="K1193" s="5">
        <f>MONTH(Table1[[#This Row],[Date]])</f>
        <v>8</v>
      </c>
      <c r="L1193" s="5">
        <f>DAY(Table1[[#This Row],[Date]])</f>
        <v>30</v>
      </c>
      <c r="M1193" s="5" t="str">
        <f t="shared" si="37"/>
        <v>Aug</v>
      </c>
    </row>
    <row r="1194" spans="1:13" x14ac:dyDescent="0.25">
      <c r="A1194" s="2">
        <v>38722</v>
      </c>
      <c r="B1194" t="s">
        <v>15</v>
      </c>
      <c r="C1194" t="s">
        <v>18</v>
      </c>
      <c r="D1194" t="s">
        <v>16</v>
      </c>
      <c r="E1194" t="s">
        <v>20</v>
      </c>
      <c r="F1194" s="3">
        <v>3128.83</v>
      </c>
      <c r="G1194" s="3">
        <v>3346.34</v>
      </c>
      <c r="H1194" s="3">
        <f>Table1[[#This Row],[Sale]]-Table1[[#This Row],[Cost]]</f>
        <v>217.51000000000022</v>
      </c>
      <c r="I1194" s="4">
        <f>Table1[[#This Row],[Profit]]/Table1[[#This Row],[Sale]]</f>
        <v>6.4999372448705212E-2</v>
      </c>
      <c r="J1194" s="5">
        <f t="shared" si="36"/>
        <v>2006</v>
      </c>
      <c r="K1194" s="5">
        <f>MONTH(Table1[[#This Row],[Date]])</f>
        <v>1</v>
      </c>
      <c r="L1194" s="5">
        <f>DAY(Table1[[#This Row],[Date]])</f>
        <v>5</v>
      </c>
      <c r="M1194" s="5" t="str">
        <f t="shared" si="37"/>
        <v>Jan</v>
      </c>
    </row>
    <row r="1195" spans="1:13" x14ac:dyDescent="0.25">
      <c r="A1195" s="2">
        <v>38819</v>
      </c>
      <c r="B1195" t="s">
        <v>11</v>
      </c>
      <c r="C1195" t="s">
        <v>12</v>
      </c>
      <c r="D1195" t="s">
        <v>19</v>
      </c>
      <c r="E1195" t="s">
        <v>20</v>
      </c>
      <c r="F1195" s="3">
        <v>987.83</v>
      </c>
      <c r="G1195" s="3">
        <v>2195.1799999999998</v>
      </c>
      <c r="H1195" s="3">
        <f>Table1[[#This Row],[Sale]]-Table1[[#This Row],[Cost]]</f>
        <v>1207.3499999999999</v>
      </c>
      <c r="I1195" s="4">
        <f>Table1[[#This Row],[Profit]]/Table1[[#This Row],[Sale]]</f>
        <v>0.55000045554350896</v>
      </c>
      <c r="J1195" s="5">
        <f t="shared" si="36"/>
        <v>2006</v>
      </c>
      <c r="K1195" s="5">
        <f>MONTH(Table1[[#This Row],[Date]])</f>
        <v>4</v>
      </c>
      <c r="L1195" s="5">
        <f>DAY(Table1[[#This Row],[Date]])</f>
        <v>12</v>
      </c>
      <c r="M1195" s="5" t="str">
        <f t="shared" si="37"/>
        <v>Apr</v>
      </c>
    </row>
    <row r="1196" spans="1:13" x14ac:dyDescent="0.25">
      <c r="A1196" s="2">
        <v>38871</v>
      </c>
      <c r="B1196" t="s">
        <v>11</v>
      </c>
      <c r="C1196" t="s">
        <v>12</v>
      </c>
      <c r="D1196" t="s">
        <v>19</v>
      </c>
      <c r="E1196" t="s">
        <v>20</v>
      </c>
      <c r="F1196" s="3">
        <v>1291.46</v>
      </c>
      <c r="G1196" s="3">
        <v>1721.95</v>
      </c>
      <c r="H1196" s="3">
        <f>Table1[[#This Row],[Sale]]-Table1[[#This Row],[Cost]]</f>
        <v>430.49</v>
      </c>
      <c r="I1196" s="4">
        <f>Table1[[#This Row],[Profit]]/Table1[[#This Row],[Sale]]</f>
        <v>0.25000145184238798</v>
      </c>
      <c r="J1196" s="5">
        <f t="shared" si="36"/>
        <v>2006</v>
      </c>
      <c r="K1196" s="5">
        <f>MONTH(Table1[[#This Row],[Date]])</f>
        <v>6</v>
      </c>
      <c r="L1196" s="5">
        <f>DAY(Table1[[#This Row],[Date]])</f>
        <v>3</v>
      </c>
      <c r="M1196" s="5" t="str">
        <f t="shared" si="37"/>
        <v>Jun</v>
      </c>
    </row>
    <row r="1197" spans="1:13" x14ac:dyDescent="0.25">
      <c r="A1197" s="2">
        <v>38358</v>
      </c>
      <c r="B1197" t="s">
        <v>21</v>
      </c>
      <c r="C1197" t="s">
        <v>18</v>
      </c>
      <c r="D1197" t="s">
        <v>13</v>
      </c>
      <c r="E1197" t="s">
        <v>20</v>
      </c>
      <c r="F1197" s="3">
        <v>3370.99</v>
      </c>
      <c r="G1197" s="3">
        <v>6129.08</v>
      </c>
      <c r="H1197" s="3">
        <f>Table1[[#This Row],[Sale]]-Table1[[#This Row],[Cost]]</f>
        <v>2758.09</v>
      </c>
      <c r="I1197" s="4">
        <f>Table1[[#This Row],[Profit]]/Table1[[#This Row],[Sale]]</f>
        <v>0.45000065262649536</v>
      </c>
      <c r="J1197" s="5">
        <f t="shared" si="36"/>
        <v>2005</v>
      </c>
      <c r="K1197" s="5">
        <f>MONTH(Table1[[#This Row],[Date]])</f>
        <v>1</v>
      </c>
      <c r="L1197" s="5">
        <f>DAY(Table1[[#This Row],[Date]])</f>
        <v>6</v>
      </c>
      <c r="M1197" s="5" t="str">
        <f t="shared" si="37"/>
        <v>Jan</v>
      </c>
    </row>
    <row r="1198" spans="1:13" x14ac:dyDescent="0.25">
      <c r="A1198" s="2">
        <v>38497</v>
      </c>
      <c r="B1198" t="s">
        <v>26</v>
      </c>
      <c r="C1198" t="s">
        <v>29</v>
      </c>
      <c r="D1198" t="s">
        <v>16</v>
      </c>
      <c r="E1198" t="s">
        <v>14</v>
      </c>
      <c r="F1198" s="3">
        <v>1310.3699999999999</v>
      </c>
      <c r="G1198" s="3">
        <v>2259.2600000000002</v>
      </c>
      <c r="H1198" s="3">
        <f>Table1[[#This Row],[Sale]]-Table1[[#This Row],[Cost]]</f>
        <v>948.89000000000033</v>
      </c>
      <c r="I1198" s="4">
        <f>Table1[[#This Row],[Profit]]/Table1[[#This Row],[Sale]]</f>
        <v>0.42000035409824465</v>
      </c>
      <c r="J1198" s="5">
        <f t="shared" si="36"/>
        <v>2005</v>
      </c>
      <c r="K1198" s="5">
        <f>MONTH(Table1[[#This Row],[Date]])</f>
        <v>5</v>
      </c>
      <c r="L1198" s="5">
        <f>DAY(Table1[[#This Row],[Date]])</f>
        <v>25</v>
      </c>
      <c r="M1198" s="5" t="str">
        <f t="shared" si="37"/>
        <v>May</v>
      </c>
    </row>
    <row r="1199" spans="1:13" x14ac:dyDescent="0.25">
      <c r="A1199" s="2">
        <v>38597</v>
      </c>
      <c r="B1199" t="s">
        <v>21</v>
      </c>
      <c r="C1199" t="s">
        <v>18</v>
      </c>
      <c r="D1199" t="s">
        <v>19</v>
      </c>
      <c r="E1199" t="s">
        <v>20</v>
      </c>
      <c r="F1199" s="3">
        <v>2929.33</v>
      </c>
      <c r="G1199" s="3">
        <v>5326.05</v>
      </c>
      <c r="H1199" s="3">
        <f>Table1[[#This Row],[Sale]]-Table1[[#This Row],[Cost]]</f>
        <v>2396.7200000000003</v>
      </c>
      <c r="I1199" s="4">
        <f>Table1[[#This Row],[Profit]]/Table1[[#This Row],[Sale]]</f>
        <v>0.44999953060898795</v>
      </c>
      <c r="J1199" s="5">
        <f t="shared" si="36"/>
        <v>2005</v>
      </c>
      <c r="K1199" s="5">
        <f>MONTH(Table1[[#This Row],[Date]])</f>
        <v>9</v>
      </c>
      <c r="L1199" s="5">
        <f>DAY(Table1[[#This Row],[Date]])</f>
        <v>2</v>
      </c>
      <c r="M1199" s="5" t="str">
        <f t="shared" si="37"/>
        <v>Sep</v>
      </c>
    </row>
    <row r="1200" spans="1:13" x14ac:dyDescent="0.25">
      <c r="A1200" s="2">
        <v>38266</v>
      </c>
      <c r="B1200" t="s">
        <v>21</v>
      </c>
      <c r="C1200" t="s">
        <v>29</v>
      </c>
      <c r="D1200" t="s">
        <v>28</v>
      </c>
      <c r="E1200" t="s">
        <v>20</v>
      </c>
      <c r="F1200" s="3">
        <v>3671.58</v>
      </c>
      <c r="G1200" s="3">
        <v>6330.31</v>
      </c>
      <c r="H1200" s="3">
        <f>Table1[[#This Row],[Sale]]-Table1[[#This Row],[Cost]]</f>
        <v>2658.7300000000005</v>
      </c>
      <c r="I1200" s="4">
        <f>Table1[[#This Row],[Profit]]/Table1[[#This Row],[Sale]]</f>
        <v>0.4199999684059707</v>
      </c>
      <c r="J1200" s="5">
        <f t="shared" si="36"/>
        <v>2004</v>
      </c>
      <c r="K1200" s="5">
        <f>MONTH(Table1[[#This Row],[Date]])</f>
        <v>10</v>
      </c>
      <c r="L1200" s="5">
        <f>DAY(Table1[[#This Row],[Date]])</f>
        <v>6</v>
      </c>
      <c r="M1200" s="5" t="str">
        <f t="shared" si="37"/>
        <v>Oct</v>
      </c>
    </row>
    <row r="1201" spans="1:13" x14ac:dyDescent="0.25">
      <c r="A1201" s="2">
        <v>38429</v>
      </c>
      <c r="B1201" t="s">
        <v>15</v>
      </c>
      <c r="C1201" t="s">
        <v>27</v>
      </c>
      <c r="D1201" t="s">
        <v>19</v>
      </c>
      <c r="E1201" t="s">
        <v>14</v>
      </c>
      <c r="F1201" s="3">
        <v>2600.96</v>
      </c>
      <c r="G1201" s="3">
        <v>2781.78</v>
      </c>
      <c r="H1201" s="3">
        <f>Table1[[#This Row],[Sale]]-Table1[[#This Row],[Cost]]</f>
        <v>180.82000000000016</v>
      </c>
      <c r="I1201" s="4">
        <f>Table1[[#This Row],[Profit]]/Table1[[#This Row],[Sale]]</f>
        <v>6.5001545772850527E-2</v>
      </c>
      <c r="J1201" s="5">
        <f t="shared" si="36"/>
        <v>2005</v>
      </c>
      <c r="K1201" s="5">
        <f>MONTH(Table1[[#This Row],[Date]])</f>
        <v>3</v>
      </c>
      <c r="L1201" s="5">
        <f>DAY(Table1[[#This Row],[Date]])</f>
        <v>18</v>
      </c>
      <c r="M1201" s="5" t="str">
        <f t="shared" si="37"/>
        <v>Mar</v>
      </c>
    </row>
    <row r="1202" spans="1:13" x14ac:dyDescent="0.25">
      <c r="A1202" s="2">
        <v>38496</v>
      </c>
      <c r="B1202" t="s">
        <v>11</v>
      </c>
      <c r="C1202" t="s">
        <v>23</v>
      </c>
      <c r="D1202" t="s">
        <v>28</v>
      </c>
      <c r="E1202" t="s">
        <v>20</v>
      </c>
      <c r="F1202" s="3">
        <v>3591.28</v>
      </c>
      <c r="G1202" s="3">
        <v>5281.29</v>
      </c>
      <c r="H1202" s="3">
        <f>Table1[[#This Row],[Sale]]-Table1[[#This Row],[Cost]]</f>
        <v>1690.0099999999998</v>
      </c>
      <c r="I1202" s="4">
        <f>Table1[[#This Row],[Profit]]/Table1[[#This Row],[Sale]]</f>
        <v>0.31999946982650068</v>
      </c>
      <c r="J1202" s="5">
        <f t="shared" si="36"/>
        <v>2005</v>
      </c>
      <c r="K1202" s="5">
        <f>MONTH(Table1[[#This Row],[Date]])</f>
        <v>5</v>
      </c>
      <c r="L1202" s="5">
        <f>DAY(Table1[[#This Row],[Date]])</f>
        <v>24</v>
      </c>
      <c r="M1202" s="5" t="str">
        <f t="shared" si="37"/>
        <v>May</v>
      </c>
    </row>
    <row r="1203" spans="1:13" x14ac:dyDescent="0.25">
      <c r="A1203" s="2">
        <v>38790</v>
      </c>
      <c r="B1203" t="s">
        <v>15</v>
      </c>
      <c r="C1203" t="s">
        <v>27</v>
      </c>
      <c r="D1203" t="s">
        <v>13</v>
      </c>
      <c r="E1203" t="s">
        <v>24</v>
      </c>
      <c r="F1203" s="3">
        <v>4846.16</v>
      </c>
      <c r="G1203" s="3">
        <v>5507</v>
      </c>
      <c r="H1203" s="3">
        <f>Table1[[#This Row],[Sale]]-Table1[[#This Row],[Cost]]</f>
        <v>660.84000000000015</v>
      </c>
      <c r="I1203" s="4">
        <f>Table1[[#This Row],[Profit]]/Table1[[#This Row],[Sale]]</f>
        <v>0.12000000000000002</v>
      </c>
      <c r="J1203" s="5">
        <f t="shared" si="36"/>
        <v>2006</v>
      </c>
      <c r="K1203" s="5">
        <f>MONTH(Table1[[#This Row],[Date]])</f>
        <v>3</v>
      </c>
      <c r="L1203" s="5">
        <f>DAY(Table1[[#This Row],[Date]])</f>
        <v>14</v>
      </c>
      <c r="M1203" s="5" t="str">
        <f t="shared" si="37"/>
        <v>Mar</v>
      </c>
    </row>
    <row r="1204" spans="1:13" x14ac:dyDescent="0.25">
      <c r="A1204" s="2">
        <v>38239</v>
      </c>
      <c r="B1204" t="s">
        <v>22</v>
      </c>
      <c r="C1204" t="s">
        <v>29</v>
      </c>
      <c r="D1204" t="s">
        <v>19</v>
      </c>
      <c r="E1204" t="s">
        <v>14</v>
      </c>
      <c r="F1204" s="3">
        <v>1724.03</v>
      </c>
      <c r="G1204" s="3">
        <v>2972.47</v>
      </c>
      <c r="H1204" s="3">
        <f>Table1[[#This Row],[Sale]]-Table1[[#This Row],[Cost]]</f>
        <v>1248.4399999999998</v>
      </c>
      <c r="I1204" s="4">
        <f>Table1[[#This Row],[Profit]]/Table1[[#This Row],[Sale]]</f>
        <v>0.42000087469343672</v>
      </c>
      <c r="J1204" s="5">
        <f t="shared" si="36"/>
        <v>2004</v>
      </c>
      <c r="K1204" s="5">
        <f>MONTH(Table1[[#This Row],[Date]])</f>
        <v>9</v>
      </c>
      <c r="L1204" s="5">
        <f>DAY(Table1[[#This Row],[Date]])</f>
        <v>9</v>
      </c>
      <c r="M1204" s="5" t="str">
        <f t="shared" si="37"/>
        <v>Sep</v>
      </c>
    </row>
    <row r="1205" spans="1:13" x14ac:dyDescent="0.25">
      <c r="A1205" s="2">
        <v>38372</v>
      </c>
      <c r="B1205" t="s">
        <v>22</v>
      </c>
      <c r="C1205" t="s">
        <v>12</v>
      </c>
      <c r="D1205" t="s">
        <v>19</v>
      </c>
      <c r="E1205" t="s">
        <v>14</v>
      </c>
      <c r="F1205" s="3">
        <v>3166.77</v>
      </c>
      <c r="G1205" s="3">
        <v>8558.84</v>
      </c>
      <c r="H1205" s="3">
        <f>Table1[[#This Row],[Sale]]-Table1[[#This Row],[Cost]]</f>
        <v>5392.07</v>
      </c>
      <c r="I1205" s="4">
        <f>Table1[[#This Row],[Profit]]/Table1[[#This Row],[Sale]]</f>
        <v>0.63000009347061048</v>
      </c>
      <c r="J1205" s="5">
        <f t="shared" si="36"/>
        <v>2005</v>
      </c>
      <c r="K1205" s="5">
        <f>MONTH(Table1[[#This Row],[Date]])</f>
        <v>1</v>
      </c>
      <c r="L1205" s="5">
        <f>DAY(Table1[[#This Row],[Date]])</f>
        <v>20</v>
      </c>
      <c r="M1205" s="5" t="str">
        <f t="shared" si="37"/>
        <v>Jan</v>
      </c>
    </row>
    <row r="1206" spans="1:13" x14ac:dyDescent="0.25">
      <c r="A1206" s="2">
        <v>38573</v>
      </c>
      <c r="B1206" t="s">
        <v>15</v>
      </c>
      <c r="C1206" t="s">
        <v>29</v>
      </c>
      <c r="D1206" t="s">
        <v>19</v>
      </c>
      <c r="E1206" t="s">
        <v>24</v>
      </c>
      <c r="F1206" s="3">
        <v>4070.64</v>
      </c>
      <c r="G1206" s="3">
        <v>6899.39</v>
      </c>
      <c r="H1206" s="3">
        <f>Table1[[#This Row],[Sale]]-Table1[[#This Row],[Cost]]</f>
        <v>2828.7500000000005</v>
      </c>
      <c r="I1206" s="4">
        <f>Table1[[#This Row],[Profit]]/Table1[[#This Row],[Sale]]</f>
        <v>0.410000014494035</v>
      </c>
      <c r="J1206" s="5">
        <f t="shared" si="36"/>
        <v>2005</v>
      </c>
      <c r="K1206" s="5">
        <f>MONTH(Table1[[#This Row],[Date]])</f>
        <v>8</v>
      </c>
      <c r="L1206" s="5">
        <f>DAY(Table1[[#This Row],[Date]])</f>
        <v>9</v>
      </c>
      <c r="M1206" s="5" t="str">
        <f t="shared" si="37"/>
        <v>Aug</v>
      </c>
    </row>
    <row r="1207" spans="1:13" x14ac:dyDescent="0.25">
      <c r="A1207" s="2">
        <v>38804</v>
      </c>
      <c r="B1207" t="s">
        <v>22</v>
      </c>
      <c r="C1207" t="s">
        <v>27</v>
      </c>
      <c r="D1207" t="s">
        <v>13</v>
      </c>
      <c r="E1207" t="s">
        <v>20</v>
      </c>
      <c r="F1207" s="3">
        <v>1539.53</v>
      </c>
      <c r="G1207" s="3">
        <v>3580.31</v>
      </c>
      <c r="H1207" s="3">
        <f>Table1[[#This Row],[Sale]]-Table1[[#This Row],[Cost]]</f>
        <v>2040.78</v>
      </c>
      <c r="I1207" s="4">
        <f>Table1[[#This Row],[Profit]]/Table1[[#This Row],[Sale]]</f>
        <v>0.57000092170789685</v>
      </c>
      <c r="J1207" s="5">
        <f t="shared" si="36"/>
        <v>2006</v>
      </c>
      <c r="K1207" s="5">
        <f>MONTH(Table1[[#This Row],[Date]])</f>
        <v>3</v>
      </c>
      <c r="L1207" s="5">
        <f>DAY(Table1[[#This Row],[Date]])</f>
        <v>28</v>
      </c>
      <c r="M1207" s="5" t="str">
        <f t="shared" si="37"/>
        <v>Mar</v>
      </c>
    </row>
    <row r="1208" spans="1:13" x14ac:dyDescent="0.25">
      <c r="A1208" s="2">
        <v>38424</v>
      </c>
      <c r="B1208" t="s">
        <v>17</v>
      </c>
      <c r="C1208" t="s">
        <v>12</v>
      </c>
      <c r="D1208" t="s">
        <v>16</v>
      </c>
      <c r="E1208" t="s">
        <v>24</v>
      </c>
      <c r="F1208" s="3">
        <v>1126.1500000000001</v>
      </c>
      <c r="G1208" s="3">
        <v>2618.96</v>
      </c>
      <c r="H1208" s="3">
        <f>Table1[[#This Row],[Sale]]-Table1[[#This Row],[Cost]]</f>
        <v>1492.81</v>
      </c>
      <c r="I1208" s="4">
        <f>Table1[[#This Row],[Profit]]/Table1[[#This Row],[Sale]]</f>
        <v>0.57000106912667625</v>
      </c>
      <c r="J1208" s="5">
        <f t="shared" si="36"/>
        <v>2005</v>
      </c>
      <c r="K1208" s="5">
        <f>MONTH(Table1[[#This Row],[Date]])</f>
        <v>3</v>
      </c>
      <c r="L1208" s="5">
        <f>DAY(Table1[[#This Row],[Date]])</f>
        <v>13</v>
      </c>
      <c r="M1208" s="5" t="str">
        <f t="shared" si="37"/>
        <v>Mar</v>
      </c>
    </row>
    <row r="1209" spans="1:13" x14ac:dyDescent="0.25">
      <c r="A1209" s="2">
        <v>38262</v>
      </c>
      <c r="B1209" t="s">
        <v>11</v>
      </c>
      <c r="C1209" t="s">
        <v>29</v>
      </c>
      <c r="D1209" t="s">
        <v>19</v>
      </c>
      <c r="E1209" t="s">
        <v>20</v>
      </c>
      <c r="F1209" s="3">
        <v>7266.91</v>
      </c>
      <c r="G1209" s="3">
        <v>7772.1</v>
      </c>
      <c r="H1209" s="3">
        <f>Table1[[#This Row],[Sale]]-Table1[[#This Row],[Cost]]</f>
        <v>505.19000000000051</v>
      </c>
      <c r="I1209" s="4">
        <f>Table1[[#This Row],[Profit]]/Table1[[#This Row],[Sale]]</f>
        <v>6.5000450328740036E-2</v>
      </c>
      <c r="J1209" s="5">
        <f t="shared" si="36"/>
        <v>2004</v>
      </c>
      <c r="K1209" s="5">
        <f>MONTH(Table1[[#This Row],[Date]])</f>
        <v>10</v>
      </c>
      <c r="L1209" s="5">
        <f>DAY(Table1[[#This Row],[Date]])</f>
        <v>2</v>
      </c>
      <c r="M1209" s="5" t="str">
        <f t="shared" si="37"/>
        <v>Oct</v>
      </c>
    </row>
    <row r="1210" spans="1:13" x14ac:dyDescent="0.25">
      <c r="A1210" s="2">
        <v>38615</v>
      </c>
      <c r="B1210" t="s">
        <v>21</v>
      </c>
      <c r="C1210" t="s">
        <v>18</v>
      </c>
      <c r="D1210" t="s">
        <v>13</v>
      </c>
      <c r="E1210" t="s">
        <v>14</v>
      </c>
      <c r="F1210" s="3">
        <v>1458.19</v>
      </c>
      <c r="G1210" s="3">
        <v>1559.56</v>
      </c>
      <c r="H1210" s="3">
        <f>Table1[[#This Row],[Sale]]-Table1[[#This Row],[Cost]]</f>
        <v>101.36999999999989</v>
      </c>
      <c r="I1210" s="4">
        <f>Table1[[#This Row],[Profit]]/Table1[[#This Row],[Sale]]</f>
        <v>6.4999102310908136E-2</v>
      </c>
      <c r="J1210" s="5">
        <f t="shared" si="36"/>
        <v>2005</v>
      </c>
      <c r="K1210" s="5">
        <f>MONTH(Table1[[#This Row],[Date]])</f>
        <v>9</v>
      </c>
      <c r="L1210" s="5">
        <f>DAY(Table1[[#This Row],[Date]])</f>
        <v>20</v>
      </c>
      <c r="M1210" s="5" t="str">
        <f t="shared" si="37"/>
        <v>Sep</v>
      </c>
    </row>
    <row r="1211" spans="1:13" x14ac:dyDescent="0.25">
      <c r="A1211" s="2">
        <v>38759</v>
      </c>
      <c r="B1211" t="s">
        <v>11</v>
      </c>
      <c r="C1211" t="s">
        <v>18</v>
      </c>
      <c r="D1211" t="s">
        <v>19</v>
      </c>
      <c r="E1211" t="s">
        <v>14</v>
      </c>
      <c r="F1211" s="3">
        <v>4972.22</v>
      </c>
      <c r="G1211" s="3">
        <v>9040.4</v>
      </c>
      <c r="H1211" s="3">
        <f>Table1[[#This Row],[Sale]]-Table1[[#This Row],[Cost]]</f>
        <v>4068.1799999999994</v>
      </c>
      <c r="I1211" s="4">
        <f>Table1[[#This Row],[Profit]]/Table1[[#This Row],[Sale]]</f>
        <v>0.44999999999999996</v>
      </c>
      <c r="J1211" s="5">
        <f t="shared" si="36"/>
        <v>2006</v>
      </c>
      <c r="K1211" s="5">
        <f>MONTH(Table1[[#This Row],[Date]])</f>
        <v>2</v>
      </c>
      <c r="L1211" s="5">
        <f>DAY(Table1[[#This Row],[Date]])</f>
        <v>11</v>
      </c>
      <c r="M1211" s="5" t="str">
        <f t="shared" si="37"/>
        <v>Feb</v>
      </c>
    </row>
    <row r="1212" spans="1:13" x14ac:dyDescent="0.25">
      <c r="A1212" s="2">
        <v>38754</v>
      </c>
      <c r="B1212" t="s">
        <v>11</v>
      </c>
      <c r="C1212" t="s">
        <v>29</v>
      </c>
      <c r="D1212" t="s">
        <v>16</v>
      </c>
      <c r="E1212" t="s">
        <v>24</v>
      </c>
      <c r="F1212" s="3">
        <v>3446.42</v>
      </c>
      <c r="G1212" s="3">
        <v>8014.94</v>
      </c>
      <c r="H1212" s="3">
        <f>Table1[[#This Row],[Sale]]-Table1[[#This Row],[Cost]]</f>
        <v>4568.5199999999995</v>
      </c>
      <c r="I1212" s="4">
        <f>Table1[[#This Row],[Profit]]/Table1[[#This Row],[Sale]]</f>
        <v>0.57000052402139001</v>
      </c>
      <c r="J1212" s="5">
        <f t="shared" si="36"/>
        <v>2006</v>
      </c>
      <c r="K1212" s="5">
        <f>MONTH(Table1[[#This Row],[Date]])</f>
        <v>2</v>
      </c>
      <c r="L1212" s="5">
        <f>DAY(Table1[[#This Row],[Date]])</f>
        <v>6</v>
      </c>
      <c r="M1212" s="5" t="str">
        <f t="shared" si="37"/>
        <v>Feb</v>
      </c>
    </row>
    <row r="1213" spans="1:13" x14ac:dyDescent="0.25">
      <c r="A1213" s="2">
        <v>38240</v>
      </c>
      <c r="B1213" t="s">
        <v>26</v>
      </c>
      <c r="C1213" t="s">
        <v>23</v>
      </c>
      <c r="D1213" t="s">
        <v>28</v>
      </c>
      <c r="E1213" t="s">
        <v>14</v>
      </c>
      <c r="F1213" s="3">
        <v>2996.14</v>
      </c>
      <c r="G1213" s="3">
        <v>3994.85</v>
      </c>
      <c r="H1213" s="3">
        <f>Table1[[#This Row],[Sale]]-Table1[[#This Row],[Cost]]</f>
        <v>998.71</v>
      </c>
      <c r="I1213" s="4">
        <f>Table1[[#This Row],[Profit]]/Table1[[#This Row],[Sale]]</f>
        <v>0.24999937419427515</v>
      </c>
      <c r="J1213" s="5">
        <f t="shared" si="36"/>
        <v>2004</v>
      </c>
      <c r="K1213" s="5">
        <f>MONTH(Table1[[#This Row],[Date]])</f>
        <v>9</v>
      </c>
      <c r="L1213" s="5">
        <f>DAY(Table1[[#This Row],[Date]])</f>
        <v>10</v>
      </c>
      <c r="M1213" s="5" t="str">
        <f t="shared" si="37"/>
        <v>Sep</v>
      </c>
    </row>
    <row r="1214" spans="1:13" x14ac:dyDescent="0.25">
      <c r="A1214" s="2">
        <v>38263</v>
      </c>
      <c r="B1214" t="s">
        <v>17</v>
      </c>
      <c r="C1214" t="s">
        <v>12</v>
      </c>
      <c r="D1214" t="s">
        <v>13</v>
      </c>
      <c r="E1214" t="s">
        <v>25</v>
      </c>
      <c r="F1214" s="3">
        <v>387.57</v>
      </c>
      <c r="G1214" s="3">
        <v>656.9</v>
      </c>
      <c r="H1214" s="3">
        <f>Table1[[#This Row],[Sale]]-Table1[[#This Row],[Cost]]</f>
        <v>269.33</v>
      </c>
      <c r="I1214" s="4">
        <f>Table1[[#This Row],[Profit]]/Table1[[#This Row],[Sale]]</f>
        <v>0.41000152230172021</v>
      </c>
      <c r="J1214" s="5">
        <f t="shared" si="36"/>
        <v>2004</v>
      </c>
      <c r="K1214" s="5">
        <f>MONTH(Table1[[#This Row],[Date]])</f>
        <v>10</v>
      </c>
      <c r="L1214" s="5">
        <f>DAY(Table1[[#This Row],[Date]])</f>
        <v>3</v>
      </c>
      <c r="M1214" s="5" t="str">
        <f t="shared" si="37"/>
        <v>Oct</v>
      </c>
    </row>
    <row r="1215" spans="1:13" x14ac:dyDescent="0.25">
      <c r="A1215" s="2">
        <v>38516</v>
      </c>
      <c r="B1215" t="s">
        <v>15</v>
      </c>
      <c r="C1215" t="s">
        <v>18</v>
      </c>
      <c r="D1215" t="s">
        <v>13</v>
      </c>
      <c r="E1215" t="s">
        <v>25</v>
      </c>
      <c r="F1215" s="3">
        <v>5643.75</v>
      </c>
      <c r="G1215" s="3">
        <v>9565.67</v>
      </c>
      <c r="H1215" s="3">
        <f>Table1[[#This Row],[Sale]]-Table1[[#This Row],[Cost]]</f>
        <v>3921.92</v>
      </c>
      <c r="I1215" s="4">
        <f>Table1[[#This Row],[Profit]]/Table1[[#This Row],[Sale]]</f>
        <v>0.40999950865961299</v>
      </c>
      <c r="J1215" s="5">
        <f t="shared" si="36"/>
        <v>2005</v>
      </c>
      <c r="K1215" s="5">
        <f>MONTH(Table1[[#This Row],[Date]])</f>
        <v>6</v>
      </c>
      <c r="L1215" s="5">
        <f>DAY(Table1[[#This Row],[Date]])</f>
        <v>13</v>
      </c>
      <c r="M1215" s="5" t="str">
        <f t="shared" si="37"/>
        <v>Jun</v>
      </c>
    </row>
    <row r="1216" spans="1:13" x14ac:dyDescent="0.25">
      <c r="A1216" s="2">
        <v>38534</v>
      </c>
      <c r="B1216" t="s">
        <v>26</v>
      </c>
      <c r="C1216" t="s">
        <v>23</v>
      </c>
      <c r="D1216" t="s">
        <v>19</v>
      </c>
      <c r="E1216" t="s">
        <v>24</v>
      </c>
      <c r="F1216" s="3">
        <v>2807.01</v>
      </c>
      <c r="G1216" s="3">
        <v>6237.8</v>
      </c>
      <c r="H1216" s="3">
        <f>Table1[[#This Row],[Sale]]-Table1[[#This Row],[Cost]]</f>
        <v>3430.79</v>
      </c>
      <c r="I1216" s="4">
        <f>Table1[[#This Row],[Profit]]/Table1[[#This Row],[Sale]]</f>
        <v>0.54999999999999993</v>
      </c>
      <c r="J1216" s="5">
        <f t="shared" si="36"/>
        <v>2005</v>
      </c>
      <c r="K1216" s="5">
        <f>MONTH(Table1[[#This Row],[Date]])</f>
        <v>7</v>
      </c>
      <c r="L1216" s="5">
        <f>DAY(Table1[[#This Row],[Date]])</f>
        <v>1</v>
      </c>
      <c r="M1216" s="5" t="str">
        <f t="shared" si="37"/>
        <v>Jul</v>
      </c>
    </row>
    <row r="1217" spans="1:13" x14ac:dyDescent="0.25">
      <c r="A1217" s="2">
        <v>38209</v>
      </c>
      <c r="B1217" t="s">
        <v>21</v>
      </c>
      <c r="C1217" t="s">
        <v>27</v>
      </c>
      <c r="D1217" t="s">
        <v>19</v>
      </c>
      <c r="E1217" t="s">
        <v>24</v>
      </c>
      <c r="F1217" s="3">
        <v>169.15</v>
      </c>
      <c r="G1217" s="3">
        <v>307.55</v>
      </c>
      <c r="H1217" s="3">
        <f>Table1[[#This Row],[Sale]]-Table1[[#This Row],[Cost]]</f>
        <v>138.4</v>
      </c>
      <c r="I1217" s="4">
        <f>Table1[[#This Row],[Profit]]/Table1[[#This Row],[Sale]]</f>
        <v>0.45000812875955132</v>
      </c>
      <c r="J1217" s="5">
        <f t="shared" si="36"/>
        <v>2004</v>
      </c>
      <c r="K1217" s="5">
        <f>MONTH(Table1[[#This Row],[Date]])</f>
        <v>8</v>
      </c>
      <c r="L1217" s="5">
        <f>DAY(Table1[[#This Row],[Date]])</f>
        <v>10</v>
      </c>
      <c r="M1217" s="5" t="str">
        <f t="shared" si="37"/>
        <v>Aug</v>
      </c>
    </row>
    <row r="1218" spans="1:13" x14ac:dyDescent="0.25">
      <c r="A1218" s="2">
        <v>38464</v>
      </c>
      <c r="B1218" t="s">
        <v>21</v>
      </c>
      <c r="C1218" t="s">
        <v>18</v>
      </c>
      <c r="D1218" t="s">
        <v>16</v>
      </c>
      <c r="E1218" t="s">
        <v>24</v>
      </c>
      <c r="F1218" s="3">
        <v>275.7</v>
      </c>
      <c r="G1218" s="3">
        <v>405.44</v>
      </c>
      <c r="H1218" s="3">
        <f>Table1[[#This Row],[Sale]]-Table1[[#This Row],[Cost]]</f>
        <v>129.74</v>
      </c>
      <c r="I1218" s="4">
        <f>Table1[[#This Row],[Profit]]/Table1[[#This Row],[Sale]]</f>
        <v>0.31999802683504341</v>
      </c>
      <c r="J1218" s="5">
        <f t="shared" ref="J1218:J1281" si="38">YEAR(A:A)</f>
        <v>2005</v>
      </c>
      <c r="K1218" s="5">
        <f>MONTH(Table1[[#This Row],[Date]])</f>
        <v>4</v>
      </c>
      <c r="L1218" s="5">
        <f>DAY(Table1[[#This Row],[Date]])</f>
        <v>22</v>
      </c>
      <c r="M1218" s="5" t="str">
        <f t="shared" ref="M1218:M1281" si="39">CHOOSE(K1218,"Jan", "Feb", "Mar", "Apr", "May", "Jun", "Jul", "Aug", "Sep", "Oct", "Nov", "Dec")</f>
        <v>Apr</v>
      </c>
    </row>
    <row r="1219" spans="1:13" x14ac:dyDescent="0.25">
      <c r="A1219" s="2">
        <v>38631</v>
      </c>
      <c r="B1219" t="s">
        <v>15</v>
      </c>
      <c r="C1219" t="s">
        <v>23</v>
      </c>
      <c r="D1219" t="s">
        <v>19</v>
      </c>
      <c r="E1219" t="s">
        <v>24</v>
      </c>
      <c r="F1219" s="3">
        <v>5754.39</v>
      </c>
      <c r="G1219" s="3">
        <v>6154.43</v>
      </c>
      <c r="H1219" s="3">
        <f>Table1[[#This Row],[Sale]]-Table1[[#This Row],[Cost]]</f>
        <v>400.03999999999996</v>
      </c>
      <c r="I1219" s="4">
        <f>Table1[[#This Row],[Profit]]/Table1[[#This Row],[Sale]]</f>
        <v>6.5000333093397755E-2</v>
      </c>
      <c r="J1219" s="5">
        <f t="shared" si="38"/>
        <v>2005</v>
      </c>
      <c r="K1219" s="5">
        <f>MONTH(Table1[[#This Row],[Date]])</f>
        <v>10</v>
      </c>
      <c r="L1219" s="5">
        <f>DAY(Table1[[#This Row],[Date]])</f>
        <v>6</v>
      </c>
      <c r="M1219" s="5" t="str">
        <f t="shared" si="39"/>
        <v>Oct</v>
      </c>
    </row>
    <row r="1220" spans="1:13" x14ac:dyDescent="0.25">
      <c r="A1220" s="2">
        <v>38253</v>
      </c>
      <c r="B1220" t="s">
        <v>15</v>
      </c>
      <c r="C1220" t="s">
        <v>23</v>
      </c>
      <c r="D1220" t="s">
        <v>16</v>
      </c>
      <c r="E1220" t="s">
        <v>24</v>
      </c>
      <c r="F1220" s="3">
        <v>3280.35</v>
      </c>
      <c r="G1220" s="3">
        <v>5655.78</v>
      </c>
      <c r="H1220" s="3">
        <f>Table1[[#This Row],[Sale]]-Table1[[#This Row],[Cost]]</f>
        <v>2375.4299999999998</v>
      </c>
      <c r="I1220" s="4">
        <f>Table1[[#This Row],[Profit]]/Table1[[#This Row],[Sale]]</f>
        <v>0.42000042434465273</v>
      </c>
      <c r="J1220" s="5">
        <f t="shared" si="38"/>
        <v>2004</v>
      </c>
      <c r="K1220" s="5">
        <f>MONTH(Table1[[#This Row],[Date]])</f>
        <v>9</v>
      </c>
      <c r="L1220" s="5">
        <f>DAY(Table1[[#This Row],[Date]])</f>
        <v>23</v>
      </c>
      <c r="M1220" s="5" t="str">
        <f t="shared" si="39"/>
        <v>Sep</v>
      </c>
    </row>
    <row r="1221" spans="1:13" x14ac:dyDescent="0.25">
      <c r="A1221" s="2">
        <v>38655</v>
      </c>
      <c r="B1221" t="s">
        <v>22</v>
      </c>
      <c r="C1221" t="s">
        <v>23</v>
      </c>
      <c r="D1221" t="s">
        <v>16</v>
      </c>
      <c r="E1221" t="s">
        <v>14</v>
      </c>
      <c r="F1221" s="3">
        <v>4456.6000000000004</v>
      </c>
      <c r="G1221" s="3">
        <v>7683.8</v>
      </c>
      <c r="H1221" s="3">
        <f>Table1[[#This Row],[Sale]]-Table1[[#This Row],[Cost]]</f>
        <v>3227.2</v>
      </c>
      <c r="I1221" s="4">
        <f>Table1[[#This Row],[Profit]]/Table1[[#This Row],[Sale]]</f>
        <v>0.42000052057575676</v>
      </c>
      <c r="J1221" s="5">
        <f t="shared" si="38"/>
        <v>2005</v>
      </c>
      <c r="K1221" s="5">
        <f>MONTH(Table1[[#This Row],[Date]])</f>
        <v>10</v>
      </c>
      <c r="L1221" s="5">
        <f>DAY(Table1[[#This Row],[Date]])</f>
        <v>30</v>
      </c>
      <c r="M1221" s="5" t="str">
        <f t="shared" si="39"/>
        <v>Oct</v>
      </c>
    </row>
    <row r="1222" spans="1:13" x14ac:dyDescent="0.25">
      <c r="A1222" s="2">
        <v>38812</v>
      </c>
      <c r="B1222" t="s">
        <v>11</v>
      </c>
      <c r="C1222" t="s">
        <v>29</v>
      </c>
      <c r="D1222" t="s">
        <v>28</v>
      </c>
      <c r="E1222" t="s">
        <v>24</v>
      </c>
      <c r="F1222" s="3">
        <v>5043.59</v>
      </c>
      <c r="G1222" s="3">
        <v>9170.17</v>
      </c>
      <c r="H1222" s="3">
        <f>Table1[[#This Row],[Sale]]-Table1[[#This Row],[Cost]]</f>
        <v>4126.58</v>
      </c>
      <c r="I1222" s="4">
        <f>Table1[[#This Row],[Profit]]/Table1[[#This Row],[Sale]]</f>
        <v>0.4500003816723136</v>
      </c>
      <c r="J1222" s="5">
        <f t="shared" si="38"/>
        <v>2006</v>
      </c>
      <c r="K1222" s="5">
        <f>MONTH(Table1[[#This Row],[Date]])</f>
        <v>4</v>
      </c>
      <c r="L1222" s="5">
        <f>DAY(Table1[[#This Row],[Date]])</f>
        <v>5</v>
      </c>
      <c r="M1222" s="5" t="str">
        <f t="shared" si="39"/>
        <v>Apr</v>
      </c>
    </row>
    <row r="1223" spans="1:13" x14ac:dyDescent="0.25">
      <c r="A1223" s="2">
        <v>38695</v>
      </c>
      <c r="B1223" t="s">
        <v>17</v>
      </c>
      <c r="C1223" t="s">
        <v>27</v>
      </c>
      <c r="D1223" t="s">
        <v>13</v>
      </c>
      <c r="E1223" t="s">
        <v>24</v>
      </c>
      <c r="F1223" s="3">
        <v>6544.01</v>
      </c>
      <c r="G1223" s="3">
        <v>7436.38</v>
      </c>
      <c r="H1223" s="3">
        <f>Table1[[#This Row],[Sale]]-Table1[[#This Row],[Cost]]</f>
        <v>892.36999999999989</v>
      </c>
      <c r="I1223" s="4">
        <f>Table1[[#This Row],[Profit]]/Table1[[#This Row],[Sale]]</f>
        <v>0.12000059168573955</v>
      </c>
      <c r="J1223" s="5">
        <f t="shared" si="38"/>
        <v>2005</v>
      </c>
      <c r="K1223" s="5">
        <f>MONTH(Table1[[#This Row],[Date]])</f>
        <v>12</v>
      </c>
      <c r="L1223" s="5">
        <f>DAY(Table1[[#This Row],[Date]])</f>
        <v>9</v>
      </c>
      <c r="M1223" s="5" t="str">
        <f t="shared" si="39"/>
        <v>Dec</v>
      </c>
    </row>
    <row r="1224" spans="1:13" x14ac:dyDescent="0.25">
      <c r="A1224" s="2">
        <v>38162</v>
      </c>
      <c r="B1224" t="s">
        <v>22</v>
      </c>
      <c r="C1224" t="s">
        <v>12</v>
      </c>
      <c r="D1224" t="s">
        <v>13</v>
      </c>
      <c r="E1224" t="s">
        <v>14</v>
      </c>
      <c r="F1224" s="3">
        <v>2079.87</v>
      </c>
      <c r="G1224" s="3">
        <v>4621.93</v>
      </c>
      <c r="H1224" s="3">
        <f>Table1[[#This Row],[Sale]]-Table1[[#This Row],[Cost]]</f>
        <v>2542.0600000000004</v>
      </c>
      <c r="I1224" s="4">
        <f>Table1[[#This Row],[Profit]]/Table1[[#This Row],[Sale]]</f>
        <v>0.54999967546025152</v>
      </c>
      <c r="J1224" s="5">
        <f t="shared" si="38"/>
        <v>2004</v>
      </c>
      <c r="K1224" s="5">
        <f>MONTH(Table1[[#This Row],[Date]])</f>
        <v>6</v>
      </c>
      <c r="L1224" s="5">
        <f>DAY(Table1[[#This Row],[Date]])</f>
        <v>24</v>
      </c>
      <c r="M1224" s="5" t="str">
        <f t="shared" si="39"/>
        <v>Jun</v>
      </c>
    </row>
    <row r="1225" spans="1:13" x14ac:dyDescent="0.25">
      <c r="A1225" s="2">
        <v>38812</v>
      </c>
      <c r="B1225" t="s">
        <v>11</v>
      </c>
      <c r="C1225" t="s">
        <v>29</v>
      </c>
      <c r="D1225" t="s">
        <v>16</v>
      </c>
      <c r="E1225" t="s">
        <v>14</v>
      </c>
      <c r="F1225" s="3">
        <v>1451.01</v>
      </c>
      <c r="G1225" s="3">
        <v>3921.64</v>
      </c>
      <c r="H1225" s="3">
        <f>Table1[[#This Row],[Sale]]-Table1[[#This Row],[Cost]]</f>
        <v>2470.63</v>
      </c>
      <c r="I1225" s="4">
        <f>Table1[[#This Row],[Profit]]/Table1[[#This Row],[Sale]]</f>
        <v>0.629999184014851</v>
      </c>
      <c r="J1225" s="5">
        <f t="shared" si="38"/>
        <v>2006</v>
      </c>
      <c r="K1225" s="5">
        <f>MONTH(Table1[[#This Row],[Date]])</f>
        <v>4</v>
      </c>
      <c r="L1225" s="5">
        <f>DAY(Table1[[#This Row],[Date]])</f>
        <v>5</v>
      </c>
      <c r="M1225" s="5" t="str">
        <f t="shared" si="39"/>
        <v>Apr</v>
      </c>
    </row>
    <row r="1226" spans="1:13" x14ac:dyDescent="0.25">
      <c r="A1226" s="2">
        <v>38736</v>
      </c>
      <c r="B1226" t="s">
        <v>26</v>
      </c>
      <c r="C1226" t="s">
        <v>18</v>
      </c>
      <c r="D1226" t="s">
        <v>28</v>
      </c>
      <c r="E1226" t="s">
        <v>20</v>
      </c>
      <c r="F1226" s="3">
        <v>1247.74</v>
      </c>
      <c r="G1226" s="3">
        <v>3372.28</v>
      </c>
      <c r="H1226" s="3">
        <f>Table1[[#This Row],[Sale]]-Table1[[#This Row],[Cost]]</f>
        <v>2124.54</v>
      </c>
      <c r="I1226" s="4">
        <f>Table1[[#This Row],[Profit]]/Table1[[#This Row],[Sale]]</f>
        <v>0.63000106752701435</v>
      </c>
      <c r="J1226" s="5">
        <f t="shared" si="38"/>
        <v>2006</v>
      </c>
      <c r="K1226" s="5">
        <f>MONTH(Table1[[#This Row],[Date]])</f>
        <v>1</v>
      </c>
      <c r="L1226" s="5">
        <f>DAY(Table1[[#This Row],[Date]])</f>
        <v>19</v>
      </c>
      <c r="M1226" s="5" t="str">
        <f t="shared" si="39"/>
        <v>Jan</v>
      </c>
    </row>
    <row r="1227" spans="1:13" x14ac:dyDescent="0.25">
      <c r="A1227" s="2">
        <v>38227</v>
      </c>
      <c r="B1227" t="s">
        <v>15</v>
      </c>
      <c r="C1227" t="s">
        <v>12</v>
      </c>
      <c r="D1227" t="s">
        <v>28</v>
      </c>
      <c r="E1227" t="s">
        <v>25</v>
      </c>
      <c r="F1227" s="3">
        <v>964.14</v>
      </c>
      <c r="G1227" s="3">
        <v>1417.86</v>
      </c>
      <c r="H1227" s="3">
        <f>Table1[[#This Row],[Sale]]-Table1[[#This Row],[Cost]]</f>
        <v>453.71999999999991</v>
      </c>
      <c r="I1227" s="4">
        <f>Table1[[#This Row],[Profit]]/Table1[[#This Row],[Sale]]</f>
        <v>0.32000338538360623</v>
      </c>
      <c r="J1227" s="5">
        <f t="shared" si="38"/>
        <v>2004</v>
      </c>
      <c r="K1227" s="5">
        <f>MONTH(Table1[[#This Row],[Date]])</f>
        <v>8</v>
      </c>
      <c r="L1227" s="5">
        <f>DAY(Table1[[#This Row],[Date]])</f>
        <v>28</v>
      </c>
      <c r="M1227" s="5" t="str">
        <f t="shared" si="39"/>
        <v>Aug</v>
      </c>
    </row>
    <row r="1228" spans="1:13" x14ac:dyDescent="0.25">
      <c r="A1228" s="2">
        <v>38409</v>
      </c>
      <c r="B1228" t="s">
        <v>22</v>
      </c>
      <c r="C1228" t="s">
        <v>23</v>
      </c>
      <c r="D1228" t="s">
        <v>28</v>
      </c>
      <c r="E1228" t="s">
        <v>14</v>
      </c>
      <c r="F1228" s="3">
        <v>1410.76</v>
      </c>
      <c r="G1228" s="3">
        <v>1508.83</v>
      </c>
      <c r="H1228" s="3">
        <f>Table1[[#This Row],[Sale]]-Table1[[#This Row],[Cost]]</f>
        <v>98.069999999999936</v>
      </c>
      <c r="I1228" s="4">
        <f>Table1[[#This Row],[Profit]]/Table1[[#This Row],[Sale]]</f>
        <v>6.4997382077503718E-2</v>
      </c>
      <c r="J1228" s="5">
        <f t="shared" si="38"/>
        <v>2005</v>
      </c>
      <c r="K1228" s="5">
        <f>MONTH(Table1[[#This Row],[Date]])</f>
        <v>2</v>
      </c>
      <c r="L1228" s="5">
        <f>DAY(Table1[[#This Row],[Date]])</f>
        <v>26</v>
      </c>
      <c r="M1228" s="5" t="str">
        <f t="shared" si="39"/>
        <v>Feb</v>
      </c>
    </row>
    <row r="1229" spans="1:13" x14ac:dyDescent="0.25">
      <c r="A1229" s="2">
        <v>38847</v>
      </c>
      <c r="B1229" t="s">
        <v>21</v>
      </c>
      <c r="C1229" t="s">
        <v>18</v>
      </c>
      <c r="D1229" t="s">
        <v>19</v>
      </c>
      <c r="E1229" t="s">
        <v>20</v>
      </c>
      <c r="F1229" s="3">
        <v>637.45000000000005</v>
      </c>
      <c r="G1229" s="3">
        <v>1722.83</v>
      </c>
      <c r="H1229" s="3">
        <f>Table1[[#This Row],[Sale]]-Table1[[#This Row],[Cost]]</f>
        <v>1085.3799999999999</v>
      </c>
      <c r="I1229" s="4">
        <f>Table1[[#This Row],[Profit]]/Table1[[#This Row],[Sale]]</f>
        <v>0.62999831672306605</v>
      </c>
      <c r="J1229" s="5">
        <f t="shared" si="38"/>
        <v>2006</v>
      </c>
      <c r="K1229" s="5">
        <f>MONTH(Table1[[#This Row],[Date]])</f>
        <v>5</v>
      </c>
      <c r="L1229" s="5">
        <f>DAY(Table1[[#This Row],[Date]])</f>
        <v>10</v>
      </c>
      <c r="M1229" s="5" t="str">
        <f t="shared" si="39"/>
        <v>May</v>
      </c>
    </row>
    <row r="1230" spans="1:13" x14ac:dyDescent="0.25">
      <c r="A1230" s="2">
        <v>38485</v>
      </c>
      <c r="B1230" t="s">
        <v>22</v>
      </c>
      <c r="C1230" t="s">
        <v>12</v>
      </c>
      <c r="D1230" t="s">
        <v>19</v>
      </c>
      <c r="E1230" t="s">
        <v>25</v>
      </c>
      <c r="F1230" s="3">
        <v>4431.12</v>
      </c>
      <c r="G1230" s="3">
        <v>7639.86</v>
      </c>
      <c r="H1230" s="3">
        <f>Table1[[#This Row],[Sale]]-Table1[[#This Row],[Cost]]</f>
        <v>3208.74</v>
      </c>
      <c r="I1230" s="4">
        <f>Table1[[#This Row],[Profit]]/Table1[[#This Row],[Sale]]</f>
        <v>0.4199998429290589</v>
      </c>
      <c r="J1230" s="5">
        <f t="shared" si="38"/>
        <v>2005</v>
      </c>
      <c r="K1230" s="5">
        <f>MONTH(Table1[[#This Row],[Date]])</f>
        <v>5</v>
      </c>
      <c r="L1230" s="5">
        <f>DAY(Table1[[#This Row],[Date]])</f>
        <v>13</v>
      </c>
      <c r="M1230" s="5" t="str">
        <f t="shared" si="39"/>
        <v>May</v>
      </c>
    </row>
    <row r="1231" spans="1:13" x14ac:dyDescent="0.25">
      <c r="A1231" s="2">
        <v>38570</v>
      </c>
      <c r="B1231" t="s">
        <v>21</v>
      </c>
      <c r="C1231" t="s">
        <v>27</v>
      </c>
      <c r="D1231" t="s">
        <v>16</v>
      </c>
      <c r="E1231" t="s">
        <v>24</v>
      </c>
      <c r="F1231" s="3">
        <v>540.80999999999995</v>
      </c>
      <c r="G1231" s="3">
        <v>932.43</v>
      </c>
      <c r="H1231" s="3">
        <f>Table1[[#This Row],[Sale]]-Table1[[#This Row],[Cost]]</f>
        <v>391.62</v>
      </c>
      <c r="I1231" s="4">
        <f>Table1[[#This Row],[Profit]]/Table1[[#This Row],[Sale]]</f>
        <v>0.41999935652006054</v>
      </c>
      <c r="J1231" s="5">
        <f t="shared" si="38"/>
        <v>2005</v>
      </c>
      <c r="K1231" s="5">
        <f>MONTH(Table1[[#This Row],[Date]])</f>
        <v>8</v>
      </c>
      <c r="L1231" s="5">
        <f>DAY(Table1[[#This Row],[Date]])</f>
        <v>6</v>
      </c>
      <c r="M1231" s="5" t="str">
        <f t="shared" si="39"/>
        <v>Aug</v>
      </c>
    </row>
    <row r="1232" spans="1:13" x14ac:dyDescent="0.25">
      <c r="A1232" s="2">
        <v>38882</v>
      </c>
      <c r="B1232" t="s">
        <v>26</v>
      </c>
      <c r="C1232" t="s">
        <v>29</v>
      </c>
      <c r="D1232" t="s">
        <v>28</v>
      </c>
      <c r="E1232" t="s">
        <v>20</v>
      </c>
      <c r="F1232" s="3">
        <v>2315.4299999999998</v>
      </c>
      <c r="G1232" s="3">
        <v>3405.05</v>
      </c>
      <c r="H1232" s="3">
        <f>Table1[[#This Row],[Sale]]-Table1[[#This Row],[Cost]]</f>
        <v>1089.6200000000003</v>
      </c>
      <c r="I1232" s="4">
        <f>Table1[[#This Row],[Profit]]/Table1[[#This Row],[Sale]]</f>
        <v>0.32000117472577505</v>
      </c>
      <c r="J1232" s="5">
        <f t="shared" si="38"/>
        <v>2006</v>
      </c>
      <c r="K1232" s="5">
        <f>MONTH(Table1[[#This Row],[Date]])</f>
        <v>6</v>
      </c>
      <c r="L1232" s="5">
        <f>DAY(Table1[[#This Row],[Date]])</f>
        <v>14</v>
      </c>
      <c r="M1232" s="5" t="str">
        <f t="shared" si="39"/>
        <v>Jun</v>
      </c>
    </row>
    <row r="1233" spans="1:13" x14ac:dyDescent="0.25">
      <c r="A1233" s="2">
        <v>38269</v>
      </c>
      <c r="B1233" t="s">
        <v>17</v>
      </c>
      <c r="C1233" t="s">
        <v>29</v>
      </c>
      <c r="D1233" t="s">
        <v>19</v>
      </c>
      <c r="E1233" t="s">
        <v>20</v>
      </c>
      <c r="F1233" s="3">
        <v>1935.61</v>
      </c>
      <c r="G1233" s="3">
        <v>3519.29</v>
      </c>
      <c r="H1233" s="3">
        <f>Table1[[#This Row],[Sale]]-Table1[[#This Row],[Cost]]</f>
        <v>1583.68</v>
      </c>
      <c r="I1233" s="4">
        <f>Table1[[#This Row],[Profit]]/Table1[[#This Row],[Sale]]</f>
        <v>0.44999985792588848</v>
      </c>
      <c r="J1233" s="5">
        <f t="shared" si="38"/>
        <v>2004</v>
      </c>
      <c r="K1233" s="5">
        <f>MONTH(Table1[[#This Row],[Date]])</f>
        <v>10</v>
      </c>
      <c r="L1233" s="5">
        <f>DAY(Table1[[#This Row],[Date]])</f>
        <v>9</v>
      </c>
      <c r="M1233" s="5" t="str">
        <f t="shared" si="39"/>
        <v>Oct</v>
      </c>
    </row>
    <row r="1234" spans="1:13" x14ac:dyDescent="0.25">
      <c r="A1234" s="2">
        <v>38315</v>
      </c>
      <c r="B1234" t="s">
        <v>22</v>
      </c>
      <c r="C1234" t="s">
        <v>29</v>
      </c>
      <c r="D1234" t="s">
        <v>19</v>
      </c>
      <c r="E1234" t="s">
        <v>25</v>
      </c>
      <c r="F1234" s="3">
        <v>2266.0700000000002</v>
      </c>
      <c r="G1234" s="3">
        <v>4120.13</v>
      </c>
      <c r="H1234" s="3">
        <f>Table1[[#This Row],[Sale]]-Table1[[#This Row],[Cost]]</f>
        <v>1854.06</v>
      </c>
      <c r="I1234" s="4">
        <f>Table1[[#This Row],[Profit]]/Table1[[#This Row],[Sale]]</f>
        <v>0.45000036406618238</v>
      </c>
      <c r="J1234" s="5">
        <f t="shared" si="38"/>
        <v>2004</v>
      </c>
      <c r="K1234" s="5">
        <f>MONTH(Table1[[#This Row],[Date]])</f>
        <v>11</v>
      </c>
      <c r="L1234" s="5">
        <f>DAY(Table1[[#This Row],[Date]])</f>
        <v>24</v>
      </c>
      <c r="M1234" s="5" t="str">
        <f t="shared" si="39"/>
        <v>Nov</v>
      </c>
    </row>
    <row r="1235" spans="1:13" x14ac:dyDescent="0.25">
      <c r="A1235" s="2">
        <v>38801</v>
      </c>
      <c r="B1235" t="s">
        <v>21</v>
      </c>
      <c r="C1235" t="s">
        <v>12</v>
      </c>
      <c r="D1235" t="s">
        <v>19</v>
      </c>
      <c r="E1235" t="s">
        <v>14</v>
      </c>
      <c r="F1235" s="3">
        <v>1044.98</v>
      </c>
      <c r="G1235" s="3">
        <v>1899.96</v>
      </c>
      <c r="H1235" s="3">
        <f>Table1[[#This Row],[Sale]]-Table1[[#This Row],[Cost]]</f>
        <v>854.98</v>
      </c>
      <c r="I1235" s="4">
        <f>Table1[[#This Row],[Profit]]/Table1[[#This Row],[Sale]]</f>
        <v>0.44999894734625995</v>
      </c>
      <c r="J1235" s="5">
        <f t="shared" si="38"/>
        <v>2006</v>
      </c>
      <c r="K1235" s="5">
        <f>MONTH(Table1[[#This Row],[Date]])</f>
        <v>3</v>
      </c>
      <c r="L1235" s="5">
        <f>DAY(Table1[[#This Row],[Date]])</f>
        <v>25</v>
      </c>
      <c r="M1235" s="5" t="str">
        <f t="shared" si="39"/>
        <v>Mar</v>
      </c>
    </row>
    <row r="1236" spans="1:13" x14ac:dyDescent="0.25">
      <c r="A1236" s="2">
        <v>38240</v>
      </c>
      <c r="B1236" t="s">
        <v>15</v>
      </c>
      <c r="C1236" t="s">
        <v>18</v>
      </c>
      <c r="D1236" t="s">
        <v>16</v>
      </c>
      <c r="E1236" t="s">
        <v>14</v>
      </c>
      <c r="F1236" s="3">
        <v>6481.88</v>
      </c>
      <c r="G1236" s="3">
        <v>8642.5</v>
      </c>
      <c r="H1236" s="3">
        <f>Table1[[#This Row],[Sale]]-Table1[[#This Row],[Cost]]</f>
        <v>2160.62</v>
      </c>
      <c r="I1236" s="4">
        <f>Table1[[#This Row],[Profit]]/Table1[[#This Row],[Sale]]</f>
        <v>0.24999942146369683</v>
      </c>
      <c r="J1236" s="5">
        <f t="shared" si="38"/>
        <v>2004</v>
      </c>
      <c r="K1236" s="5">
        <f>MONTH(Table1[[#This Row],[Date]])</f>
        <v>9</v>
      </c>
      <c r="L1236" s="5">
        <f>DAY(Table1[[#This Row],[Date]])</f>
        <v>10</v>
      </c>
      <c r="M1236" s="5" t="str">
        <f t="shared" si="39"/>
        <v>Sep</v>
      </c>
    </row>
    <row r="1237" spans="1:13" x14ac:dyDescent="0.25">
      <c r="A1237" s="2">
        <v>38259</v>
      </c>
      <c r="B1237" t="s">
        <v>17</v>
      </c>
      <c r="C1237" t="s">
        <v>29</v>
      </c>
      <c r="D1237" t="s">
        <v>19</v>
      </c>
      <c r="E1237" t="s">
        <v>25</v>
      </c>
      <c r="F1237" s="3">
        <v>4854.3999999999996</v>
      </c>
      <c r="G1237" s="3">
        <v>8369.66</v>
      </c>
      <c r="H1237" s="3">
        <f>Table1[[#This Row],[Sale]]-Table1[[#This Row],[Cost]]</f>
        <v>3515.26</v>
      </c>
      <c r="I1237" s="4">
        <f>Table1[[#This Row],[Profit]]/Table1[[#This Row],[Sale]]</f>
        <v>0.42000033454166602</v>
      </c>
      <c r="J1237" s="5">
        <f t="shared" si="38"/>
        <v>2004</v>
      </c>
      <c r="K1237" s="5">
        <f>MONTH(Table1[[#This Row],[Date]])</f>
        <v>9</v>
      </c>
      <c r="L1237" s="5">
        <f>DAY(Table1[[#This Row],[Date]])</f>
        <v>29</v>
      </c>
      <c r="M1237" s="5" t="str">
        <f t="shared" si="39"/>
        <v>Sep</v>
      </c>
    </row>
    <row r="1238" spans="1:13" x14ac:dyDescent="0.25">
      <c r="A1238" s="2">
        <v>38447</v>
      </c>
      <c r="B1238" t="s">
        <v>26</v>
      </c>
      <c r="C1238" t="s">
        <v>23</v>
      </c>
      <c r="D1238" t="s">
        <v>28</v>
      </c>
      <c r="E1238" t="s">
        <v>24</v>
      </c>
      <c r="F1238" s="3">
        <v>789.07</v>
      </c>
      <c r="G1238" s="3">
        <v>896.67</v>
      </c>
      <c r="H1238" s="3">
        <f>Table1[[#This Row],[Sale]]-Table1[[#This Row],[Cost]]</f>
        <v>107.59999999999991</v>
      </c>
      <c r="I1238" s="4">
        <f>Table1[[#This Row],[Profit]]/Table1[[#This Row],[Sale]]</f>
        <v>0.11999955390500397</v>
      </c>
      <c r="J1238" s="5">
        <f t="shared" si="38"/>
        <v>2005</v>
      </c>
      <c r="K1238" s="5">
        <f>MONTH(Table1[[#This Row],[Date]])</f>
        <v>4</v>
      </c>
      <c r="L1238" s="5">
        <f>DAY(Table1[[#This Row],[Date]])</f>
        <v>5</v>
      </c>
      <c r="M1238" s="5" t="str">
        <f t="shared" si="39"/>
        <v>Apr</v>
      </c>
    </row>
    <row r="1239" spans="1:13" x14ac:dyDescent="0.25">
      <c r="A1239" s="2">
        <v>38690</v>
      </c>
      <c r="B1239" t="s">
        <v>26</v>
      </c>
      <c r="C1239" t="s">
        <v>29</v>
      </c>
      <c r="D1239" t="s">
        <v>13</v>
      </c>
      <c r="E1239" t="s">
        <v>24</v>
      </c>
      <c r="F1239" s="3">
        <v>5053.6099999999997</v>
      </c>
      <c r="G1239" s="3">
        <v>5404.93</v>
      </c>
      <c r="H1239" s="3">
        <f>Table1[[#This Row],[Sale]]-Table1[[#This Row],[Cost]]</f>
        <v>351.32000000000062</v>
      </c>
      <c r="I1239" s="4">
        <f>Table1[[#This Row],[Profit]]/Table1[[#This Row],[Sale]]</f>
        <v>6.4999916742677633E-2</v>
      </c>
      <c r="J1239" s="5">
        <f t="shared" si="38"/>
        <v>2005</v>
      </c>
      <c r="K1239" s="5">
        <f>MONTH(Table1[[#This Row],[Date]])</f>
        <v>12</v>
      </c>
      <c r="L1239" s="5">
        <f>DAY(Table1[[#This Row],[Date]])</f>
        <v>4</v>
      </c>
      <c r="M1239" s="5" t="str">
        <f t="shared" si="39"/>
        <v>Dec</v>
      </c>
    </row>
    <row r="1240" spans="1:13" x14ac:dyDescent="0.25">
      <c r="A1240" s="2">
        <v>38771</v>
      </c>
      <c r="B1240" t="s">
        <v>17</v>
      </c>
      <c r="C1240" t="s">
        <v>27</v>
      </c>
      <c r="D1240" t="s">
        <v>16</v>
      </c>
      <c r="E1240" t="s">
        <v>24</v>
      </c>
      <c r="F1240" s="3">
        <v>3682.63</v>
      </c>
      <c r="G1240" s="3">
        <v>6349.36</v>
      </c>
      <c r="H1240" s="3">
        <f>Table1[[#This Row],[Sale]]-Table1[[#This Row],[Cost]]</f>
        <v>2666.7299999999996</v>
      </c>
      <c r="I1240" s="4">
        <f>Table1[[#This Row],[Profit]]/Table1[[#This Row],[Sale]]</f>
        <v>0.41999981100457362</v>
      </c>
      <c r="J1240" s="5">
        <f t="shared" si="38"/>
        <v>2006</v>
      </c>
      <c r="K1240" s="5">
        <f>MONTH(Table1[[#This Row],[Date]])</f>
        <v>2</v>
      </c>
      <c r="L1240" s="5">
        <f>DAY(Table1[[#This Row],[Date]])</f>
        <v>23</v>
      </c>
      <c r="M1240" s="5" t="str">
        <f t="shared" si="39"/>
        <v>Feb</v>
      </c>
    </row>
    <row r="1241" spans="1:13" x14ac:dyDescent="0.25">
      <c r="A1241" s="2">
        <v>38765</v>
      </c>
      <c r="B1241" t="s">
        <v>21</v>
      </c>
      <c r="C1241" t="s">
        <v>29</v>
      </c>
      <c r="D1241" t="s">
        <v>19</v>
      </c>
      <c r="E1241" t="s">
        <v>25</v>
      </c>
      <c r="F1241" s="3">
        <v>2865.12</v>
      </c>
      <c r="G1241" s="3">
        <v>6663.08</v>
      </c>
      <c r="H1241" s="3">
        <f>Table1[[#This Row],[Sale]]-Table1[[#This Row],[Cost]]</f>
        <v>3797.96</v>
      </c>
      <c r="I1241" s="4">
        <f>Table1[[#This Row],[Profit]]/Table1[[#This Row],[Sale]]</f>
        <v>0.57000066035527119</v>
      </c>
      <c r="J1241" s="5">
        <f t="shared" si="38"/>
        <v>2006</v>
      </c>
      <c r="K1241" s="5">
        <f>MONTH(Table1[[#This Row],[Date]])</f>
        <v>2</v>
      </c>
      <c r="L1241" s="5">
        <f>DAY(Table1[[#This Row],[Date]])</f>
        <v>17</v>
      </c>
      <c r="M1241" s="5" t="str">
        <f t="shared" si="39"/>
        <v>Feb</v>
      </c>
    </row>
    <row r="1242" spans="1:13" x14ac:dyDescent="0.25">
      <c r="A1242" s="2">
        <v>38670</v>
      </c>
      <c r="B1242" t="s">
        <v>26</v>
      </c>
      <c r="C1242" t="s">
        <v>18</v>
      </c>
      <c r="D1242" t="s">
        <v>13</v>
      </c>
      <c r="E1242" t="s">
        <v>20</v>
      </c>
      <c r="F1242" s="3">
        <v>4520.3900000000003</v>
      </c>
      <c r="G1242" s="3">
        <v>6647.63</v>
      </c>
      <c r="H1242" s="3">
        <f>Table1[[#This Row],[Sale]]-Table1[[#This Row],[Cost]]</f>
        <v>2127.2399999999998</v>
      </c>
      <c r="I1242" s="4">
        <f>Table1[[#This Row],[Profit]]/Table1[[#This Row],[Sale]]</f>
        <v>0.3199997593127174</v>
      </c>
      <c r="J1242" s="5">
        <f t="shared" si="38"/>
        <v>2005</v>
      </c>
      <c r="K1242" s="5">
        <f>MONTH(Table1[[#This Row],[Date]])</f>
        <v>11</v>
      </c>
      <c r="L1242" s="5">
        <f>DAY(Table1[[#This Row],[Date]])</f>
        <v>14</v>
      </c>
      <c r="M1242" s="5" t="str">
        <f t="shared" si="39"/>
        <v>Nov</v>
      </c>
    </row>
    <row r="1243" spans="1:13" x14ac:dyDescent="0.25">
      <c r="A1243" s="2">
        <v>38581</v>
      </c>
      <c r="B1243" t="s">
        <v>17</v>
      </c>
      <c r="C1243" t="s">
        <v>12</v>
      </c>
      <c r="D1243" t="s">
        <v>16</v>
      </c>
      <c r="E1243" t="s">
        <v>14</v>
      </c>
      <c r="F1243" s="3">
        <v>3738.97</v>
      </c>
      <c r="G1243" s="3">
        <v>8308.82</v>
      </c>
      <c r="H1243" s="3">
        <f>Table1[[#This Row],[Sale]]-Table1[[#This Row],[Cost]]</f>
        <v>4569.8500000000004</v>
      </c>
      <c r="I1243" s="4">
        <f>Table1[[#This Row],[Profit]]/Table1[[#This Row],[Sale]]</f>
        <v>0.54999987964596664</v>
      </c>
      <c r="J1243" s="5">
        <f t="shared" si="38"/>
        <v>2005</v>
      </c>
      <c r="K1243" s="5">
        <f>MONTH(Table1[[#This Row],[Date]])</f>
        <v>8</v>
      </c>
      <c r="L1243" s="5">
        <f>DAY(Table1[[#This Row],[Date]])</f>
        <v>17</v>
      </c>
      <c r="M1243" s="5" t="str">
        <f t="shared" si="39"/>
        <v>Aug</v>
      </c>
    </row>
    <row r="1244" spans="1:13" x14ac:dyDescent="0.25">
      <c r="A1244" s="2">
        <v>38291</v>
      </c>
      <c r="B1244" t="s">
        <v>11</v>
      </c>
      <c r="C1244" t="s">
        <v>23</v>
      </c>
      <c r="D1244" t="s">
        <v>28</v>
      </c>
      <c r="E1244" t="s">
        <v>25</v>
      </c>
      <c r="F1244" s="3">
        <v>7841.64</v>
      </c>
      <c r="G1244" s="3">
        <v>8910.9599999999991</v>
      </c>
      <c r="H1244" s="3">
        <f>Table1[[#This Row],[Sale]]-Table1[[#This Row],[Cost]]</f>
        <v>1069.3199999999988</v>
      </c>
      <c r="I1244" s="4">
        <f>Table1[[#This Row],[Profit]]/Table1[[#This Row],[Sale]]</f>
        <v>0.12000053866250089</v>
      </c>
      <c r="J1244" s="5">
        <f t="shared" si="38"/>
        <v>2004</v>
      </c>
      <c r="K1244" s="5">
        <f>MONTH(Table1[[#This Row],[Date]])</f>
        <v>10</v>
      </c>
      <c r="L1244" s="5">
        <f>DAY(Table1[[#This Row],[Date]])</f>
        <v>31</v>
      </c>
      <c r="M1244" s="5" t="str">
        <f t="shared" si="39"/>
        <v>Oct</v>
      </c>
    </row>
    <row r="1245" spans="1:13" x14ac:dyDescent="0.25">
      <c r="A1245" s="2">
        <v>38830</v>
      </c>
      <c r="B1245" t="s">
        <v>15</v>
      </c>
      <c r="C1245" t="s">
        <v>18</v>
      </c>
      <c r="D1245" t="s">
        <v>16</v>
      </c>
      <c r="E1245" t="s">
        <v>14</v>
      </c>
      <c r="F1245" s="3">
        <v>1673.64</v>
      </c>
      <c r="G1245" s="3">
        <v>4523.34</v>
      </c>
      <c r="H1245" s="3">
        <f>Table1[[#This Row],[Sale]]-Table1[[#This Row],[Cost]]</f>
        <v>2849.7</v>
      </c>
      <c r="I1245" s="4">
        <f>Table1[[#This Row],[Profit]]/Table1[[#This Row],[Sale]]</f>
        <v>0.62999907148257694</v>
      </c>
      <c r="J1245" s="5">
        <f t="shared" si="38"/>
        <v>2006</v>
      </c>
      <c r="K1245" s="5">
        <f>MONTH(Table1[[#This Row],[Date]])</f>
        <v>4</v>
      </c>
      <c r="L1245" s="5">
        <f>DAY(Table1[[#This Row],[Date]])</f>
        <v>23</v>
      </c>
      <c r="M1245" s="5" t="str">
        <f t="shared" si="39"/>
        <v>Apr</v>
      </c>
    </row>
    <row r="1246" spans="1:13" x14ac:dyDescent="0.25">
      <c r="A1246" s="2">
        <v>38546</v>
      </c>
      <c r="B1246" t="s">
        <v>15</v>
      </c>
      <c r="C1246" t="s">
        <v>27</v>
      </c>
      <c r="D1246" t="s">
        <v>19</v>
      </c>
      <c r="E1246" t="s">
        <v>25</v>
      </c>
      <c r="F1246" s="3">
        <v>6877.98</v>
      </c>
      <c r="G1246" s="3">
        <v>9170.64</v>
      </c>
      <c r="H1246" s="3">
        <f>Table1[[#This Row],[Sale]]-Table1[[#This Row],[Cost]]</f>
        <v>2292.66</v>
      </c>
      <c r="I1246" s="4">
        <f>Table1[[#This Row],[Profit]]/Table1[[#This Row],[Sale]]</f>
        <v>0.25</v>
      </c>
      <c r="J1246" s="5">
        <f t="shared" si="38"/>
        <v>2005</v>
      </c>
      <c r="K1246" s="5">
        <f>MONTH(Table1[[#This Row],[Date]])</f>
        <v>7</v>
      </c>
      <c r="L1246" s="5">
        <f>DAY(Table1[[#This Row],[Date]])</f>
        <v>13</v>
      </c>
      <c r="M1246" s="5" t="str">
        <f t="shared" si="39"/>
        <v>Jul</v>
      </c>
    </row>
    <row r="1247" spans="1:13" x14ac:dyDescent="0.25">
      <c r="A1247" s="2">
        <v>38491</v>
      </c>
      <c r="B1247" t="s">
        <v>17</v>
      </c>
      <c r="C1247" t="s">
        <v>12</v>
      </c>
      <c r="D1247" t="s">
        <v>16</v>
      </c>
      <c r="E1247" t="s">
        <v>24</v>
      </c>
      <c r="F1247" s="3">
        <v>348.73</v>
      </c>
      <c r="G1247" s="3">
        <v>774.96</v>
      </c>
      <c r="H1247" s="3">
        <f>Table1[[#This Row],[Sale]]-Table1[[#This Row],[Cost]]</f>
        <v>426.23</v>
      </c>
      <c r="I1247" s="4">
        <f>Table1[[#This Row],[Profit]]/Table1[[#This Row],[Sale]]</f>
        <v>0.55000258077836273</v>
      </c>
      <c r="J1247" s="5">
        <f t="shared" si="38"/>
        <v>2005</v>
      </c>
      <c r="K1247" s="5">
        <f>MONTH(Table1[[#This Row],[Date]])</f>
        <v>5</v>
      </c>
      <c r="L1247" s="5">
        <f>DAY(Table1[[#This Row],[Date]])</f>
        <v>19</v>
      </c>
      <c r="M1247" s="5" t="str">
        <f t="shared" si="39"/>
        <v>May</v>
      </c>
    </row>
    <row r="1248" spans="1:13" x14ac:dyDescent="0.25">
      <c r="A1248" s="2">
        <v>38187</v>
      </c>
      <c r="B1248" t="s">
        <v>15</v>
      </c>
      <c r="C1248" t="s">
        <v>27</v>
      </c>
      <c r="D1248" t="s">
        <v>16</v>
      </c>
      <c r="E1248" t="s">
        <v>25</v>
      </c>
      <c r="F1248" s="3">
        <v>826.73</v>
      </c>
      <c r="G1248" s="3">
        <v>1503.14</v>
      </c>
      <c r="H1248" s="3">
        <f>Table1[[#This Row],[Sale]]-Table1[[#This Row],[Cost]]</f>
        <v>676.41000000000008</v>
      </c>
      <c r="I1248" s="4">
        <f>Table1[[#This Row],[Profit]]/Table1[[#This Row],[Sale]]</f>
        <v>0.44999800417792091</v>
      </c>
      <c r="J1248" s="5">
        <f t="shared" si="38"/>
        <v>2004</v>
      </c>
      <c r="K1248" s="5">
        <f>MONTH(Table1[[#This Row],[Date]])</f>
        <v>7</v>
      </c>
      <c r="L1248" s="5">
        <f>DAY(Table1[[#This Row],[Date]])</f>
        <v>19</v>
      </c>
      <c r="M1248" s="5" t="str">
        <f t="shared" si="39"/>
        <v>Jul</v>
      </c>
    </row>
    <row r="1249" spans="1:13" x14ac:dyDescent="0.25">
      <c r="A1249" s="2">
        <v>38855</v>
      </c>
      <c r="B1249" t="s">
        <v>17</v>
      </c>
      <c r="C1249" t="s">
        <v>23</v>
      </c>
      <c r="D1249" t="s">
        <v>16</v>
      </c>
      <c r="E1249" t="s">
        <v>14</v>
      </c>
      <c r="F1249" s="3">
        <v>406.25</v>
      </c>
      <c r="G1249" s="3">
        <v>738.63</v>
      </c>
      <c r="H1249" s="3">
        <f>Table1[[#This Row],[Sale]]-Table1[[#This Row],[Cost]]</f>
        <v>332.38</v>
      </c>
      <c r="I1249" s="4">
        <f>Table1[[#This Row],[Profit]]/Table1[[#This Row],[Sale]]</f>
        <v>0.44999526149763752</v>
      </c>
      <c r="J1249" s="5">
        <f t="shared" si="38"/>
        <v>2006</v>
      </c>
      <c r="K1249" s="5">
        <f>MONTH(Table1[[#This Row],[Date]])</f>
        <v>5</v>
      </c>
      <c r="L1249" s="5">
        <f>DAY(Table1[[#This Row],[Date]])</f>
        <v>18</v>
      </c>
      <c r="M1249" s="5" t="str">
        <f t="shared" si="39"/>
        <v>May</v>
      </c>
    </row>
    <row r="1250" spans="1:13" x14ac:dyDescent="0.25">
      <c r="A1250" s="2">
        <v>38859</v>
      </c>
      <c r="B1250" t="s">
        <v>21</v>
      </c>
      <c r="C1250" t="s">
        <v>29</v>
      </c>
      <c r="D1250" t="s">
        <v>28</v>
      </c>
      <c r="E1250" t="s">
        <v>25</v>
      </c>
      <c r="F1250" s="3">
        <v>3963.81</v>
      </c>
      <c r="G1250" s="3">
        <v>8808.4599999999991</v>
      </c>
      <c r="H1250" s="3">
        <f>Table1[[#This Row],[Sale]]-Table1[[#This Row],[Cost]]</f>
        <v>4844.6499999999996</v>
      </c>
      <c r="I1250" s="4">
        <f>Table1[[#This Row],[Profit]]/Table1[[#This Row],[Sale]]</f>
        <v>0.54999965941833195</v>
      </c>
      <c r="J1250" s="5">
        <f t="shared" si="38"/>
        <v>2006</v>
      </c>
      <c r="K1250" s="5">
        <f>MONTH(Table1[[#This Row],[Date]])</f>
        <v>5</v>
      </c>
      <c r="L1250" s="5">
        <f>DAY(Table1[[#This Row],[Date]])</f>
        <v>22</v>
      </c>
      <c r="M1250" s="5" t="str">
        <f t="shared" si="39"/>
        <v>May</v>
      </c>
    </row>
    <row r="1251" spans="1:13" x14ac:dyDescent="0.25">
      <c r="A1251" s="2">
        <v>38467</v>
      </c>
      <c r="B1251" t="s">
        <v>26</v>
      </c>
      <c r="C1251" t="s">
        <v>12</v>
      </c>
      <c r="D1251" t="s">
        <v>28</v>
      </c>
      <c r="E1251" t="s">
        <v>25</v>
      </c>
      <c r="F1251" s="3">
        <v>3392.06</v>
      </c>
      <c r="G1251" s="3">
        <v>6167.39</v>
      </c>
      <c r="H1251" s="3">
        <f>Table1[[#This Row],[Sale]]-Table1[[#This Row],[Cost]]</f>
        <v>2775.3300000000004</v>
      </c>
      <c r="I1251" s="4">
        <f>Table1[[#This Row],[Profit]]/Table1[[#This Row],[Sale]]</f>
        <v>0.4500007296441445</v>
      </c>
      <c r="J1251" s="5">
        <f t="shared" si="38"/>
        <v>2005</v>
      </c>
      <c r="K1251" s="5">
        <f>MONTH(Table1[[#This Row],[Date]])</f>
        <v>4</v>
      </c>
      <c r="L1251" s="5">
        <f>DAY(Table1[[#This Row],[Date]])</f>
        <v>25</v>
      </c>
      <c r="M1251" s="5" t="str">
        <f t="shared" si="39"/>
        <v>Apr</v>
      </c>
    </row>
    <row r="1252" spans="1:13" x14ac:dyDescent="0.25">
      <c r="A1252" s="2">
        <v>38336</v>
      </c>
      <c r="B1252" t="s">
        <v>22</v>
      </c>
      <c r="C1252" t="s">
        <v>18</v>
      </c>
      <c r="D1252" t="s">
        <v>13</v>
      </c>
      <c r="E1252" t="s">
        <v>24</v>
      </c>
      <c r="F1252" s="3">
        <v>6418.88</v>
      </c>
      <c r="G1252" s="3">
        <v>6865.11</v>
      </c>
      <c r="H1252" s="3">
        <f>Table1[[#This Row],[Sale]]-Table1[[#This Row],[Cost]]</f>
        <v>446.22999999999956</v>
      </c>
      <c r="I1252" s="4">
        <f>Table1[[#This Row],[Profit]]/Table1[[#This Row],[Sale]]</f>
        <v>6.499968682220672E-2</v>
      </c>
      <c r="J1252" s="5">
        <f t="shared" si="38"/>
        <v>2004</v>
      </c>
      <c r="K1252" s="5">
        <f>MONTH(Table1[[#This Row],[Date]])</f>
        <v>12</v>
      </c>
      <c r="L1252" s="5">
        <f>DAY(Table1[[#This Row],[Date]])</f>
        <v>15</v>
      </c>
      <c r="M1252" s="5" t="str">
        <f t="shared" si="39"/>
        <v>Dec</v>
      </c>
    </row>
    <row r="1253" spans="1:13" x14ac:dyDescent="0.25">
      <c r="A1253" s="2">
        <v>38482</v>
      </c>
      <c r="B1253" t="s">
        <v>15</v>
      </c>
      <c r="C1253" t="s">
        <v>27</v>
      </c>
      <c r="D1253" t="s">
        <v>19</v>
      </c>
      <c r="E1253" t="s">
        <v>20</v>
      </c>
      <c r="F1253" s="3">
        <v>2553.4299999999998</v>
      </c>
      <c r="G1253" s="3">
        <v>3755.04</v>
      </c>
      <c r="H1253" s="3">
        <f>Table1[[#This Row],[Sale]]-Table1[[#This Row],[Cost]]</f>
        <v>1201.6100000000001</v>
      </c>
      <c r="I1253" s="4">
        <f>Table1[[#This Row],[Profit]]/Table1[[#This Row],[Sale]]</f>
        <v>0.31999925433550647</v>
      </c>
      <c r="J1253" s="5">
        <f t="shared" si="38"/>
        <v>2005</v>
      </c>
      <c r="K1253" s="5">
        <f>MONTH(Table1[[#This Row],[Date]])</f>
        <v>5</v>
      </c>
      <c r="L1253" s="5">
        <f>DAY(Table1[[#This Row],[Date]])</f>
        <v>10</v>
      </c>
      <c r="M1253" s="5" t="str">
        <f t="shared" si="39"/>
        <v>May</v>
      </c>
    </row>
    <row r="1254" spans="1:13" x14ac:dyDescent="0.25">
      <c r="A1254" s="2">
        <v>38310</v>
      </c>
      <c r="B1254" t="s">
        <v>22</v>
      </c>
      <c r="C1254" t="s">
        <v>23</v>
      </c>
      <c r="D1254" t="s">
        <v>19</v>
      </c>
      <c r="E1254" t="s">
        <v>20</v>
      </c>
      <c r="F1254" s="3">
        <v>4507.0600000000004</v>
      </c>
      <c r="G1254" s="3">
        <v>4820.3900000000003</v>
      </c>
      <c r="H1254" s="3">
        <f>Table1[[#This Row],[Sale]]-Table1[[#This Row],[Cost]]</f>
        <v>313.32999999999993</v>
      </c>
      <c r="I1254" s="4">
        <f>Table1[[#This Row],[Profit]]/Table1[[#This Row],[Sale]]</f>
        <v>6.5000964652237661E-2</v>
      </c>
      <c r="J1254" s="5">
        <f t="shared" si="38"/>
        <v>2004</v>
      </c>
      <c r="K1254" s="5">
        <f>MONTH(Table1[[#This Row],[Date]])</f>
        <v>11</v>
      </c>
      <c r="L1254" s="5">
        <f>DAY(Table1[[#This Row],[Date]])</f>
        <v>19</v>
      </c>
      <c r="M1254" s="5" t="str">
        <f t="shared" si="39"/>
        <v>Nov</v>
      </c>
    </row>
    <row r="1255" spans="1:13" x14ac:dyDescent="0.25">
      <c r="A1255" s="2">
        <v>38703</v>
      </c>
      <c r="B1255" t="s">
        <v>17</v>
      </c>
      <c r="C1255" t="s">
        <v>27</v>
      </c>
      <c r="D1255" t="s">
        <v>16</v>
      </c>
      <c r="E1255" t="s">
        <v>25</v>
      </c>
      <c r="F1255" s="3">
        <v>3823.42</v>
      </c>
      <c r="G1255" s="3">
        <v>6480.38</v>
      </c>
      <c r="H1255" s="3">
        <f>Table1[[#This Row],[Sale]]-Table1[[#This Row],[Cost]]</f>
        <v>2656.96</v>
      </c>
      <c r="I1255" s="4">
        <f>Table1[[#This Row],[Profit]]/Table1[[#This Row],[Sale]]</f>
        <v>0.4100006481101417</v>
      </c>
      <c r="J1255" s="5">
        <f t="shared" si="38"/>
        <v>2005</v>
      </c>
      <c r="K1255" s="5">
        <f>MONTH(Table1[[#This Row],[Date]])</f>
        <v>12</v>
      </c>
      <c r="L1255" s="5">
        <f>DAY(Table1[[#This Row],[Date]])</f>
        <v>17</v>
      </c>
      <c r="M1255" s="5" t="str">
        <f t="shared" si="39"/>
        <v>Dec</v>
      </c>
    </row>
    <row r="1256" spans="1:13" x14ac:dyDescent="0.25">
      <c r="A1256" s="2">
        <v>38377</v>
      </c>
      <c r="B1256" t="s">
        <v>26</v>
      </c>
      <c r="C1256" t="s">
        <v>12</v>
      </c>
      <c r="D1256" t="s">
        <v>16</v>
      </c>
      <c r="E1256" t="s">
        <v>24</v>
      </c>
      <c r="F1256" s="3">
        <v>3148.53</v>
      </c>
      <c r="G1256" s="3">
        <v>3577.87</v>
      </c>
      <c r="H1256" s="3">
        <f>Table1[[#This Row],[Sale]]-Table1[[#This Row],[Cost]]</f>
        <v>429.33999999999969</v>
      </c>
      <c r="I1256" s="4">
        <f>Table1[[#This Row],[Profit]]/Table1[[#This Row],[Sale]]</f>
        <v>0.11999877021803466</v>
      </c>
      <c r="J1256" s="5">
        <f t="shared" si="38"/>
        <v>2005</v>
      </c>
      <c r="K1256" s="5">
        <f>MONTH(Table1[[#This Row],[Date]])</f>
        <v>1</v>
      </c>
      <c r="L1256" s="5">
        <f>DAY(Table1[[#This Row],[Date]])</f>
        <v>25</v>
      </c>
      <c r="M1256" s="5" t="str">
        <f t="shared" si="39"/>
        <v>Jan</v>
      </c>
    </row>
    <row r="1257" spans="1:13" x14ac:dyDescent="0.25">
      <c r="A1257" s="2">
        <v>38744</v>
      </c>
      <c r="B1257" t="s">
        <v>21</v>
      </c>
      <c r="C1257" t="s">
        <v>29</v>
      </c>
      <c r="D1257" t="s">
        <v>16</v>
      </c>
      <c r="E1257" t="s">
        <v>20</v>
      </c>
      <c r="F1257" s="3">
        <v>6011.98</v>
      </c>
      <c r="G1257" s="3">
        <v>6429.93</v>
      </c>
      <c r="H1257" s="3">
        <f>Table1[[#This Row],[Sale]]-Table1[[#This Row],[Cost]]</f>
        <v>417.95000000000073</v>
      </c>
      <c r="I1257" s="4">
        <f>Table1[[#This Row],[Profit]]/Table1[[#This Row],[Sale]]</f>
        <v>6.5000707628232457E-2</v>
      </c>
      <c r="J1257" s="5">
        <f t="shared" si="38"/>
        <v>2006</v>
      </c>
      <c r="K1257" s="5">
        <f>MONTH(Table1[[#This Row],[Date]])</f>
        <v>1</v>
      </c>
      <c r="L1257" s="5">
        <f>DAY(Table1[[#This Row],[Date]])</f>
        <v>27</v>
      </c>
      <c r="M1257" s="5" t="str">
        <f t="shared" si="39"/>
        <v>Jan</v>
      </c>
    </row>
    <row r="1258" spans="1:13" x14ac:dyDescent="0.25">
      <c r="A1258" s="2">
        <v>38176</v>
      </c>
      <c r="B1258" t="s">
        <v>11</v>
      </c>
      <c r="C1258" t="s">
        <v>23</v>
      </c>
      <c r="D1258" t="s">
        <v>19</v>
      </c>
      <c r="E1258" t="s">
        <v>20</v>
      </c>
      <c r="F1258" s="3">
        <v>1676.63</v>
      </c>
      <c r="G1258" s="3">
        <v>1905.26</v>
      </c>
      <c r="H1258" s="3">
        <f>Table1[[#This Row],[Sale]]-Table1[[#This Row],[Cost]]</f>
        <v>228.62999999999988</v>
      </c>
      <c r="I1258" s="4">
        <f>Table1[[#This Row],[Profit]]/Table1[[#This Row],[Sale]]</f>
        <v>0.11999937016470187</v>
      </c>
      <c r="J1258" s="5">
        <f t="shared" si="38"/>
        <v>2004</v>
      </c>
      <c r="K1258" s="5">
        <f>MONTH(Table1[[#This Row],[Date]])</f>
        <v>7</v>
      </c>
      <c r="L1258" s="5">
        <f>DAY(Table1[[#This Row],[Date]])</f>
        <v>8</v>
      </c>
      <c r="M1258" s="5" t="str">
        <f t="shared" si="39"/>
        <v>Jul</v>
      </c>
    </row>
    <row r="1259" spans="1:13" x14ac:dyDescent="0.25">
      <c r="A1259" s="2">
        <v>38811</v>
      </c>
      <c r="B1259" t="s">
        <v>22</v>
      </c>
      <c r="C1259" t="s">
        <v>12</v>
      </c>
      <c r="D1259" t="s">
        <v>19</v>
      </c>
      <c r="E1259" t="s">
        <v>25</v>
      </c>
      <c r="F1259" s="3">
        <v>1961.48</v>
      </c>
      <c r="G1259" s="3">
        <v>2615.31</v>
      </c>
      <c r="H1259" s="3">
        <f>Table1[[#This Row],[Sale]]-Table1[[#This Row],[Cost]]</f>
        <v>653.82999999999993</v>
      </c>
      <c r="I1259" s="4">
        <f>Table1[[#This Row],[Profit]]/Table1[[#This Row],[Sale]]</f>
        <v>0.25000095590962446</v>
      </c>
      <c r="J1259" s="5">
        <f t="shared" si="38"/>
        <v>2006</v>
      </c>
      <c r="K1259" s="5">
        <f>MONTH(Table1[[#This Row],[Date]])</f>
        <v>4</v>
      </c>
      <c r="L1259" s="5">
        <f>DAY(Table1[[#This Row],[Date]])</f>
        <v>4</v>
      </c>
      <c r="M1259" s="5" t="str">
        <f t="shared" si="39"/>
        <v>Apr</v>
      </c>
    </row>
    <row r="1260" spans="1:13" x14ac:dyDescent="0.25">
      <c r="A1260" s="2">
        <v>38713</v>
      </c>
      <c r="B1260" t="s">
        <v>26</v>
      </c>
      <c r="C1260" t="s">
        <v>23</v>
      </c>
      <c r="D1260" t="s">
        <v>28</v>
      </c>
      <c r="E1260" t="s">
        <v>25</v>
      </c>
      <c r="F1260" s="3">
        <v>2325.65</v>
      </c>
      <c r="G1260" s="3">
        <v>5168.1099999999997</v>
      </c>
      <c r="H1260" s="3">
        <f>Table1[[#This Row],[Sale]]-Table1[[#This Row],[Cost]]</f>
        <v>2842.4599999999996</v>
      </c>
      <c r="I1260" s="4">
        <f>Table1[[#This Row],[Profit]]/Table1[[#This Row],[Sale]]</f>
        <v>0.54999990325283321</v>
      </c>
      <c r="J1260" s="5">
        <f t="shared" si="38"/>
        <v>2005</v>
      </c>
      <c r="K1260" s="5">
        <f>MONTH(Table1[[#This Row],[Date]])</f>
        <v>12</v>
      </c>
      <c r="L1260" s="5">
        <f>DAY(Table1[[#This Row],[Date]])</f>
        <v>27</v>
      </c>
      <c r="M1260" s="5" t="str">
        <f t="shared" si="39"/>
        <v>Dec</v>
      </c>
    </row>
    <row r="1261" spans="1:13" x14ac:dyDescent="0.25">
      <c r="A1261" s="2">
        <v>38426</v>
      </c>
      <c r="B1261" t="s">
        <v>22</v>
      </c>
      <c r="C1261" t="s">
        <v>12</v>
      </c>
      <c r="D1261" t="s">
        <v>19</v>
      </c>
      <c r="E1261" t="s">
        <v>24</v>
      </c>
      <c r="F1261" s="3">
        <v>1115.8800000000001</v>
      </c>
      <c r="G1261" s="3">
        <v>1268.05</v>
      </c>
      <c r="H1261" s="3">
        <f>Table1[[#This Row],[Sale]]-Table1[[#This Row],[Cost]]</f>
        <v>152.16999999999985</v>
      </c>
      <c r="I1261" s="4">
        <f>Table1[[#This Row],[Profit]]/Table1[[#This Row],[Sale]]</f>
        <v>0.12000315444974556</v>
      </c>
      <c r="J1261" s="5">
        <f t="shared" si="38"/>
        <v>2005</v>
      </c>
      <c r="K1261" s="5">
        <f>MONTH(Table1[[#This Row],[Date]])</f>
        <v>3</v>
      </c>
      <c r="L1261" s="5">
        <f>DAY(Table1[[#This Row],[Date]])</f>
        <v>15</v>
      </c>
      <c r="M1261" s="5" t="str">
        <f t="shared" si="39"/>
        <v>Mar</v>
      </c>
    </row>
    <row r="1262" spans="1:13" x14ac:dyDescent="0.25">
      <c r="A1262" s="2">
        <v>38706</v>
      </c>
      <c r="B1262" t="s">
        <v>21</v>
      </c>
      <c r="C1262" t="s">
        <v>18</v>
      </c>
      <c r="D1262" t="s">
        <v>19</v>
      </c>
      <c r="E1262" t="s">
        <v>20</v>
      </c>
      <c r="F1262" s="3">
        <v>608.66</v>
      </c>
      <c r="G1262" s="3">
        <v>1049.42</v>
      </c>
      <c r="H1262" s="3">
        <f>Table1[[#This Row],[Sale]]-Table1[[#This Row],[Cost]]</f>
        <v>440.7600000000001</v>
      </c>
      <c r="I1262" s="4">
        <f>Table1[[#This Row],[Profit]]/Table1[[#This Row],[Sale]]</f>
        <v>0.42000343046635291</v>
      </c>
      <c r="J1262" s="5">
        <f t="shared" si="38"/>
        <v>2005</v>
      </c>
      <c r="K1262" s="5">
        <f>MONTH(Table1[[#This Row],[Date]])</f>
        <v>12</v>
      </c>
      <c r="L1262" s="5">
        <f>DAY(Table1[[#This Row],[Date]])</f>
        <v>20</v>
      </c>
      <c r="M1262" s="5" t="str">
        <f t="shared" si="39"/>
        <v>Dec</v>
      </c>
    </row>
    <row r="1263" spans="1:13" x14ac:dyDescent="0.25">
      <c r="A1263" s="2">
        <v>38632</v>
      </c>
      <c r="B1263" t="s">
        <v>22</v>
      </c>
      <c r="C1263" t="s">
        <v>12</v>
      </c>
      <c r="D1263" t="s">
        <v>13</v>
      </c>
      <c r="E1263" t="s">
        <v>14</v>
      </c>
      <c r="F1263" s="3">
        <v>3464.64</v>
      </c>
      <c r="G1263" s="3">
        <v>6299.34</v>
      </c>
      <c r="H1263" s="3">
        <f>Table1[[#This Row],[Sale]]-Table1[[#This Row],[Cost]]</f>
        <v>2834.7000000000003</v>
      </c>
      <c r="I1263" s="4">
        <f>Table1[[#This Row],[Profit]]/Table1[[#This Row],[Sale]]</f>
        <v>0.44999952375963198</v>
      </c>
      <c r="J1263" s="5">
        <f t="shared" si="38"/>
        <v>2005</v>
      </c>
      <c r="K1263" s="5">
        <f>MONTH(Table1[[#This Row],[Date]])</f>
        <v>10</v>
      </c>
      <c r="L1263" s="5">
        <f>DAY(Table1[[#This Row],[Date]])</f>
        <v>7</v>
      </c>
      <c r="M1263" s="5" t="str">
        <f t="shared" si="39"/>
        <v>Oct</v>
      </c>
    </row>
    <row r="1264" spans="1:13" x14ac:dyDescent="0.25">
      <c r="A1264" s="2">
        <v>38187</v>
      </c>
      <c r="B1264" t="s">
        <v>21</v>
      </c>
      <c r="C1264" t="s">
        <v>18</v>
      </c>
      <c r="D1264" t="s">
        <v>13</v>
      </c>
      <c r="E1264" t="s">
        <v>20</v>
      </c>
      <c r="F1264" s="3">
        <v>1832.05</v>
      </c>
      <c r="G1264" s="3">
        <v>3105.17</v>
      </c>
      <c r="H1264" s="3">
        <f>Table1[[#This Row],[Sale]]-Table1[[#This Row],[Cost]]</f>
        <v>1273.1200000000001</v>
      </c>
      <c r="I1264" s="4">
        <f>Table1[[#This Row],[Profit]]/Table1[[#This Row],[Sale]]</f>
        <v>0.41000009661306791</v>
      </c>
      <c r="J1264" s="5">
        <f t="shared" si="38"/>
        <v>2004</v>
      </c>
      <c r="K1264" s="5">
        <f>MONTH(Table1[[#This Row],[Date]])</f>
        <v>7</v>
      </c>
      <c r="L1264" s="5">
        <f>DAY(Table1[[#This Row],[Date]])</f>
        <v>19</v>
      </c>
      <c r="M1264" s="5" t="str">
        <f t="shared" si="39"/>
        <v>Jul</v>
      </c>
    </row>
    <row r="1265" spans="1:13" x14ac:dyDescent="0.25">
      <c r="A1265" s="2">
        <v>38365</v>
      </c>
      <c r="B1265" t="s">
        <v>21</v>
      </c>
      <c r="C1265" t="s">
        <v>27</v>
      </c>
      <c r="D1265" t="s">
        <v>28</v>
      </c>
      <c r="E1265" t="s">
        <v>20</v>
      </c>
      <c r="F1265" s="3">
        <v>2235.21</v>
      </c>
      <c r="G1265" s="3">
        <v>2980.28</v>
      </c>
      <c r="H1265" s="3">
        <f>Table1[[#This Row],[Sale]]-Table1[[#This Row],[Cost]]</f>
        <v>745.07000000000016</v>
      </c>
      <c r="I1265" s="4">
        <f>Table1[[#This Row],[Profit]]/Table1[[#This Row],[Sale]]</f>
        <v>0.25000000000000006</v>
      </c>
      <c r="J1265" s="5">
        <f t="shared" si="38"/>
        <v>2005</v>
      </c>
      <c r="K1265" s="5">
        <f>MONTH(Table1[[#This Row],[Date]])</f>
        <v>1</v>
      </c>
      <c r="L1265" s="5">
        <f>DAY(Table1[[#This Row],[Date]])</f>
        <v>13</v>
      </c>
      <c r="M1265" s="5" t="str">
        <f t="shared" si="39"/>
        <v>Jan</v>
      </c>
    </row>
    <row r="1266" spans="1:13" x14ac:dyDescent="0.25">
      <c r="A1266" s="2">
        <v>38229</v>
      </c>
      <c r="B1266" t="s">
        <v>22</v>
      </c>
      <c r="C1266" t="s">
        <v>29</v>
      </c>
      <c r="D1266" t="s">
        <v>28</v>
      </c>
      <c r="E1266" t="s">
        <v>14</v>
      </c>
      <c r="F1266" s="3">
        <v>3131.61</v>
      </c>
      <c r="G1266" s="3">
        <v>7282.82</v>
      </c>
      <c r="H1266" s="3">
        <f>Table1[[#This Row],[Sale]]-Table1[[#This Row],[Cost]]</f>
        <v>4151.2099999999991</v>
      </c>
      <c r="I1266" s="4">
        <f>Table1[[#This Row],[Profit]]/Table1[[#This Row],[Sale]]</f>
        <v>0.57000035700456686</v>
      </c>
      <c r="J1266" s="5">
        <f t="shared" si="38"/>
        <v>2004</v>
      </c>
      <c r="K1266" s="5">
        <f>MONTH(Table1[[#This Row],[Date]])</f>
        <v>8</v>
      </c>
      <c r="L1266" s="5">
        <f>DAY(Table1[[#This Row],[Date]])</f>
        <v>30</v>
      </c>
      <c r="M1266" s="5" t="str">
        <f t="shared" si="39"/>
        <v>Aug</v>
      </c>
    </row>
    <row r="1267" spans="1:13" x14ac:dyDescent="0.25">
      <c r="A1267" s="2">
        <v>38507</v>
      </c>
      <c r="B1267" t="s">
        <v>11</v>
      </c>
      <c r="C1267" t="s">
        <v>18</v>
      </c>
      <c r="D1267" t="s">
        <v>16</v>
      </c>
      <c r="E1267" t="s">
        <v>24</v>
      </c>
      <c r="F1267" s="3">
        <v>7251.87</v>
      </c>
      <c r="G1267" s="3">
        <v>8240.76</v>
      </c>
      <c r="H1267" s="3">
        <f>Table1[[#This Row],[Sale]]-Table1[[#This Row],[Cost]]</f>
        <v>988.89000000000033</v>
      </c>
      <c r="I1267" s="4">
        <f>Table1[[#This Row],[Profit]]/Table1[[#This Row],[Sale]]</f>
        <v>0.11999985438236282</v>
      </c>
      <c r="J1267" s="5">
        <f t="shared" si="38"/>
        <v>2005</v>
      </c>
      <c r="K1267" s="5">
        <f>MONTH(Table1[[#This Row],[Date]])</f>
        <v>6</v>
      </c>
      <c r="L1267" s="5">
        <f>DAY(Table1[[#This Row],[Date]])</f>
        <v>4</v>
      </c>
      <c r="M1267" s="5" t="str">
        <f t="shared" si="39"/>
        <v>Jun</v>
      </c>
    </row>
    <row r="1268" spans="1:13" x14ac:dyDescent="0.25">
      <c r="A1268" s="2">
        <v>38715</v>
      </c>
      <c r="B1268" t="s">
        <v>11</v>
      </c>
      <c r="C1268" t="s">
        <v>18</v>
      </c>
      <c r="D1268" t="s">
        <v>19</v>
      </c>
      <c r="E1268" t="s">
        <v>24</v>
      </c>
      <c r="F1268" s="3">
        <v>3132.68</v>
      </c>
      <c r="G1268" s="3">
        <v>7285.31</v>
      </c>
      <c r="H1268" s="3">
        <f>Table1[[#This Row],[Sale]]-Table1[[#This Row],[Cost]]</f>
        <v>4152.630000000001</v>
      </c>
      <c r="I1268" s="4">
        <f>Table1[[#This Row],[Profit]]/Table1[[#This Row],[Sale]]</f>
        <v>0.57000045296631174</v>
      </c>
      <c r="J1268" s="5">
        <f t="shared" si="38"/>
        <v>2005</v>
      </c>
      <c r="K1268" s="5">
        <f>MONTH(Table1[[#This Row],[Date]])</f>
        <v>12</v>
      </c>
      <c r="L1268" s="5">
        <f>DAY(Table1[[#This Row],[Date]])</f>
        <v>29</v>
      </c>
      <c r="M1268" s="5" t="str">
        <f t="shared" si="39"/>
        <v>Dec</v>
      </c>
    </row>
    <row r="1269" spans="1:13" x14ac:dyDescent="0.25">
      <c r="A1269" s="2">
        <v>38633</v>
      </c>
      <c r="B1269" t="s">
        <v>21</v>
      </c>
      <c r="C1269" t="s">
        <v>18</v>
      </c>
      <c r="D1269" t="s">
        <v>28</v>
      </c>
      <c r="E1269" t="s">
        <v>14</v>
      </c>
      <c r="F1269" s="3">
        <v>2840.89</v>
      </c>
      <c r="G1269" s="3">
        <v>4815.0600000000004</v>
      </c>
      <c r="H1269" s="3">
        <f>Table1[[#This Row],[Sale]]-Table1[[#This Row],[Cost]]</f>
        <v>1974.1700000000005</v>
      </c>
      <c r="I1269" s="4">
        <f>Table1[[#This Row],[Profit]]/Table1[[#This Row],[Sale]]</f>
        <v>0.40999904466403336</v>
      </c>
      <c r="J1269" s="5">
        <f t="shared" si="38"/>
        <v>2005</v>
      </c>
      <c r="K1269" s="5">
        <f>MONTH(Table1[[#This Row],[Date]])</f>
        <v>10</v>
      </c>
      <c r="L1269" s="5">
        <f>DAY(Table1[[#This Row],[Date]])</f>
        <v>8</v>
      </c>
      <c r="M1269" s="5" t="str">
        <f t="shared" si="39"/>
        <v>Oct</v>
      </c>
    </row>
    <row r="1270" spans="1:13" x14ac:dyDescent="0.25">
      <c r="A1270" s="2">
        <v>38318</v>
      </c>
      <c r="B1270" t="s">
        <v>11</v>
      </c>
      <c r="C1270" t="s">
        <v>23</v>
      </c>
      <c r="D1270" t="s">
        <v>28</v>
      </c>
      <c r="E1270" t="s">
        <v>25</v>
      </c>
      <c r="F1270" s="3">
        <v>4085.26</v>
      </c>
      <c r="G1270" s="3">
        <v>4369.26</v>
      </c>
      <c r="H1270" s="3">
        <f>Table1[[#This Row],[Sale]]-Table1[[#This Row],[Cost]]</f>
        <v>284</v>
      </c>
      <c r="I1270" s="4">
        <f>Table1[[#This Row],[Profit]]/Table1[[#This Row],[Sale]]</f>
        <v>6.4999565143754323E-2</v>
      </c>
      <c r="J1270" s="5">
        <f t="shared" si="38"/>
        <v>2004</v>
      </c>
      <c r="K1270" s="5">
        <f>MONTH(Table1[[#This Row],[Date]])</f>
        <v>11</v>
      </c>
      <c r="L1270" s="5">
        <f>DAY(Table1[[#This Row],[Date]])</f>
        <v>27</v>
      </c>
      <c r="M1270" s="5" t="str">
        <f t="shared" si="39"/>
        <v>Nov</v>
      </c>
    </row>
    <row r="1271" spans="1:13" x14ac:dyDescent="0.25">
      <c r="A1271" s="2">
        <v>38290</v>
      </c>
      <c r="B1271" t="s">
        <v>15</v>
      </c>
      <c r="C1271" t="s">
        <v>27</v>
      </c>
      <c r="D1271" t="s">
        <v>13</v>
      </c>
      <c r="E1271" t="s">
        <v>25</v>
      </c>
      <c r="F1271" s="3">
        <v>4481.1400000000003</v>
      </c>
      <c r="G1271" s="3">
        <v>9958.09</v>
      </c>
      <c r="H1271" s="3">
        <f>Table1[[#This Row],[Sale]]-Table1[[#This Row],[Cost]]</f>
        <v>5476.95</v>
      </c>
      <c r="I1271" s="4">
        <f>Table1[[#This Row],[Profit]]/Table1[[#This Row],[Sale]]</f>
        <v>0.55000005021043186</v>
      </c>
      <c r="J1271" s="5">
        <f t="shared" si="38"/>
        <v>2004</v>
      </c>
      <c r="K1271" s="5">
        <f>MONTH(Table1[[#This Row],[Date]])</f>
        <v>10</v>
      </c>
      <c r="L1271" s="5">
        <f>DAY(Table1[[#This Row],[Date]])</f>
        <v>30</v>
      </c>
      <c r="M1271" s="5" t="str">
        <f t="shared" si="39"/>
        <v>Oct</v>
      </c>
    </row>
    <row r="1272" spans="1:13" x14ac:dyDescent="0.25">
      <c r="A1272" s="2">
        <v>38880</v>
      </c>
      <c r="B1272" t="s">
        <v>11</v>
      </c>
      <c r="C1272" t="s">
        <v>29</v>
      </c>
      <c r="D1272" t="s">
        <v>28</v>
      </c>
      <c r="E1272" t="s">
        <v>24</v>
      </c>
      <c r="F1272" s="3">
        <v>2964.48</v>
      </c>
      <c r="G1272" s="3">
        <v>5389.96</v>
      </c>
      <c r="H1272" s="3">
        <f>Table1[[#This Row],[Sale]]-Table1[[#This Row],[Cost]]</f>
        <v>2425.48</v>
      </c>
      <c r="I1272" s="4">
        <f>Table1[[#This Row],[Profit]]/Table1[[#This Row],[Sale]]</f>
        <v>0.44999962893973239</v>
      </c>
      <c r="J1272" s="5">
        <f t="shared" si="38"/>
        <v>2006</v>
      </c>
      <c r="K1272" s="5">
        <f>MONTH(Table1[[#This Row],[Date]])</f>
        <v>6</v>
      </c>
      <c r="L1272" s="5">
        <f>DAY(Table1[[#This Row],[Date]])</f>
        <v>12</v>
      </c>
      <c r="M1272" s="5" t="str">
        <f t="shared" si="39"/>
        <v>Jun</v>
      </c>
    </row>
    <row r="1273" spans="1:13" x14ac:dyDescent="0.25">
      <c r="A1273" s="2">
        <v>38408</v>
      </c>
      <c r="B1273" t="s">
        <v>15</v>
      </c>
      <c r="C1273" t="s">
        <v>18</v>
      </c>
      <c r="D1273" t="s">
        <v>16</v>
      </c>
      <c r="E1273" t="s">
        <v>24</v>
      </c>
      <c r="F1273" s="3">
        <v>4688.1899999999996</v>
      </c>
      <c r="G1273" s="3">
        <v>8083.09</v>
      </c>
      <c r="H1273" s="3">
        <f>Table1[[#This Row],[Sale]]-Table1[[#This Row],[Cost]]</f>
        <v>3394.9000000000005</v>
      </c>
      <c r="I1273" s="4">
        <f>Table1[[#This Row],[Profit]]/Table1[[#This Row],[Sale]]</f>
        <v>0.42000027217314179</v>
      </c>
      <c r="J1273" s="5">
        <f t="shared" si="38"/>
        <v>2005</v>
      </c>
      <c r="K1273" s="5">
        <f>MONTH(Table1[[#This Row],[Date]])</f>
        <v>2</v>
      </c>
      <c r="L1273" s="5">
        <f>DAY(Table1[[#This Row],[Date]])</f>
        <v>25</v>
      </c>
      <c r="M1273" s="5" t="str">
        <f t="shared" si="39"/>
        <v>Feb</v>
      </c>
    </row>
    <row r="1274" spans="1:13" x14ac:dyDescent="0.25">
      <c r="A1274" s="2">
        <v>38487</v>
      </c>
      <c r="B1274" t="s">
        <v>17</v>
      </c>
      <c r="C1274" t="s">
        <v>23</v>
      </c>
      <c r="D1274" t="s">
        <v>16</v>
      </c>
      <c r="E1274" t="s">
        <v>25</v>
      </c>
      <c r="F1274" s="3">
        <v>2720.76</v>
      </c>
      <c r="G1274" s="3">
        <v>2909.9</v>
      </c>
      <c r="H1274" s="3">
        <f>Table1[[#This Row],[Sale]]-Table1[[#This Row],[Cost]]</f>
        <v>189.13999999999987</v>
      </c>
      <c r="I1274" s="4">
        <f>Table1[[#This Row],[Profit]]/Table1[[#This Row],[Sale]]</f>
        <v>6.499879720952606E-2</v>
      </c>
      <c r="J1274" s="5">
        <f t="shared" si="38"/>
        <v>2005</v>
      </c>
      <c r="K1274" s="5">
        <f>MONTH(Table1[[#This Row],[Date]])</f>
        <v>5</v>
      </c>
      <c r="L1274" s="5">
        <f>DAY(Table1[[#This Row],[Date]])</f>
        <v>15</v>
      </c>
      <c r="M1274" s="5" t="str">
        <f t="shared" si="39"/>
        <v>May</v>
      </c>
    </row>
    <row r="1275" spans="1:13" x14ac:dyDescent="0.25">
      <c r="A1275" s="2">
        <v>38531</v>
      </c>
      <c r="B1275" t="s">
        <v>26</v>
      </c>
      <c r="C1275" t="s">
        <v>29</v>
      </c>
      <c r="D1275" t="s">
        <v>28</v>
      </c>
      <c r="E1275" t="s">
        <v>25</v>
      </c>
      <c r="F1275" s="3">
        <v>351.82</v>
      </c>
      <c r="G1275" s="3">
        <v>950.86</v>
      </c>
      <c r="H1275" s="3">
        <f>Table1[[#This Row],[Sale]]-Table1[[#This Row],[Cost]]</f>
        <v>599.04</v>
      </c>
      <c r="I1275" s="4">
        <f>Table1[[#This Row],[Profit]]/Table1[[#This Row],[Sale]]</f>
        <v>0.629998106976842</v>
      </c>
      <c r="J1275" s="5">
        <f t="shared" si="38"/>
        <v>2005</v>
      </c>
      <c r="K1275" s="5">
        <f>MONTH(Table1[[#This Row],[Date]])</f>
        <v>6</v>
      </c>
      <c r="L1275" s="5">
        <f>DAY(Table1[[#This Row],[Date]])</f>
        <v>28</v>
      </c>
      <c r="M1275" s="5" t="str">
        <f t="shared" si="39"/>
        <v>Jun</v>
      </c>
    </row>
    <row r="1276" spans="1:13" x14ac:dyDescent="0.25">
      <c r="A1276" s="2">
        <v>38513</v>
      </c>
      <c r="B1276" t="s">
        <v>26</v>
      </c>
      <c r="C1276" t="s">
        <v>12</v>
      </c>
      <c r="D1276" t="s">
        <v>16</v>
      </c>
      <c r="E1276" t="s">
        <v>14</v>
      </c>
      <c r="F1276" s="3">
        <v>1619.62</v>
      </c>
      <c r="G1276" s="3">
        <v>2159.4899999999998</v>
      </c>
      <c r="H1276" s="3">
        <f>Table1[[#This Row],[Sale]]-Table1[[#This Row],[Cost]]</f>
        <v>539.86999999999989</v>
      </c>
      <c r="I1276" s="4">
        <f>Table1[[#This Row],[Profit]]/Table1[[#This Row],[Sale]]</f>
        <v>0.24999884231925129</v>
      </c>
      <c r="J1276" s="5">
        <f t="shared" si="38"/>
        <v>2005</v>
      </c>
      <c r="K1276" s="5">
        <f>MONTH(Table1[[#This Row],[Date]])</f>
        <v>6</v>
      </c>
      <c r="L1276" s="5">
        <f>DAY(Table1[[#This Row],[Date]])</f>
        <v>10</v>
      </c>
      <c r="M1276" s="5" t="str">
        <f t="shared" si="39"/>
        <v>Jun</v>
      </c>
    </row>
    <row r="1277" spans="1:13" x14ac:dyDescent="0.25">
      <c r="A1277" s="2">
        <v>38772</v>
      </c>
      <c r="B1277" t="s">
        <v>26</v>
      </c>
      <c r="C1277" t="s">
        <v>18</v>
      </c>
      <c r="D1277" t="s">
        <v>19</v>
      </c>
      <c r="E1277" t="s">
        <v>24</v>
      </c>
      <c r="F1277" s="3">
        <v>5772.34</v>
      </c>
      <c r="G1277" s="3">
        <v>6173.63</v>
      </c>
      <c r="H1277" s="3">
        <f>Table1[[#This Row],[Sale]]-Table1[[#This Row],[Cost]]</f>
        <v>401.28999999999996</v>
      </c>
      <c r="I1277" s="4">
        <f>Table1[[#This Row],[Profit]]/Table1[[#This Row],[Sale]]</f>
        <v>6.5000656015990588E-2</v>
      </c>
      <c r="J1277" s="5">
        <f t="shared" si="38"/>
        <v>2006</v>
      </c>
      <c r="K1277" s="5">
        <f>MONTH(Table1[[#This Row],[Date]])</f>
        <v>2</v>
      </c>
      <c r="L1277" s="5">
        <f>DAY(Table1[[#This Row],[Date]])</f>
        <v>24</v>
      </c>
      <c r="M1277" s="5" t="str">
        <f t="shared" si="39"/>
        <v>Feb</v>
      </c>
    </row>
    <row r="1278" spans="1:13" x14ac:dyDescent="0.25">
      <c r="A1278" s="2">
        <v>38301</v>
      </c>
      <c r="B1278" t="s">
        <v>15</v>
      </c>
      <c r="C1278" t="s">
        <v>18</v>
      </c>
      <c r="D1278" t="s">
        <v>19</v>
      </c>
      <c r="E1278" t="s">
        <v>24</v>
      </c>
      <c r="F1278" s="3">
        <v>3426.73</v>
      </c>
      <c r="G1278" s="3">
        <v>6230.42</v>
      </c>
      <c r="H1278" s="3">
        <f>Table1[[#This Row],[Sale]]-Table1[[#This Row],[Cost]]</f>
        <v>2803.69</v>
      </c>
      <c r="I1278" s="4">
        <f>Table1[[#This Row],[Profit]]/Table1[[#This Row],[Sale]]</f>
        <v>0.45000016050282327</v>
      </c>
      <c r="J1278" s="5">
        <f t="shared" si="38"/>
        <v>2004</v>
      </c>
      <c r="K1278" s="5">
        <f>MONTH(Table1[[#This Row],[Date]])</f>
        <v>11</v>
      </c>
      <c r="L1278" s="5">
        <f>DAY(Table1[[#This Row],[Date]])</f>
        <v>10</v>
      </c>
      <c r="M1278" s="5" t="str">
        <f t="shared" si="39"/>
        <v>Nov</v>
      </c>
    </row>
    <row r="1279" spans="1:13" x14ac:dyDescent="0.25">
      <c r="A1279" s="2">
        <v>38221</v>
      </c>
      <c r="B1279" t="s">
        <v>11</v>
      </c>
      <c r="C1279" t="s">
        <v>18</v>
      </c>
      <c r="D1279" t="s">
        <v>19</v>
      </c>
      <c r="E1279" t="s">
        <v>14</v>
      </c>
      <c r="F1279" s="3">
        <v>3605.87</v>
      </c>
      <c r="G1279" s="3">
        <v>6111.65</v>
      </c>
      <c r="H1279" s="3">
        <f>Table1[[#This Row],[Sale]]-Table1[[#This Row],[Cost]]</f>
        <v>2505.7799999999997</v>
      </c>
      <c r="I1279" s="4">
        <f>Table1[[#This Row],[Profit]]/Table1[[#This Row],[Sale]]</f>
        <v>0.41000057267677303</v>
      </c>
      <c r="J1279" s="5">
        <f t="shared" si="38"/>
        <v>2004</v>
      </c>
      <c r="K1279" s="5">
        <f>MONTH(Table1[[#This Row],[Date]])</f>
        <v>8</v>
      </c>
      <c r="L1279" s="5">
        <f>DAY(Table1[[#This Row],[Date]])</f>
        <v>22</v>
      </c>
      <c r="M1279" s="5" t="str">
        <f t="shared" si="39"/>
        <v>Aug</v>
      </c>
    </row>
    <row r="1280" spans="1:13" x14ac:dyDescent="0.25">
      <c r="A1280" s="2">
        <v>38316</v>
      </c>
      <c r="B1280" t="s">
        <v>15</v>
      </c>
      <c r="C1280" t="s">
        <v>12</v>
      </c>
      <c r="D1280" t="s">
        <v>28</v>
      </c>
      <c r="E1280" t="s">
        <v>14</v>
      </c>
      <c r="F1280" s="3">
        <v>1332.11</v>
      </c>
      <c r="G1280" s="3">
        <v>1958.99</v>
      </c>
      <c r="H1280" s="3">
        <f>Table1[[#This Row],[Sale]]-Table1[[#This Row],[Cost]]</f>
        <v>626.88000000000011</v>
      </c>
      <c r="I1280" s="4">
        <f>Table1[[#This Row],[Profit]]/Table1[[#This Row],[Sale]]</f>
        <v>0.32000163349481114</v>
      </c>
      <c r="J1280" s="5">
        <f t="shared" si="38"/>
        <v>2004</v>
      </c>
      <c r="K1280" s="5">
        <f>MONTH(Table1[[#This Row],[Date]])</f>
        <v>11</v>
      </c>
      <c r="L1280" s="5">
        <f>DAY(Table1[[#This Row],[Date]])</f>
        <v>25</v>
      </c>
      <c r="M1280" s="5" t="str">
        <f t="shared" si="39"/>
        <v>Nov</v>
      </c>
    </row>
    <row r="1281" spans="1:13" x14ac:dyDescent="0.25">
      <c r="A1281" s="2">
        <v>38232</v>
      </c>
      <c r="B1281" t="s">
        <v>15</v>
      </c>
      <c r="C1281" t="s">
        <v>23</v>
      </c>
      <c r="D1281" t="s">
        <v>19</v>
      </c>
      <c r="E1281" t="s">
        <v>20</v>
      </c>
      <c r="F1281" s="3">
        <v>3978.63</v>
      </c>
      <c r="G1281" s="3">
        <v>5850.92</v>
      </c>
      <c r="H1281" s="3">
        <f>Table1[[#This Row],[Sale]]-Table1[[#This Row],[Cost]]</f>
        <v>1872.29</v>
      </c>
      <c r="I1281" s="4">
        <f>Table1[[#This Row],[Profit]]/Table1[[#This Row],[Sale]]</f>
        <v>0.31999924798151402</v>
      </c>
      <c r="J1281" s="5">
        <f t="shared" si="38"/>
        <v>2004</v>
      </c>
      <c r="K1281" s="5">
        <f>MONTH(Table1[[#This Row],[Date]])</f>
        <v>9</v>
      </c>
      <c r="L1281" s="5">
        <f>DAY(Table1[[#This Row],[Date]])</f>
        <v>2</v>
      </c>
      <c r="M1281" s="5" t="str">
        <f t="shared" si="39"/>
        <v>Sep</v>
      </c>
    </row>
    <row r="1282" spans="1:13" x14ac:dyDescent="0.25">
      <c r="A1282" s="2">
        <v>38663</v>
      </c>
      <c r="B1282" t="s">
        <v>15</v>
      </c>
      <c r="C1282" t="s">
        <v>18</v>
      </c>
      <c r="D1282" t="s">
        <v>19</v>
      </c>
      <c r="E1282" t="s">
        <v>14</v>
      </c>
      <c r="F1282" s="3">
        <v>5664.73</v>
      </c>
      <c r="G1282" s="3">
        <v>6058.53</v>
      </c>
      <c r="H1282" s="3">
        <f>Table1[[#This Row],[Sale]]-Table1[[#This Row],[Cost]]</f>
        <v>393.80000000000018</v>
      </c>
      <c r="I1282" s="4">
        <f>Table1[[#This Row],[Profit]]/Table1[[#This Row],[Sale]]</f>
        <v>6.4999265498396505E-2</v>
      </c>
      <c r="J1282" s="5">
        <f t="shared" ref="J1282:J1345" si="40">YEAR(A:A)</f>
        <v>2005</v>
      </c>
      <c r="K1282" s="5">
        <f>MONTH(Table1[[#This Row],[Date]])</f>
        <v>11</v>
      </c>
      <c r="L1282" s="5">
        <f>DAY(Table1[[#This Row],[Date]])</f>
        <v>7</v>
      </c>
      <c r="M1282" s="5" t="str">
        <f t="shared" ref="M1282:M1345" si="41">CHOOSE(K1282,"Jan", "Feb", "Mar", "Apr", "May", "Jun", "Jul", "Aug", "Sep", "Oct", "Nov", "Dec")</f>
        <v>Nov</v>
      </c>
    </row>
    <row r="1283" spans="1:13" x14ac:dyDescent="0.25">
      <c r="A1283" s="2">
        <v>38224</v>
      </c>
      <c r="B1283" t="s">
        <v>22</v>
      </c>
      <c r="C1283" t="s">
        <v>23</v>
      </c>
      <c r="D1283" t="s">
        <v>16</v>
      </c>
      <c r="E1283" t="s">
        <v>24</v>
      </c>
      <c r="F1283" s="3">
        <v>666.74</v>
      </c>
      <c r="G1283" s="3">
        <v>1149.56</v>
      </c>
      <c r="H1283" s="3">
        <f>Table1[[#This Row],[Sale]]-Table1[[#This Row],[Cost]]</f>
        <v>482.81999999999994</v>
      </c>
      <c r="I1283" s="4">
        <f>Table1[[#This Row],[Profit]]/Table1[[#This Row],[Sale]]</f>
        <v>0.42000417551063013</v>
      </c>
      <c r="J1283" s="5">
        <f t="shared" si="40"/>
        <v>2004</v>
      </c>
      <c r="K1283" s="5">
        <f>MONTH(Table1[[#This Row],[Date]])</f>
        <v>8</v>
      </c>
      <c r="L1283" s="5">
        <f>DAY(Table1[[#This Row],[Date]])</f>
        <v>25</v>
      </c>
      <c r="M1283" s="5" t="str">
        <f t="shared" si="41"/>
        <v>Aug</v>
      </c>
    </row>
    <row r="1284" spans="1:13" x14ac:dyDescent="0.25">
      <c r="A1284" s="2">
        <v>38481</v>
      </c>
      <c r="B1284" t="s">
        <v>11</v>
      </c>
      <c r="C1284" t="s">
        <v>29</v>
      </c>
      <c r="D1284" t="s">
        <v>19</v>
      </c>
      <c r="E1284" t="s">
        <v>20</v>
      </c>
      <c r="F1284" s="3">
        <v>1059.31</v>
      </c>
      <c r="G1284" s="3">
        <v>2863.01</v>
      </c>
      <c r="H1284" s="3">
        <f>Table1[[#This Row],[Sale]]-Table1[[#This Row],[Cost]]</f>
        <v>1803.7000000000003</v>
      </c>
      <c r="I1284" s="4">
        <f>Table1[[#This Row],[Profit]]/Table1[[#This Row],[Sale]]</f>
        <v>0.6300012923461672</v>
      </c>
      <c r="J1284" s="5">
        <f t="shared" si="40"/>
        <v>2005</v>
      </c>
      <c r="K1284" s="5">
        <f>MONTH(Table1[[#This Row],[Date]])</f>
        <v>5</v>
      </c>
      <c r="L1284" s="5">
        <f>DAY(Table1[[#This Row],[Date]])</f>
        <v>9</v>
      </c>
      <c r="M1284" s="5" t="str">
        <f t="shared" si="41"/>
        <v>May</v>
      </c>
    </row>
    <row r="1285" spans="1:13" x14ac:dyDescent="0.25">
      <c r="A1285" s="2">
        <v>38640</v>
      </c>
      <c r="B1285" t="s">
        <v>22</v>
      </c>
      <c r="C1285" t="s">
        <v>23</v>
      </c>
      <c r="D1285" t="s">
        <v>13</v>
      </c>
      <c r="E1285" t="s">
        <v>20</v>
      </c>
      <c r="F1285" s="3">
        <v>1227.1600000000001</v>
      </c>
      <c r="G1285" s="3">
        <v>1394.5</v>
      </c>
      <c r="H1285" s="3">
        <f>Table1[[#This Row],[Sale]]-Table1[[#This Row],[Cost]]</f>
        <v>167.33999999999992</v>
      </c>
      <c r="I1285" s="4">
        <f>Table1[[#This Row],[Profit]]/Table1[[#This Row],[Sale]]</f>
        <v>0.11999999999999994</v>
      </c>
      <c r="J1285" s="5">
        <f t="shared" si="40"/>
        <v>2005</v>
      </c>
      <c r="K1285" s="5">
        <f>MONTH(Table1[[#This Row],[Date]])</f>
        <v>10</v>
      </c>
      <c r="L1285" s="5">
        <f>DAY(Table1[[#This Row],[Date]])</f>
        <v>15</v>
      </c>
      <c r="M1285" s="5" t="str">
        <f t="shared" si="41"/>
        <v>Oct</v>
      </c>
    </row>
    <row r="1286" spans="1:13" x14ac:dyDescent="0.25">
      <c r="A1286" s="2">
        <v>38437</v>
      </c>
      <c r="B1286" t="s">
        <v>21</v>
      </c>
      <c r="C1286" t="s">
        <v>12</v>
      </c>
      <c r="D1286" t="s">
        <v>16</v>
      </c>
      <c r="E1286" t="s">
        <v>25</v>
      </c>
      <c r="F1286" s="3">
        <v>720.08</v>
      </c>
      <c r="G1286" s="3">
        <v>1674.6</v>
      </c>
      <c r="H1286" s="3">
        <f>Table1[[#This Row],[Sale]]-Table1[[#This Row],[Cost]]</f>
        <v>954.51999999999987</v>
      </c>
      <c r="I1286" s="4">
        <f>Table1[[#This Row],[Profit]]/Table1[[#This Row],[Sale]]</f>
        <v>0.56999880568493966</v>
      </c>
      <c r="J1286" s="5">
        <f t="shared" si="40"/>
        <v>2005</v>
      </c>
      <c r="K1286" s="5">
        <f>MONTH(Table1[[#This Row],[Date]])</f>
        <v>3</v>
      </c>
      <c r="L1286" s="5">
        <f>DAY(Table1[[#This Row],[Date]])</f>
        <v>26</v>
      </c>
      <c r="M1286" s="5" t="str">
        <f t="shared" si="41"/>
        <v>Mar</v>
      </c>
    </row>
    <row r="1287" spans="1:13" x14ac:dyDescent="0.25">
      <c r="A1287" s="2">
        <v>38722</v>
      </c>
      <c r="B1287" t="s">
        <v>15</v>
      </c>
      <c r="C1287" t="s">
        <v>12</v>
      </c>
      <c r="D1287" t="s">
        <v>13</v>
      </c>
      <c r="E1287" t="s">
        <v>24</v>
      </c>
      <c r="F1287" s="3">
        <v>5672.01</v>
      </c>
      <c r="G1287" s="3">
        <v>9613.58</v>
      </c>
      <c r="H1287" s="3">
        <f>Table1[[#This Row],[Sale]]-Table1[[#This Row],[Cost]]</f>
        <v>3941.5699999999997</v>
      </c>
      <c r="I1287" s="4">
        <f>Table1[[#This Row],[Profit]]/Table1[[#This Row],[Sale]]</f>
        <v>0.41000022884294923</v>
      </c>
      <c r="J1287" s="5">
        <f t="shared" si="40"/>
        <v>2006</v>
      </c>
      <c r="K1287" s="5">
        <f>MONTH(Table1[[#This Row],[Date]])</f>
        <v>1</v>
      </c>
      <c r="L1287" s="5">
        <f>DAY(Table1[[#This Row],[Date]])</f>
        <v>5</v>
      </c>
      <c r="M1287" s="5" t="str">
        <f t="shared" si="41"/>
        <v>Jan</v>
      </c>
    </row>
    <row r="1288" spans="1:13" x14ac:dyDescent="0.25">
      <c r="A1288" s="2">
        <v>38721</v>
      </c>
      <c r="B1288" t="s">
        <v>11</v>
      </c>
      <c r="C1288" t="s">
        <v>27</v>
      </c>
      <c r="D1288" t="s">
        <v>13</v>
      </c>
      <c r="E1288" t="s">
        <v>25</v>
      </c>
      <c r="F1288" s="3">
        <v>3082.17</v>
      </c>
      <c r="G1288" s="3">
        <v>7167.84</v>
      </c>
      <c r="H1288" s="3">
        <f>Table1[[#This Row],[Sale]]-Table1[[#This Row],[Cost]]</f>
        <v>4085.67</v>
      </c>
      <c r="I1288" s="4">
        <f>Table1[[#This Row],[Profit]]/Table1[[#This Row],[Sale]]</f>
        <v>0.57000016741445125</v>
      </c>
      <c r="J1288" s="5">
        <f t="shared" si="40"/>
        <v>2006</v>
      </c>
      <c r="K1288" s="5">
        <f>MONTH(Table1[[#This Row],[Date]])</f>
        <v>1</v>
      </c>
      <c r="L1288" s="5">
        <f>DAY(Table1[[#This Row],[Date]])</f>
        <v>4</v>
      </c>
      <c r="M1288" s="5" t="str">
        <f t="shared" si="41"/>
        <v>Jan</v>
      </c>
    </row>
    <row r="1289" spans="1:13" x14ac:dyDescent="0.25">
      <c r="A1289" s="2">
        <v>38314</v>
      </c>
      <c r="B1289" t="s">
        <v>15</v>
      </c>
      <c r="C1289" t="s">
        <v>12</v>
      </c>
      <c r="D1289" t="s">
        <v>19</v>
      </c>
      <c r="E1289" t="s">
        <v>25</v>
      </c>
      <c r="F1289" s="3">
        <v>4699.1099999999997</v>
      </c>
      <c r="G1289" s="3">
        <v>5339.9</v>
      </c>
      <c r="H1289" s="3">
        <f>Table1[[#This Row],[Sale]]-Table1[[#This Row],[Cost]]</f>
        <v>640.79</v>
      </c>
      <c r="I1289" s="4">
        <f>Table1[[#This Row],[Profit]]/Table1[[#This Row],[Sale]]</f>
        <v>0.12000037453884904</v>
      </c>
      <c r="J1289" s="5">
        <f t="shared" si="40"/>
        <v>2004</v>
      </c>
      <c r="K1289" s="5">
        <f>MONTH(Table1[[#This Row],[Date]])</f>
        <v>11</v>
      </c>
      <c r="L1289" s="5">
        <f>DAY(Table1[[#This Row],[Date]])</f>
        <v>23</v>
      </c>
      <c r="M1289" s="5" t="str">
        <f t="shared" si="41"/>
        <v>Nov</v>
      </c>
    </row>
    <row r="1290" spans="1:13" x14ac:dyDescent="0.25">
      <c r="A1290" s="2">
        <v>38864</v>
      </c>
      <c r="B1290" t="s">
        <v>22</v>
      </c>
      <c r="C1290" t="s">
        <v>27</v>
      </c>
      <c r="D1290" t="s">
        <v>13</v>
      </c>
      <c r="E1290" t="s">
        <v>24</v>
      </c>
      <c r="F1290" s="3">
        <v>5422.66</v>
      </c>
      <c r="G1290" s="3">
        <v>7230.22</v>
      </c>
      <c r="H1290" s="3">
        <f>Table1[[#This Row],[Sale]]-Table1[[#This Row],[Cost]]</f>
        <v>1807.5600000000004</v>
      </c>
      <c r="I1290" s="4">
        <f>Table1[[#This Row],[Profit]]/Table1[[#This Row],[Sale]]</f>
        <v>0.25000069154188953</v>
      </c>
      <c r="J1290" s="5">
        <f t="shared" si="40"/>
        <v>2006</v>
      </c>
      <c r="K1290" s="5">
        <f>MONTH(Table1[[#This Row],[Date]])</f>
        <v>5</v>
      </c>
      <c r="L1290" s="5">
        <f>DAY(Table1[[#This Row],[Date]])</f>
        <v>27</v>
      </c>
      <c r="M1290" s="5" t="str">
        <f t="shared" si="41"/>
        <v>May</v>
      </c>
    </row>
    <row r="1291" spans="1:13" x14ac:dyDescent="0.25">
      <c r="A1291" s="2">
        <v>38793</v>
      </c>
      <c r="B1291" t="s">
        <v>11</v>
      </c>
      <c r="C1291" t="s">
        <v>23</v>
      </c>
      <c r="D1291" t="s">
        <v>28</v>
      </c>
      <c r="E1291" t="s">
        <v>14</v>
      </c>
      <c r="F1291" s="3">
        <v>6362.74</v>
      </c>
      <c r="G1291" s="3">
        <v>6805.07</v>
      </c>
      <c r="H1291" s="3">
        <f>Table1[[#This Row],[Sale]]-Table1[[#This Row],[Cost]]</f>
        <v>442.32999999999993</v>
      </c>
      <c r="I1291" s="4">
        <f>Table1[[#This Row],[Profit]]/Table1[[#This Row],[Sale]]</f>
        <v>6.5000066127166939E-2</v>
      </c>
      <c r="J1291" s="5">
        <f t="shared" si="40"/>
        <v>2006</v>
      </c>
      <c r="K1291" s="5">
        <f>MONTH(Table1[[#This Row],[Date]])</f>
        <v>3</v>
      </c>
      <c r="L1291" s="5">
        <f>DAY(Table1[[#This Row],[Date]])</f>
        <v>17</v>
      </c>
      <c r="M1291" s="5" t="str">
        <f t="shared" si="41"/>
        <v>Mar</v>
      </c>
    </row>
    <row r="1292" spans="1:13" x14ac:dyDescent="0.25">
      <c r="A1292" s="2">
        <v>38691</v>
      </c>
      <c r="B1292" t="s">
        <v>21</v>
      </c>
      <c r="C1292" t="s">
        <v>23</v>
      </c>
      <c r="D1292" t="s">
        <v>16</v>
      </c>
      <c r="E1292" t="s">
        <v>24</v>
      </c>
      <c r="F1292" s="3">
        <v>1323.12</v>
      </c>
      <c r="G1292" s="3">
        <v>2242.5700000000002</v>
      </c>
      <c r="H1292" s="3">
        <f>Table1[[#This Row],[Sale]]-Table1[[#This Row],[Cost]]</f>
        <v>919.45000000000027</v>
      </c>
      <c r="I1292" s="4">
        <f>Table1[[#This Row],[Profit]]/Table1[[#This Row],[Sale]]</f>
        <v>0.40999835010724311</v>
      </c>
      <c r="J1292" s="5">
        <f t="shared" si="40"/>
        <v>2005</v>
      </c>
      <c r="K1292" s="5">
        <f>MONTH(Table1[[#This Row],[Date]])</f>
        <v>12</v>
      </c>
      <c r="L1292" s="5">
        <f>DAY(Table1[[#This Row],[Date]])</f>
        <v>5</v>
      </c>
      <c r="M1292" s="5" t="str">
        <f t="shared" si="41"/>
        <v>Dec</v>
      </c>
    </row>
    <row r="1293" spans="1:13" x14ac:dyDescent="0.25">
      <c r="A1293" s="2">
        <v>38863</v>
      </c>
      <c r="B1293" t="s">
        <v>21</v>
      </c>
      <c r="C1293" t="s">
        <v>23</v>
      </c>
      <c r="D1293" t="s">
        <v>19</v>
      </c>
      <c r="E1293" t="s">
        <v>24</v>
      </c>
      <c r="F1293" s="3">
        <v>194.82</v>
      </c>
      <c r="G1293" s="3">
        <v>354.22</v>
      </c>
      <c r="H1293" s="3">
        <f>Table1[[#This Row],[Sale]]-Table1[[#This Row],[Cost]]</f>
        <v>159.40000000000003</v>
      </c>
      <c r="I1293" s="4">
        <f>Table1[[#This Row],[Profit]]/Table1[[#This Row],[Sale]]</f>
        <v>0.45000282310428552</v>
      </c>
      <c r="J1293" s="5">
        <f t="shared" si="40"/>
        <v>2006</v>
      </c>
      <c r="K1293" s="5">
        <f>MONTH(Table1[[#This Row],[Date]])</f>
        <v>5</v>
      </c>
      <c r="L1293" s="5">
        <f>DAY(Table1[[#This Row],[Date]])</f>
        <v>26</v>
      </c>
      <c r="M1293" s="5" t="str">
        <f t="shared" si="41"/>
        <v>May</v>
      </c>
    </row>
    <row r="1294" spans="1:13" x14ac:dyDescent="0.25">
      <c r="A1294" s="2">
        <v>38638</v>
      </c>
      <c r="B1294" t="s">
        <v>22</v>
      </c>
      <c r="C1294" t="s">
        <v>29</v>
      </c>
      <c r="D1294" t="s">
        <v>28</v>
      </c>
      <c r="E1294" t="s">
        <v>14</v>
      </c>
      <c r="F1294" s="3">
        <v>2704.59</v>
      </c>
      <c r="G1294" s="3">
        <v>3073.4</v>
      </c>
      <c r="H1294" s="3">
        <f>Table1[[#This Row],[Sale]]-Table1[[#This Row],[Cost]]</f>
        <v>368.80999999999995</v>
      </c>
      <c r="I1294" s="4">
        <f>Table1[[#This Row],[Profit]]/Table1[[#This Row],[Sale]]</f>
        <v>0.12000065074510312</v>
      </c>
      <c r="J1294" s="5">
        <f t="shared" si="40"/>
        <v>2005</v>
      </c>
      <c r="K1294" s="5">
        <f>MONTH(Table1[[#This Row],[Date]])</f>
        <v>10</v>
      </c>
      <c r="L1294" s="5">
        <f>DAY(Table1[[#This Row],[Date]])</f>
        <v>13</v>
      </c>
      <c r="M1294" s="5" t="str">
        <f t="shared" si="41"/>
        <v>Oct</v>
      </c>
    </row>
    <row r="1295" spans="1:13" x14ac:dyDescent="0.25">
      <c r="A1295" s="2">
        <v>38440</v>
      </c>
      <c r="B1295" t="s">
        <v>26</v>
      </c>
      <c r="C1295" t="s">
        <v>23</v>
      </c>
      <c r="D1295" t="s">
        <v>16</v>
      </c>
      <c r="E1295" t="s">
        <v>25</v>
      </c>
      <c r="F1295" s="3">
        <v>4345.09</v>
      </c>
      <c r="G1295" s="3">
        <v>7491.54</v>
      </c>
      <c r="H1295" s="3">
        <f>Table1[[#This Row],[Sale]]-Table1[[#This Row],[Cost]]</f>
        <v>3146.45</v>
      </c>
      <c r="I1295" s="4">
        <f>Table1[[#This Row],[Profit]]/Table1[[#This Row],[Sale]]</f>
        <v>0.42000042714849012</v>
      </c>
      <c r="J1295" s="5">
        <f t="shared" si="40"/>
        <v>2005</v>
      </c>
      <c r="K1295" s="5">
        <f>MONTH(Table1[[#This Row],[Date]])</f>
        <v>3</v>
      </c>
      <c r="L1295" s="5">
        <f>DAY(Table1[[#This Row],[Date]])</f>
        <v>29</v>
      </c>
      <c r="M1295" s="5" t="str">
        <f t="shared" si="41"/>
        <v>Mar</v>
      </c>
    </row>
    <row r="1296" spans="1:13" x14ac:dyDescent="0.25">
      <c r="A1296" s="2">
        <v>38436</v>
      </c>
      <c r="B1296" t="s">
        <v>22</v>
      </c>
      <c r="C1296" t="s">
        <v>18</v>
      </c>
      <c r="D1296" t="s">
        <v>13</v>
      </c>
      <c r="E1296" t="s">
        <v>25</v>
      </c>
      <c r="F1296" s="3">
        <v>2360.19</v>
      </c>
      <c r="G1296" s="3">
        <v>3146.92</v>
      </c>
      <c r="H1296" s="3">
        <f>Table1[[#This Row],[Sale]]-Table1[[#This Row],[Cost]]</f>
        <v>786.73</v>
      </c>
      <c r="I1296" s="4">
        <f>Table1[[#This Row],[Profit]]/Table1[[#This Row],[Sale]]</f>
        <v>0.25</v>
      </c>
      <c r="J1296" s="5">
        <f t="shared" si="40"/>
        <v>2005</v>
      </c>
      <c r="K1296" s="5">
        <f>MONTH(Table1[[#This Row],[Date]])</f>
        <v>3</v>
      </c>
      <c r="L1296" s="5">
        <f>DAY(Table1[[#This Row],[Date]])</f>
        <v>25</v>
      </c>
      <c r="M1296" s="5" t="str">
        <f t="shared" si="41"/>
        <v>Mar</v>
      </c>
    </row>
    <row r="1297" spans="1:13" x14ac:dyDescent="0.25">
      <c r="A1297" s="2">
        <v>38761</v>
      </c>
      <c r="B1297" t="s">
        <v>17</v>
      </c>
      <c r="C1297" t="s">
        <v>23</v>
      </c>
      <c r="D1297" t="s">
        <v>19</v>
      </c>
      <c r="E1297" t="s">
        <v>25</v>
      </c>
      <c r="F1297" s="3">
        <v>6647.98</v>
      </c>
      <c r="G1297" s="3">
        <v>8863.9699999999993</v>
      </c>
      <c r="H1297" s="3">
        <f>Table1[[#This Row],[Sale]]-Table1[[#This Row],[Cost]]</f>
        <v>2215.9899999999998</v>
      </c>
      <c r="I1297" s="4">
        <f>Table1[[#This Row],[Profit]]/Table1[[#This Row],[Sale]]</f>
        <v>0.24999971795933423</v>
      </c>
      <c r="J1297" s="5">
        <f t="shared" si="40"/>
        <v>2006</v>
      </c>
      <c r="K1297" s="5">
        <f>MONTH(Table1[[#This Row],[Date]])</f>
        <v>2</v>
      </c>
      <c r="L1297" s="5">
        <f>DAY(Table1[[#This Row],[Date]])</f>
        <v>13</v>
      </c>
      <c r="M1297" s="5" t="str">
        <f t="shared" si="41"/>
        <v>Feb</v>
      </c>
    </row>
    <row r="1298" spans="1:13" x14ac:dyDescent="0.25">
      <c r="A1298" s="2">
        <v>38790</v>
      </c>
      <c r="B1298" t="s">
        <v>17</v>
      </c>
      <c r="C1298" t="s">
        <v>12</v>
      </c>
      <c r="D1298" t="s">
        <v>13</v>
      </c>
      <c r="E1298" t="s">
        <v>14</v>
      </c>
      <c r="F1298" s="3">
        <v>1804.02</v>
      </c>
      <c r="G1298" s="3">
        <v>1929.43</v>
      </c>
      <c r="H1298" s="3">
        <f>Table1[[#This Row],[Sale]]-Table1[[#This Row],[Cost]]</f>
        <v>125.41000000000008</v>
      </c>
      <c r="I1298" s="4">
        <f>Table1[[#This Row],[Profit]]/Table1[[#This Row],[Sale]]</f>
        <v>6.4998471051035844E-2</v>
      </c>
      <c r="J1298" s="5">
        <f t="shared" si="40"/>
        <v>2006</v>
      </c>
      <c r="K1298" s="5">
        <f>MONTH(Table1[[#This Row],[Date]])</f>
        <v>3</v>
      </c>
      <c r="L1298" s="5">
        <f>DAY(Table1[[#This Row],[Date]])</f>
        <v>14</v>
      </c>
      <c r="M1298" s="5" t="str">
        <f t="shared" si="41"/>
        <v>Mar</v>
      </c>
    </row>
    <row r="1299" spans="1:13" x14ac:dyDescent="0.25">
      <c r="A1299" s="2">
        <v>38559</v>
      </c>
      <c r="B1299" t="s">
        <v>22</v>
      </c>
      <c r="C1299" t="s">
        <v>12</v>
      </c>
      <c r="D1299" t="s">
        <v>19</v>
      </c>
      <c r="E1299" t="s">
        <v>20</v>
      </c>
      <c r="F1299" s="3">
        <v>749.5</v>
      </c>
      <c r="G1299" s="3">
        <v>1292.25</v>
      </c>
      <c r="H1299" s="3">
        <f>Table1[[#This Row],[Sale]]-Table1[[#This Row],[Cost]]</f>
        <v>542.75</v>
      </c>
      <c r="I1299" s="4">
        <f>Table1[[#This Row],[Profit]]/Table1[[#This Row],[Sale]]</f>
        <v>0.4200038692203521</v>
      </c>
      <c r="J1299" s="5">
        <f t="shared" si="40"/>
        <v>2005</v>
      </c>
      <c r="K1299" s="5">
        <f>MONTH(Table1[[#This Row],[Date]])</f>
        <v>7</v>
      </c>
      <c r="L1299" s="5">
        <f>DAY(Table1[[#This Row],[Date]])</f>
        <v>26</v>
      </c>
      <c r="M1299" s="5" t="str">
        <f t="shared" si="41"/>
        <v>Jul</v>
      </c>
    </row>
    <row r="1300" spans="1:13" x14ac:dyDescent="0.25">
      <c r="A1300" s="2">
        <v>38806</v>
      </c>
      <c r="B1300" t="s">
        <v>21</v>
      </c>
      <c r="C1300" t="s">
        <v>23</v>
      </c>
      <c r="D1300" t="s">
        <v>16</v>
      </c>
      <c r="E1300" t="s">
        <v>14</v>
      </c>
      <c r="F1300" s="3">
        <v>3133.12</v>
      </c>
      <c r="G1300" s="3">
        <v>6962.5</v>
      </c>
      <c r="H1300" s="3">
        <f>Table1[[#This Row],[Sale]]-Table1[[#This Row],[Cost]]</f>
        <v>3829.38</v>
      </c>
      <c r="I1300" s="4">
        <f>Table1[[#This Row],[Profit]]/Table1[[#This Row],[Sale]]</f>
        <v>0.55000071813285456</v>
      </c>
      <c r="J1300" s="5">
        <f t="shared" si="40"/>
        <v>2006</v>
      </c>
      <c r="K1300" s="5">
        <f>MONTH(Table1[[#This Row],[Date]])</f>
        <v>3</v>
      </c>
      <c r="L1300" s="5">
        <f>DAY(Table1[[#This Row],[Date]])</f>
        <v>30</v>
      </c>
      <c r="M1300" s="5" t="str">
        <f t="shared" si="41"/>
        <v>Mar</v>
      </c>
    </row>
    <row r="1301" spans="1:13" x14ac:dyDescent="0.25">
      <c r="A1301" s="2">
        <v>38555</v>
      </c>
      <c r="B1301" t="s">
        <v>17</v>
      </c>
      <c r="C1301" t="s">
        <v>18</v>
      </c>
      <c r="D1301" t="s">
        <v>13</v>
      </c>
      <c r="E1301" t="s">
        <v>25</v>
      </c>
      <c r="F1301" s="3">
        <v>3982.41</v>
      </c>
      <c r="G1301" s="3">
        <v>9261.43</v>
      </c>
      <c r="H1301" s="3">
        <f>Table1[[#This Row],[Sale]]-Table1[[#This Row],[Cost]]</f>
        <v>5279.02</v>
      </c>
      <c r="I1301" s="4">
        <f>Table1[[#This Row],[Profit]]/Table1[[#This Row],[Sale]]</f>
        <v>0.57000052907596344</v>
      </c>
      <c r="J1301" s="5">
        <f t="shared" si="40"/>
        <v>2005</v>
      </c>
      <c r="K1301" s="5">
        <f>MONTH(Table1[[#This Row],[Date]])</f>
        <v>7</v>
      </c>
      <c r="L1301" s="5">
        <f>DAY(Table1[[#This Row],[Date]])</f>
        <v>22</v>
      </c>
      <c r="M1301" s="5" t="str">
        <f t="shared" si="41"/>
        <v>Jul</v>
      </c>
    </row>
    <row r="1302" spans="1:13" x14ac:dyDescent="0.25">
      <c r="A1302" s="2">
        <v>38269</v>
      </c>
      <c r="B1302" t="s">
        <v>17</v>
      </c>
      <c r="C1302" t="s">
        <v>27</v>
      </c>
      <c r="D1302" t="s">
        <v>13</v>
      </c>
      <c r="E1302" t="s">
        <v>14</v>
      </c>
      <c r="F1302" s="3">
        <v>3347.67</v>
      </c>
      <c r="G1302" s="3">
        <v>7439.26</v>
      </c>
      <c r="H1302" s="3">
        <f>Table1[[#This Row],[Sale]]-Table1[[#This Row],[Cost]]</f>
        <v>4091.59</v>
      </c>
      <c r="I1302" s="4">
        <f>Table1[[#This Row],[Profit]]/Table1[[#This Row],[Sale]]</f>
        <v>0.54999959673408372</v>
      </c>
      <c r="J1302" s="5">
        <f t="shared" si="40"/>
        <v>2004</v>
      </c>
      <c r="K1302" s="5">
        <f>MONTH(Table1[[#This Row],[Date]])</f>
        <v>10</v>
      </c>
      <c r="L1302" s="5">
        <f>DAY(Table1[[#This Row],[Date]])</f>
        <v>9</v>
      </c>
      <c r="M1302" s="5" t="str">
        <f t="shared" si="41"/>
        <v>Oct</v>
      </c>
    </row>
    <row r="1303" spans="1:13" x14ac:dyDescent="0.25">
      <c r="A1303" s="2">
        <v>38737</v>
      </c>
      <c r="B1303" t="s">
        <v>26</v>
      </c>
      <c r="C1303" t="s">
        <v>12</v>
      </c>
      <c r="D1303" t="s">
        <v>16</v>
      </c>
      <c r="E1303" t="s">
        <v>20</v>
      </c>
      <c r="F1303" s="3">
        <v>5095.41</v>
      </c>
      <c r="G1303" s="3">
        <v>6793.88</v>
      </c>
      <c r="H1303" s="3">
        <f>Table1[[#This Row],[Sale]]-Table1[[#This Row],[Cost]]</f>
        <v>1698.4700000000003</v>
      </c>
      <c r="I1303" s="4">
        <f>Table1[[#This Row],[Profit]]/Table1[[#This Row],[Sale]]</f>
        <v>0.25000000000000006</v>
      </c>
      <c r="J1303" s="5">
        <f t="shared" si="40"/>
        <v>2006</v>
      </c>
      <c r="K1303" s="5">
        <f>MONTH(Table1[[#This Row],[Date]])</f>
        <v>1</v>
      </c>
      <c r="L1303" s="5">
        <f>DAY(Table1[[#This Row],[Date]])</f>
        <v>20</v>
      </c>
      <c r="M1303" s="5" t="str">
        <f t="shared" si="41"/>
        <v>Jan</v>
      </c>
    </row>
    <row r="1304" spans="1:13" x14ac:dyDescent="0.25">
      <c r="A1304" s="2">
        <v>38354</v>
      </c>
      <c r="B1304" t="s">
        <v>17</v>
      </c>
      <c r="C1304" t="s">
        <v>27</v>
      </c>
      <c r="D1304" t="s">
        <v>28</v>
      </c>
      <c r="E1304" t="s">
        <v>14</v>
      </c>
      <c r="F1304" s="3">
        <v>4158.2</v>
      </c>
      <c r="G1304" s="3">
        <v>5544.26</v>
      </c>
      <c r="H1304" s="3">
        <f>Table1[[#This Row],[Sale]]-Table1[[#This Row],[Cost]]</f>
        <v>1386.0600000000004</v>
      </c>
      <c r="I1304" s="4">
        <f>Table1[[#This Row],[Profit]]/Table1[[#This Row],[Sale]]</f>
        <v>0.24999909816639196</v>
      </c>
      <c r="J1304" s="5">
        <f t="shared" si="40"/>
        <v>2005</v>
      </c>
      <c r="K1304" s="5">
        <f>MONTH(Table1[[#This Row],[Date]])</f>
        <v>1</v>
      </c>
      <c r="L1304" s="5">
        <f>DAY(Table1[[#This Row],[Date]])</f>
        <v>2</v>
      </c>
      <c r="M1304" s="5" t="str">
        <f t="shared" si="41"/>
        <v>Jan</v>
      </c>
    </row>
    <row r="1305" spans="1:13" x14ac:dyDescent="0.25">
      <c r="A1305" s="2">
        <v>38345</v>
      </c>
      <c r="B1305" t="s">
        <v>11</v>
      </c>
      <c r="C1305" t="s">
        <v>12</v>
      </c>
      <c r="D1305" t="s">
        <v>19</v>
      </c>
      <c r="E1305" t="s">
        <v>24</v>
      </c>
      <c r="F1305" s="3">
        <v>322.38</v>
      </c>
      <c r="G1305" s="3">
        <v>555.82000000000005</v>
      </c>
      <c r="H1305" s="3">
        <f>Table1[[#This Row],[Sale]]-Table1[[#This Row],[Cost]]</f>
        <v>233.44000000000005</v>
      </c>
      <c r="I1305" s="4">
        <f>Table1[[#This Row],[Profit]]/Table1[[#This Row],[Sale]]</f>
        <v>0.41999208376812641</v>
      </c>
      <c r="J1305" s="5">
        <f t="shared" si="40"/>
        <v>2004</v>
      </c>
      <c r="K1305" s="5">
        <f>MONTH(Table1[[#This Row],[Date]])</f>
        <v>12</v>
      </c>
      <c r="L1305" s="5">
        <f>DAY(Table1[[#This Row],[Date]])</f>
        <v>24</v>
      </c>
      <c r="M1305" s="5" t="str">
        <f t="shared" si="41"/>
        <v>Dec</v>
      </c>
    </row>
    <row r="1306" spans="1:13" x14ac:dyDescent="0.25">
      <c r="A1306" s="2">
        <v>38821</v>
      </c>
      <c r="B1306" t="s">
        <v>21</v>
      </c>
      <c r="C1306" t="s">
        <v>27</v>
      </c>
      <c r="D1306" t="s">
        <v>19</v>
      </c>
      <c r="E1306" t="s">
        <v>20</v>
      </c>
      <c r="F1306" s="3">
        <v>189.83</v>
      </c>
      <c r="G1306" s="3">
        <v>203.03</v>
      </c>
      <c r="H1306" s="3">
        <f>Table1[[#This Row],[Sale]]-Table1[[#This Row],[Cost]]</f>
        <v>13.199999999999989</v>
      </c>
      <c r="I1306" s="4">
        <f>Table1[[#This Row],[Profit]]/Table1[[#This Row],[Sale]]</f>
        <v>6.5015022410481155E-2</v>
      </c>
      <c r="J1306" s="5">
        <f t="shared" si="40"/>
        <v>2006</v>
      </c>
      <c r="K1306" s="5">
        <f>MONTH(Table1[[#This Row],[Date]])</f>
        <v>4</v>
      </c>
      <c r="L1306" s="5">
        <f>DAY(Table1[[#This Row],[Date]])</f>
        <v>14</v>
      </c>
      <c r="M1306" s="5" t="str">
        <f t="shared" si="41"/>
        <v>Apr</v>
      </c>
    </row>
    <row r="1307" spans="1:13" x14ac:dyDescent="0.25">
      <c r="A1307" s="2">
        <v>38847</v>
      </c>
      <c r="B1307" t="s">
        <v>15</v>
      </c>
      <c r="C1307" t="s">
        <v>12</v>
      </c>
      <c r="D1307" t="s">
        <v>28</v>
      </c>
      <c r="E1307" t="s">
        <v>20</v>
      </c>
      <c r="F1307" s="3">
        <v>4030.73</v>
      </c>
      <c r="G1307" s="3">
        <v>7328.6</v>
      </c>
      <c r="H1307" s="3">
        <f>Table1[[#This Row],[Sale]]-Table1[[#This Row],[Cost]]</f>
        <v>3297.8700000000003</v>
      </c>
      <c r="I1307" s="4">
        <f>Table1[[#This Row],[Profit]]/Table1[[#This Row],[Sale]]</f>
        <v>0.45</v>
      </c>
      <c r="J1307" s="5">
        <f t="shared" si="40"/>
        <v>2006</v>
      </c>
      <c r="K1307" s="5">
        <f>MONTH(Table1[[#This Row],[Date]])</f>
        <v>5</v>
      </c>
      <c r="L1307" s="5">
        <f>DAY(Table1[[#This Row],[Date]])</f>
        <v>10</v>
      </c>
      <c r="M1307" s="5" t="str">
        <f t="shared" si="41"/>
        <v>May</v>
      </c>
    </row>
    <row r="1308" spans="1:13" x14ac:dyDescent="0.25">
      <c r="A1308" s="2">
        <v>38239</v>
      </c>
      <c r="B1308" t="s">
        <v>15</v>
      </c>
      <c r="C1308" t="s">
        <v>23</v>
      </c>
      <c r="D1308" t="s">
        <v>16</v>
      </c>
      <c r="E1308" t="s">
        <v>24</v>
      </c>
      <c r="F1308" s="3">
        <v>9317.9699999999993</v>
      </c>
      <c r="G1308" s="3">
        <v>9965.74</v>
      </c>
      <c r="H1308" s="3">
        <f>Table1[[#This Row],[Sale]]-Table1[[#This Row],[Cost]]</f>
        <v>647.77000000000044</v>
      </c>
      <c r="I1308" s="4">
        <f>Table1[[#This Row],[Profit]]/Table1[[#This Row],[Sale]]</f>
        <v>6.4999688934288924E-2</v>
      </c>
      <c r="J1308" s="5">
        <f t="shared" si="40"/>
        <v>2004</v>
      </c>
      <c r="K1308" s="5">
        <f>MONTH(Table1[[#This Row],[Date]])</f>
        <v>9</v>
      </c>
      <c r="L1308" s="5">
        <f>DAY(Table1[[#This Row],[Date]])</f>
        <v>9</v>
      </c>
      <c r="M1308" s="5" t="str">
        <f t="shared" si="41"/>
        <v>Sep</v>
      </c>
    </row>
    <row r="1309" spans="1:13" x14ac:dyDescent="0.25">
      <c r="A1309" s="2">
        <v>38841</v>
      </c>
      <c r="B1309" t="s">
        <v>11</v>
      </c>
      <c r="C1309" t="s">
        <v>23</v>
      </c>
      <c r="D1309" t="s">
        <v>28</v>
      </c>
      <c r="E1309" t="s">
        <v>24</v>
      </c>
      <c r="F1309" s="3">
        <v>7980.08</v>
      </c>
      <c r="G1309" s="3">
        <v>8534.85</v>
      </c>
      <c r="H1309" s="3">
        <f>Table1[[#This Row],[Sale]]-Table1[[#This Row],[Cost]]</f>
        <v>554.77000000000044</v>
      </c>
      <c r="I1309" s="4">
        <f>Table1[[#This Row],[Profit]]/Table1[[#This Row],[Sale]]</f>
        <v>6.5000556541708457E-2</v>
      </c>
      <c r="J1309" s="5">
        <f t="shared" si="40"/>
        <v>2006</v>
      </c>
      <c r="K1309" s="5">
        <f>MONTH(Table1[[#This Row],[Date]])</f>
        <v>5</v>
      </c>
      <c r="L1309" s="5">
        <f>DAY(Table1[[#This Row],[Date]])</f>
        <v>4</v>
      </c>
      <c r="M1309" s="5" t="str">
        <f t="shared" si="41"/>
        <v>May</v>
      </c>
    </row>
    <row r="1310" spans="1:13" x14ac:dyDescent="0.25">
      <c r="A1310" s="2">
        <v>38170</v>
      </c>
      <c r="B1310" t="s">
        <v>17</v>
      </c>
      <c r="C1310" t="s">
        <v>27</v>
      </c>
      <c r="D1310" t="s">
        <v>28</v>
      </c>
      <c r="E1310" t="s">
        <v>24</v>
      </c>
      <c r="F1310" s="3">
        <v>836.18</v>
      </c>
      <c r="G1310" s="3">
        <v>1520.32</v>
      </c>
      <c r="H1310" s="3">
        <f>Table1[[#This Row],[Sale]]-Table1[[#This Row],[Cost]]</f>
        <v>684.14</v>
      </c>
      <c r="I1310" s="4">
        <f>Table1[[#This Row],[Profit]]/Table1[[#This Row],[Sale]]</f>
        <v>0.44999736897495263</v>
      </c>
      <c r="J1310" s="5">
        <f t="shared" si="40"/>
        <v>2004</v>
      </c>
      <c r="K1310" s="5">
        <f>MONTH(Table1[[#This Row],[Date]])</f>
        <v>7</v>
      </c>
      <c r="L1310" s="5">
        <f>DAY(Table1[[#This Row],[Date]])</f>
        <v>2</v>
      </c>
      <c r="M1310" s="5" t="str">
        <f t="shared" si="41"/>
        <v>Jul</v>
      </c>
    </row>
    <row r="1311" spans="1:13" x14ac:dyDescent="0.25">
      <c r="A1311" s="2">
        <v>38691</v>
      </c>
      <c r="B1311" t="s">
        <v>15</v>
      </c>
      <c r="C1311" t="s">
        <v>18</v>
      </c>
      <c r="D1311" t="s">
        <v>16</v>
      </c>
      <c r="E1311" t="s">
        <v>25</v>
      </c>
      <c r="F1311" s="3">
        <v>851.62</v>
      </c>
      <c r="G1311" s="3">
        <v>2301.6799999999998</v>
      </c>
      <c r="H1311" s="3">
        <f>Table1[[#This Row],[Sale]]-Table1[[#This Row],[Cost]]</f>
        <v>1450.06</v>
      </c>
      <c r="I1311" s="4">
        <f>Table1[[#This Row],[Profit]]/Table1[[#This Row],[Sale]]</f>
        <v>0.63000069514441626</v>
      </c>
      <c r="J1311" s="5">
        <f t="shared" si="40"/>
        <v>2005</v>
      </c>
      <c r="K1311" s="5">
        <f>MONTH(Table1[[#This Row],[Date]])</f>
        <v>12</v>
      </c>
      <c r="L1311" s="5">
        <f>DAY(Table1[[#This Row],[Date]])</f>
        <v>5</v>
      </c>
      <c r="M1311" s="5" t="str">
        <f t="shared" si="41"/>
        <v>Dec</v>
      </c>
    </row>
    <row r="1312" spans="1:13" x14ac:dyDescent="0.25">
      <c r="A1312" s="2">
        <v>38606</v>
      </c>
      <c r="B1312" t="s">
        <v>15</v>
      </c>
      <c r="C1312" t="s">
        <v>29</v>
      </c>
      <c r="D1312" t="s">
        <v>19</v>
      </c>
      <c r="E1312" t="s">
        <v>14</v>
      </c>
      <c r="F1312" s="3">
        <v>2715.54</v>
      </c>
      <c r="G1312" s="3">
        <v>4681.97</v>
      </c>
      <c r="H1312" s="3">
        <f>Table1[[#This Row],[Sale]]-Table1[[#This Row],[Cost]]</f>
        <v>1966.4300000000003</v>
      </c>
      <c r="I1312" s="4">
        <f>Table1[[#This Row],[Profit]]/Table1[[#This Row],[Sale]]</f>
        <v>0.42000055532179836</v>
      </c>
      <c r="J1312" s="5">
        <f t="shared" si="40"/>
        <v>2005</v>
      </c>
      <c r="K1312" s="5">
        <f>MONTH(Table1[[#This Row],[Date]])</f>
        <v>9</v>
      </c>
      <c r="L1312" s="5">
        <f>DAY(Table1[[#This Row],[Date]])</f>
        <v>11</v>
      </c>
      <c r="M1312" s="5" t="str">
        <f t="shared" si="41"/>
        <v>Sep</v>
      </c>
    </row>
    <row r="1313" spans="1:13" x14ac:dyDescent="0.25">
      <c r="A1313" s="2">
        <v>38822</v>
      </c>
      <c r="B1313" t="s">
        <v>17</v>
      </c>
      <c r="C1313" t="s">
        <v>18</v>
      </c>
      <c r="D1313" t="s">
        <v>13</v>
      </c>
      <c r="E1313" t="s">
        <v>14</v>
      </c>
      <c r="F1313" s="3">
        <v>1935.96</v>
      </c>
      <c r="G1313" s="3">
        <v>3281.29</v>
      </c>
      <c r="H1313" s="3">
        <f>Table1[[#This Row],[Sale]]-Table1[[#This Row],[Cost]]</f>
        <v>1345.33</v>
      </c>
      <c r="I1313" s="4">
        <f>Table1[[#This Row],[Profit]]/Table1[[#This Row],[Sale]]</f>
        <v>0.41000033523400858</v>
      </c>
      <c r="J1313" s="5">
        <f t="shared" si="40"/>
        <v>2006</v>
      </c>
      <c r="K1313" s="5">
        <f>MONTH(Table1[[#This Row],[Date]])</f>
        <v>4</v>
      </c>
      <c r="L1313" s="5">
        <f>DAY(Table1[[#This Row],[Date]])</f>
        <v>15</v>
      </c>
      <c r="M1313" s="5" t="str">
        <f t="shared" si="41"/>
        <v>Apr</v>
      </c>
    </row>
    <row r="1314" spans="1:13" x14ac:dyDescent="0.25">
      <c r="A1314" s="2">
        <v>38698</v>
      </c>
      <c r="B1314" t="s">
        <v>17</v>
      </c>
      <c r="C1314" t="s">
        <v>27</v>
      </c>
      <c r="D1314" t="s">
        <v>13</v>
      </c>
      <c r="E1314" t="s">
        <v>14</v>
      </c>
      <c r="F1314" s="3">
        <v>2004.92</v>
      </c>
      <c r="G1314" s="3">
        <v>5418.71</v>
      </c>
      <c r="H1314" s="3">
        <f>Table1[[#This Row],[Sale]]-Table1[[#This Row],[Cost]]</f>
        <v>3413.79</v>
      </c>
      <c r="I1314" s="4">
        <f>Table1[[#This Row],[Profit]]/Table1[[#This Row],[Sale]]</f>
        <v>0.63000049827357429</v>
      </c>
      <c r="J1314" s="5">
        <f t="shared" si="40"/>
        <v>2005</v>
      </c>
      <c r="K1314" s="5">
        <f>MONTH(Table1[[#This Row],[Date]])</f>
        <v>12</v>
      </c>
      <c r="L1314" s="5">
        <f>DAY(Table1[[#This Row],[Date]])</f>
        <v>12</v>
      </c>
      <c r="M1314" s="5" t="str">
        <f t="shared" si="41"/>
        <v>Dec</v>
      </c>
    </row>
    <row r="1315" spans="1:13" x14ac:dyDescent="0.25">
      <c r="A1315" s="2">
        <v>38768</v>
      </c>
      <c r="B1315" t="s">
        <v>21</v>
      </c>
      <c r="C1315" t="s">
        <v>23</v>
      </c>
      <c r="D1315" t="s">
        <v>13</v>
      </c>
      <c r="E1315" t="s">
        <v>20</v>
      </c>
      <c r="F1315" s="3">
        <v>2350.13</v>
      </c>
      <c r="G1315" s="3">
        <v>5222.5200000000004</v>
      </c>
      <c r="H1315" s="3">
        <f>Table1[[#This Row],[Sale]]-Table1[[#This Row],[Cost]]</f>
        <v>2872.3900000000003</v>
      </c>
      <c r="I1315" s="4">
        <f>Table1[[#This Row],[Profit]]/Table1[[#This Row],[Sale]]</f>
        <v>0.55000076591377345</v>
      </c>
      <c r="J1315" s="5">
        <f t="shared" si="40"/>
        <v>2006</v>
      </c>
      <c r="K1315" s="5">
        <f>MONTH(Table1[[#This Row],[Date]])</f>
        <v>2</v>
      </c>
      <c r="L1315" s="5">
        <f>DAY(Table1[[#This Row],[Date]])</f>
        <v>20</v>
      </c>
      <c r="M1315" s="5" t="str">
        <f t="shared" si="41"/>
        <v>Feb</v>
      </c>
    </row>
    <row r="1316" spans="1:13" x14ac:dyDescent="0.25">
      <c r="A1316" s="2">
        <v>38457</v>
      </c>
      <c r="B1316" t="s">
        <v>11</v>
      </c>
      <c r="C1316" t="s">
        <v>18</v>
      </c>
      <c r="D1316" t="s">
        <v>16</v>
      </c>
      <c r="E1316" t="s">
        <v>14</v>
      </c>
      <c r="F1316" s="3">
        <v>1336.25</v>
      </c>
      <c r="G1316" s="3">
        <v>2969.45</v>
      </c>
      <c r="H1316" s="3">
        <f>Table1[[#This Row],[Sale]]-Table1[[#This Row],[Cost]]</f>
        <v>1633.1999999999998</v>
      </c>
      <c r="I1316" s="4">
        <f>Table1[[#This Row],[Profit]]/Table1[[#This Row],[Sale]]</f>
        <v>0.55000084190675036</v>
      </c>
      <c r="J1316" s="5">
        <f t="shared" si="40"/>
        <v>2005</v>
      </c>
      <c r="K1316" s="5">
        <f>MONTH(Table1[[#This Row],[Date]])</f>
        <v>4</v>
      </c>
      <c r="L1316" s="5">
        <f>DAY(Table1[[#This Row],[Date]])</f>
        <v>15</v>
      </c>
      <c r="M1316" s="5" t="str">
        <f t="shared" si="41"/>
        <v>Apr</v>
      </c>
    </row>
    <row r="1317" spans="1:13" x14ac:dyDescent="0.25">
      <c r="A1317" s="2">
        <v>38159</v>
      </c>
      <c r="B1317" t="s">
        <v>15</v>
      </c>
      <c r="C1317" t="s">
        <v>23</v>
      </c>
      <c r="D1317" t="s">
        <v>13</v>
      </c>
      <c r="E1317" t="s">
        <v>14</v>
      </c>
      <c r="F1317" s="3">
        <v>8555.85</v>
      </c>
      <c r="G1317" s="3">
        <v>9150.64</v>
      </c>
      <c r="H1317" s="3">
        <f>Table1[[#This Row],[Sale]]-Table1[[#This Row],[Cost]]</f>
        <v>594.78999999999905</v>
      </c>
      <c r="I1317" s="4">
        <f>Table1[[#This Row],[Profit]]/Table1[[#This Row],[Sale]]</f>
        <v>6.499982514884195E-2</v>
      </c>
      <c r="J1317" s="5">
        <f t="shared" si="40"/>
        <v>2004</v>
      </c>
      <c r="K1317" s="5">
        <f>MONTH(Table1[[#This Row],[Date]])</f>
        <v>6</v>
      </c>
      <c r="L1317" s="5">
        <f>DAY(Table1[[#This Row],[Date]])</f>
        <v>21</v>
      </c>
      <c r="M1317" s="5" t="str">
        <f t="shared" si="41"/>
        <v>Jun</v>
      </c>
    </row>
    <row r="1318" spans="1:13" x14ac:dyDescent="0.25">
      <c r="A1318" s="2">
        <v>38214</v>
      </c>
      <c r="B1318" t="s">
        <v>17</v>
      </c>
      <c r="C1318" t="s">
        <v>29</v>
      </c>
      <c r="D1318" t="s">
        <v>16</v>
      </c>
      <c r="E1318" t="s">
        <v>24</v>
      </c>
      <c r="F1318" s="3">
        <v>3778.85</v>
      </c>
      <c r="G1318" s="3">
        <v>8788.0300000000007</v>
      </c>
      <c r="H1318" s="3">
        <f>Table1[[#This Row],[Sale]]-Table1[[#This Row],[Cost]]</f>
        <v>5009.18</v>
      </c>
      <c r="I1318" s="4">
        <f>Table1[[#This Row],[Profit]]/Table1[[#This Row],[Sale]]</f>
        <v>0.57000032999432182</v>
      </c>
      <c r="J1318" s="5">
        <f t="shared" si="40"/>
        <v>2004</v>
      </c>
      <c r="K1318" s="5">
        <f>MONTH(Table1[[#This Row],[Date]])</f>
        <v>8</v>
      </c>
      <c r="L1318" s="5">
        <f>DAY(Table1[[#This Row],[Date]])</f>
        <v>15</v>
      </c>
      <c r="M1318" s="5" t="str">
        <f t="shared" si="41"/>
        <v>Aug</v>
      </c>
    </row>
    <row r="1319" spans="1:13" x14ac:dyDescent="0.25">
      <c r="A1319" s="2">
        <v>38155</v>
      </c>
      <c r="B1319" t="s">
        <v>17</v>
      </c>
      <c r="C1319" t="s">
        <v>23</v>
      </c>
      <c r="D1319" t="s">
        <v>19</v>
      </c>
      <c r="E1319" t="s">
        <v>20</v>
      </c>
      <c r="F1319" s="3">
        <v>4919.6000000000004</v>
      </c>
      <c r="G1319" s="3">
        <v>7234.71</v>
      </c>
      <c r="H1319" s="3">
        <f>Table1[[#This Row],[Sale]]-Table1[[#This Row],[Cost]]</f>
        <v>2315.1099999999997</v>
      </c>
      <c r="I1319" s="4">
        <f>Table1[[#This Row],[Profit]]/Table1[[#This Row],[Sale]]</f>
        <v>0.3200003870231149</v>
      </c>
      <c r="J1319" s="5">
        <f t="shared" si="40"/>
        <v>2004</v>
      </c>
      <c r="K1319" s="5">
        <f>MONTH(Table1[[#This Row],[Date]])</f>
        <v>6</v>
      </c>
      <c r="L1319" s="5">
        <f>DAY(Table1[[#This Row],[Date]])</f>
        <v>17</v>
      </c>
      <c r="M1319" s="5" t="str">
        <f t="shared" si="41"/>
        <v>Jun</v>
      </c>
    </row>
    <row r="1320" spans="1:13" x14ac:dyDescent="0.25">
      <c r="A1320" s="2">
        <v>38485</v>
      </c>
      <c r="B1320" t="s">
        <v>11</v>
      </c>
      <c r="C1320" t="s">
        <v>12</v>
      </c>
      <c r="D1320" t="s">
        <v>16</v>
      </c>
      <c r="E1320" t="s">
        <v>14</v>
      </c>
      <c r="F1320" s="3">
        <v>5089.42</v>
      </c>
      <c r="G1320" s="3">
        <v>8626.1299999999992</v>
      </c>
      <c r="H1320" s="3">
        <f>Table1[[#This Row],[Sale]]-Table1[[#This Row],[Cost]]</f>
        <v>3536.7099999999991</v>
      </c>
      <c r="I1320" s="4">
        <f>Table1[[#This Row],[Profit]]/Table1[[#This Row],[Sale]]</f>
        <v>0.40999961744142499</v>
      </c>
      <c r="J1320" s="5">
        <f t="shared" si="40"/>
        <v>2005</v>
      </c>
      <c r="K1320" s="5">
        <f>MONTH(Table1[[#This Row],[Date]])</f>
        <v>5</v>
      </c>
      <c r="L1320" s="5">
        <f>DAY(Table1[[#This Row],[Date]])</f>
        <v>13</v>
      </c>
      <c r="M1320" s="5" t="str">
        <f t="shared" si="41"/>
        <v>May</v>
      </c>
    </row>
    <row r="1321" spans="1:13" x14ac:dyDescent="0.25">
      <c r="A1321" s="2">
        <v>38476</v>
      </c>
      <c r="B1321" t="s">
        <v>15</v>
      </c>
      <c r="C1321" t="s">
        <v>27</v>
      </c>
      <c r="D1321" t="s">
        <v>19</v>
      </c>
      <c r="E1321" t="s">
        <v>20</v>
      </c>
      <c r="F1321" s="3">
        <v>6407.71</v>
      </c>
      <c r="G1321" s="3">
        <v>9423.11</v>
      </c>
      <c r="H1321" s="3">
        <f>Table1[[#This Row],[Sale]]-Table1[[#This Row],[Cost]]</f>
        <v>3015.4000000000005</v>
      </c>
      <c r="I1321" s="4">
        <f>Table1[[#This Row],[Profit]]/Table1[[#This Row],[Sale]]</f>
        <v>0.32000050938596708</v>
      </c>
      <c r="J1321" s="5">
        <f t="shared" si="40"/>
        <v>2005</v>
      </c>
      <c r="K1321" s="5">
        <f>MONTH(Table1[[#This Row],[Date]])</f>
        <v>5</v>
      </c>
      <c r="L1321" s="5">
        <f>DAY(Table1[[#This Row],[Date]])</f>
        <v>4</v>
      </c>
      <c r="M1321" s="5" t="str">
        <f t="shared" si="41"/>
        <v>May</v>
      </c>
    </row>
    <row r="1322" spans="1:13" x14ac:dyDescent="0.25">
      <c r="A1322" s="2">
        <v>38208</v>
      </c>
      <c r="B1322" t="s">
        <v>15</v>
      </c>
      <c r="C1322" t="s">
        <v>23</v>
      </c>
      <c r="D1322" t="s">
        <v>28</v>
      </c>
      <c r="E1322" t="s">
        <v>20</v>
      </c>
      <c r="F1322" s="3">
        <v>1370.55</v>
      </c>
      <c r="G1322" s="3">
        <v>2491.91</v>
      </c>
      <c r="H1322" s="3">
        <f>Table1[[#This Row],[Sale]]-Table1[[#This Row],[Cost]]</f>
        <v>1121.3599999999999</v>
      </c>
      <c r="I1322" s="4">
        <f>Table1[[#This Row],[Profit]]/Table1[[#This Row],[Sale]]</f>
        <v>0.45000020064930113</v>
      </c>
      <c r="J1322" s="5">
        <f t="shared" si="40"/>
        <v>2004</v>
      </c>
      <c r="K1322" s="5">
        <f>MONTH(Table1[[#This Row],[Date]])</f>
        <v>8</v>
      </c>
      <c r="L1322" s="5">
        <f>DAY(Table1[[#This Row],[Date]])</f>
        <v>9</v>
      </c>
      <c r="M1322" s="5" t="str">
        <f t="shared" si="41"/>
        <v>Aug</v>
      </c>
    </row>
    <row r="1323" spans="1:13" x14ac:dyDescent="0.25">
      <c r="A1323" s="2">
        <v>38196</v>
      </c>
      <c r="B1323" t="s">
        <v>22</v>
      </c>
      <c r="C1323" t="s">
        <v>27</v>
      </c>
      <c r="D1323" t="s">
        <v>28</v>
      </c>
      <c r="E1323" t="s">
        <v>25</v>
      </c>
      <c r="F1323" s="3">
        <v>3856.14</v>
      </c>
      <c r="G1323" s="3">
        <v>8967.77</v>
      </c>
      <c r="H1323" s="3">
        <f>Table1[[#This Row],[Sale]]-Table1[[#This Row],[Cost]]</f>
        <v>5111.630000000001</v>
      </c>
      <c r="I1323" s="4">
        <f>Table1[[#This Row],[Profit]]/Table1[[#This Row],[Sale]]</f>
        <v>0.5700001226614867</v>
      </c>
      <c r="J1323" s="5">
        <f t="shared" si="40"/>
        <v>2004</v>
      </c>
      <c r="K1323" s="5">
        <f>MONTH(Table1[[#This Row],[Date]])</f>
        <v>7</v>
      </c>
      <c r="L1323" s="5">
        <f>DAY(Table1[[#This Row],[Date]])</f>
        <v>28</v>
      </c>
      <c r="M1323" s="5" t="str">
        <f t="shared" si="41"/>
        <v>Jul</v>
      </c>
    </row>
    <row r="1324" spans="1:13" x14ac:dyDescent="0.25">
      <c r="A1324" s="2">
        <v>38254</v>
      </c>
      <c r="B1324" t="s">
        <v>11</v>
      </c>
      <c r="C1324" t="s">
        <v>29</v>
      </c>
      <c r="D1324" t="s">
        <v>16</v>
      </c>
      <c r="E1324" t="s">
        <v>20</v>
      </c>
      <c r="F1324" s="3">
        <v>6159.04</v>
      </c>
      <c r="G1324" s="3">
        <v>9057.41</v>
      </c>
      <c r="H1324" s="3">
        <f>Table1[[#This Row],[Sale]]-Table1[[#This Row],[Cost]]</f>
        <v>2898.37</v>
      </c>
      <c r="I1324" s="4">
        <f>Table1[[#This Row],[Profit]]/Table1[[#This Row],[Sale]]</f>
        <v>0.31999986751179421</v>
      </c>
      <c r="J1324" s="5">
        <f t="shared" si="40"/>
        <v>2004</v>
      </c>
      <c r="K1324" s="5">
        <f>MONTH(Table1[[#This Row],[Date]])</f>
        <v>9</v>
      </c>
      <c r="L1324" s="5">
        <f>DAY(Table1[[#This Row],[Date]])</f>
        <v>24</v>
      </c>
      <c r="M1324" s="5" t="str">
        <f t="shared" si="41"/>
        <v>Sep</v>
      </c>
    </row>
    <row r="1325" spans="1:13" x14ac:dyDescent="0.25">
      <c r="A1325" s="2">
        <v>38250</v>
      </c>
      <c r="B1325" t="s">
        <v>22</v>
      </c>
      <c r="C1325" t="s">
        <v>23</v>
      </c>
      <c r="D1325" t="s">
        <v>16</v>
      </c>
      <c r="E1325" t="s">
        <v>14</v>
      </c>
      <c r="F1325" s="3">
        <v>6055.18</v>
      </c>
      <c r="G1325" s="3">
        <v>6880.89</v>
      </c>
      <c r="H1325" s="3">
        <f>Table1[[#This Row],[Sale]]-Table1[[#This Row],[Cost]]</f>
        <v>825.71</v>
      </c>
      <c r="I1325" s="4">
        <f>Table1[[#This Row],[Profit]]/Table1[[#This Row],[Sale]]</f>
        <v>0.12000046505611919</v>
      </c>
      <c r="J1325" s="5">
        <f t="shared" si="40"/>
        <v>2004</v>
      </c>
      <c r="K1325" s="5">
        <f>MONTH(Table1[[#This Row],[Date]])</f>
        <v>9</v>
      </c>
      <c r="L1325" s="5">
        <f>DAY(Table1[[#This Row],[Date]])</f>
        <v>20</v>
      </c>
      <c r="M1325" s="5" t="str">
        <f t="shared" si="41"/>
        <v>Sep</v>
      </c>
    </row>
    <row r="1326" spans="1:13" x14ac:dyDescent="0.25">
      <c r="A1326" s="2">
        <v>38648</v>
      </c>
      <c r="B1326" t="s">
        <v>11</v>
      </c>
      <c r="C1326" t="s">
        <v>27</v>
      </c>
      <c r="D1326" t="s">
        <v>16</v>
      </c>
      <c r="E1326" t="s">
        <v>25</v>
      </c>
      <c r="F1326" s="3">
        <v>1978.96</v>
      </c>
      <c r="G1326" s="3">
        <v>2248.8200000000002</v>
      </c>
      <c r="H1326" s="3">
        <f>Table1[[#This Row],[Sale]]-Table1[[#This Row],[Cost]]</f>
        <v>269.86000000000013</v>
      </c>
      <c r="I1326" s="4">
        <f>Table1[[#This Row],[Profit]]/Table1[[#This Row],[Sale]]</f>
        <v>0.12000071148424511</v>
      </c>
      <c r="J1326" s="5">
        <f t="shared" si="40"/>
        <v>2005</v>
      </c>
      <c r="K1326" s="5">
        <f>MONTH(Table1[[#This Row],[Date]])</f>
        <v>10</v>
      </c>
      <c r="L1326" s="5">
        <f>DAY(Table1[[#This Row],[Date]])</f>
        <v>23</v>
      </c>
      <c r="M1326" s="5" t="str">
        <f t="shared" si="41"/>
        <v>Oct</v>
      </c>
    </row>
    <row r="1327" spans="1:13" x14ac:dyDescent="0.25">
      <c r="A1327" s="2">
        <v>38569</v>
      </c>
      <c r="B1327" t="s">
        <v>11</v>
      </c>
      <c r="C1327" t="s">
        <v>23</v>
      </c>
      <c r="D1327" t="s">
        <v>13</v>
      </c>
      <c r="E1327" t="s">
        <v>24</v>
      </c>
      <c r="F1327" s="3">
        <v>1635.02</v>
      </c>
      <c r="G1327" s="3">
        <v>1857.98</v>
      </c>
      <c r="H1327" s="3">
        <f>Table1[[#This Row],[Sale]]-Table1[[#This Row],[Cost]]</f>
        <v>222.96000000000004</v>
      </c>
      <c r="I1327" s="4">
        <f>Table1[[#This Row],[Profit]]/Table1[[#This Row],[Sale]]</f>
        <v>0.12000129172542225</v>
      </c>
      <c r="J1327" s="5">
        <f t="shared" si="40"/>
        <v>2005</v>
      </c>
      <c r="K1327" s="5">
        <f>MONTH(Table1[[#This Row],[Date]])</f>
        <v>8</v>
      </c>
      <c r="L1327" s="5">
        <f>DAY(Table1[[#This Row],[Date]])</f>
        <v>5</v>
      </c>
      <c r="M1327" s="5" t="str">
        <f t="shared" si="41"/>
        <v>Aug</v>
      </c>
    </row>
    <row r="1328" spans="1:13" x14ac:dyDescent="0.25">
      <c r="A1328" s="2">
        <v>38489</v>
      </c>
      <c r="B1328" t="s">
        <v>22</v>
      </c>
      <c r="C1328" t="s">
        <v>29</v>
      </c>
      <c r="D1328" t="s">
        <v>16</v>
      </c>
      <c r="E1328" t="s">
        <v>20</v>
      </c>
      <c r="F1328" s="3">
        <v>2952.6</v>
      </c>
      <c r="G1328" s="3">
        <v>4342.0600000000004</v>
      </c>
      <c r="H1328" s="3">
        <f>Table1[[#This Row],[Sale]]-Table1[[#This Row],[Cost]]</f>
        <v>1389.4600000000005</v>
      </c>
      <c r="I1328" s="4">
        <f>Table1[[#This Row],[Profit]]/Table1[[#This Row],[Sale]]</f>
        <v>0.32000018424434495</v>
      </c>
      <c r="J1328" s="5">
        <f t="shared" si="40"/>
        <v>2005</v>
      </c>
      <c r="K1328" s="5">
        <f>MONTH(Table1[[#This Row],[Date]])</f>
        <v>5</v>
      </c>
      <c r="L1328" s="5">
        <f>DAY(Table1[[#This Row],[Date]])</f>
        <v>17</v>
      </c>
      <c r="M1328" s="5" t="str">
        <f t="shared" si="41"/>
        <v>May</v>
      </c>
    </row>
    <row r="1329" spans="1:13" x14ac:dyDescent="0.25">
      <c r="A1329" s="2">
        <v>38686</v>
      </c>
      <c r="B1329" t="s">
        <v>22</v>
      </c>
      <c r="C1329" t="s">
        <v>23</v>
      </c>
      <c r="D1329" t="s">
        <v>19</v>
      </c>
      <c r="E1329" t="s">
        <v>14</v>
      </c>
      <c r="F1329" s="3">
        <v>1279.42</v>
      </c>
      <c r="G1329" s="3">
        <v>2168.5100000000002</v>
      </c>
      <c r="H1329" s="3">
        <f>Table1[[#This Row],[Sale]]-Table1[[#This Row],[Cost]]</f>
        <v>889.09000000000015</v>
      </c>
      <c r="I1329" s="4">
        <f>Table1[[#This Row],[Profit]]/Table1[[#This Row],[Sale]]</f>
        <v>0.41000041503151935</v>
      </c>
      <c r="J1329" s="5">
        <f t="shared" si="40"/>
        <v>2005</v>
      </c>
      <c r="K1329" s="5">
        <f>MONTH(Table1[[#This Row],[Date]])</f>
        <v>11</v>
      </c>
      <c r="L1329" s="5">
        <f>DAY(Table1[[#This Row],[Date]])</f>
        <v>30</v>
      </c>
      <c r="M1329" s="5" t="str">
        <f t="shared" si="41"/>
        <v>Nov</v>
      </c>
    </row>
    <row r="1330" spans="1:13" x14ac:dyDescent="0.25">
      <c r="A1330" s="2">
        <v>38659</v>
      </c>
      <c r="B1330" t="s">
        <v>21</v>
      </c>
      <c r="C1330" t="s">
        <v>29</v>
      </c>
      <c r="D1330" t="s">
        <v>19</v>
      </c>
      <c r="E1330" t="s">
        <v>25</v>
      </c>
      <c r="F1330" s="3">
        <v>3695.05</v>
      </c>
      <c r="G1330" s="3">
        <v>5433.9</v>
      </c>
      <c r="H1330" s="3">
        <f>Table1[[#This Row],[Sale]]-Table1[[#This Row],[Cost]]</f>
        <v>1738.8499999999995</v>
      </c>
      <c r="I1330" s="4">
        <f>Table1[[#This Row],[Profit]]/Table1[[#This Row],[Sale]]</f>
        <v>0.32000036805977283</v>
      </c>
      <c r="J1330" s="5">
        <f t="shared" si="40"/>
        <v>2005</v>
      </c>
      <c r="K1330" s="5">
        <f>MONTH(Table1[[#This Row],[Date]])</f>
        <v>11</v>
      </c>
      <c r="L1330" s="5">
        <f>DAY(Table1[[#This Row],[Date]])</f>
        <v>3</v>
      </c>
      <c r="M1330" s="5" t="str">
        <f t="shared" si="41"/>
        <v>Nov</v>
      </c>
    </row>
    <row r="1331" spans="1:13" x14ac:dyDescent="0.25">
      <c r="A1331" s="2">
        <v>38466</v>
      </c>
      <c r="B1331" t="s">
        <v>17</v>
      </c>
      <c r="C1331" t="s">
        <v>23</v>
      </c>
      <c r="D1331" t="s">
        <v>13</v>
      </c>
      <c r="E1331" t="s">
        <v>20</v>
      </c>
      <c r="F1331" s="3">
        <v>2237.2600000000002</v>
      </c>
      <c r="G1331" s="3">
        <v>3791.96</v>
      </c>
      <c r="H1331" s="3">
        <f>Table1[[#This Row],[Sale]]-Table1[[#This Row],[Cost]]</f>
        <v>1554.6999999999998</v>
      </c>
      <c r="I1331" s="4">
        <f>Table1[[#This Row],[Profit]]/Table1[[#This Row],[Sale]]</f>
        <v>0.40999905062289682</v>
      </c>
      <c r="J1331" s="5">
        <f t="shared" si="40"/>
        <v>2005</v>
      </c>
      <c r="K1331" s="5">
        <f>MONTH(Table1[[#This Row],[Date]])</f>
        <v>4</v>
      </c>
      <c r="L1331" s="5">
        <f>DAY(Table1[[#This Row],[Date]])</f>
        <v>24</v>
      </c>
      <c r="M1331" s="5" t="str">
        <f t="shared" si="41"/>
        <v>Apr</v>
      </c>
    </row>
    <row r="1332" spans="1:13" x14ac:dyDescent="0.25">
      <c r="A1332" s="2">
        <v>38540</v>
      </c>
      <c r="B1332" t="s">
        <v>21</v>
      </c>
      <c r="C1332" t="s">
        <v>18</v>
      </c>
      <c r="D1332" t="s">
        <v>16</v>
      </c>
      <c r="E1332" t="s">
        <v>25</v>
      </c>
      <c r="F1332" s="3">
        <v>3014.39</v>
      </c>
      <c r="G1332" s="3">
        <v>5480.71</v>
      </c>
      <c r="H1332" s="3">
        <f>Table1[[#This Row],[Sale]]-Table1[[#This Row],[Cost]]</f>
        <v>2466.3200000000002</v>
      </c>
      <c r="I1332" s="4">
        <f>Table1[[#This Row],[Profit]]/Table1[[#This Row],[Sale]]</f>
        <v>0.4500000912290561</v>
      </c>
      <c r="J1332" s="5">
        <f t="shared" si="40"/>
        <v>2005</v>
      </c>
      <c r="K1332" s="5">
        <f>MONTH(Table1[[#This Row],[Date]])</f>
        <v>7</v>
      </c>
      <c r="L1332" s="5">
        <f>DAY(Table1[[#This Row],[Date]])</f>
        <v>7</v>
      </c>
      <c r="M1332" s="5" t="str">
        <f t="shared" si="41"/>
        <v>Jul</v>
      </c>
    </row>
    <row r="1333" spans="1:13" x14ac:dyDescent="0.25">
      <c r="A1333" s="2">
        <v>38312</v>
      </c>
      <c r="B1333" t="s">
        <v>22</v>
      </c>
      <c r="C1333" t="s">
        <v>18</v>
      </c>
      <c r="D1333" t="s">
        <v>16</v>
      </c>
      <c r="E1333" t="s">
        <v>14</v>
      </c>
      <c r="F1333" s="3">
        <v>7479.79</v>
      </c>
      <c r="G1333" s="3">
        <v>8499.76</v>
      </c>
      <c r="H1333" s="3">
        <f>Table1[[#This Row],[Sale]]-Table1[[#This Row],[Cost]]</f>
        <v>1019.9700000000003</v>
      </c>
      <c r="I1333" s="4">
        <f>Table1[[#This Row],[Profit]]/Table1[[#This Row],[Sale]]</f>
        <v>0.11999985881954317</v>
      </c>
      <c r="J1333" s="5">
        <f t="shared" si="40"/>
        <v>2004</v>
      </c>
      <c r="K1333" s="5">
        <f>MONTH(Table1[[#This Row],[Date]])</f>
        <v>11</v>
      </c>
      <c r="L1333" s="5">
        <f>DAY(Table1[[#This Row],[Date]])</f>
        <v>21</v>
      </c>
      <c r="M1333" s="5" t="str">
        <f t="shared" si="41"/>
        <v>Nov</v>
      </c>
    </row>
    <row r="1334" spans="1:13" x14ac:dyDescent="0.25">
      <c r="A1334" s="2">
        <v>38500</v>
      </c>
      <c r="B1334" t="s">
        <v>21</v>
      </c>
      <c r="C1334" t="s">
        <v>12</v>
      </c>
      <c r="D1334" t="s">
        <v>19</v>
      </c>
      <c r="E1334" t="s">
        <v>24</v>
      </c>
      <c r="F1334" s="3">
        <v>6919.75</v>
      </c>
      <c r="G1334" s="3">
        <v>7863.35</v>
      </c>
      <c r="H1334" s="3">
        <f>Table1[[#This Row],[Sale]]-Table1[[#This Row],[Cost]]</f>
        <v>943.60000000000036</v>
      </c>
      <c r="I1334" s="4">
        <f>Table1[[#This Row],[Profit]]/Table1[[#This Row],[Sale]]</f>
        <v>0.11999974565547766</v>
      </c>
      <c r="J1334" s="5">
        <f t="shared" si="40"/>
        <v>2005</v>
      </c>
      <c r="K1334" s="5">
        <f>MONTH(Table1[[#This Row],[Date]])</f>
        <v>5</v>
      </c>
      <c r="L1334" s="5">
        <f>DAY(Table1[[#This Row],[Date]])</f>
        <v>28</v>
      </c>
      <c r="M1334" s="5" t="str">
        <f t="shared" si="41"/>
        <v>May</v>
      </c>
    </row>
    <row r="1335" spans="1:13" x14ac:dyDescent="0.25">
      <c r="A1335" s="2">
        <v>38423</v>
      </c>
      <c r="B1335" t="s">
        <v>15</v>
      </c>
      <c r="C1335" t="s">
        <v>29</v>
      </c>
      <c r="D1335" t="s">
        <v>13</v>
      </c>
      <c r="E1335" t="s">
        <v>14</v>
      </c>
      <c r="F1335" s="3">
        <v>4562.5600000000004</v>
      </c>
      <c r="G1335" s="3">
        <v>8295.57</v>
      </c>
      <c r="H1335" s="3">
        <f>Table1[[#This Row],[Sale]]-Table1[[#This Row],[Cost]]</f>
        <v>3733.0099999999993</v>
      </c>
      <c r="I1335" s="4">
        <f>Table1[[#This Row],[Profit]]/Table1[[#This Row],[Sale]]</f>
        <v>0.45000042191193607</v>
      </c>
      <c r="J1335" s="5">
        <f t="shared" si="40"/>
        <v>2005</v>
      </c>
      <c r="K1335" s="5">
        <f>MONTH(Table1[[#This Row],[Date]])</f>
        <v>3</v>
      </c>
      <c r="L1335" s="5">
        <f>DAY(Table1[[#This Row],[Date]])</f>
        <v>12</v>
      </c>
      <c r="M1335" s="5" t="str">
        <f t="shared" si="41"/>
        <v>Mar</v>
      </c>
    </row>
    <row r="1336" spans="1:13" x14ac:dyDescent="0.25">
      <c r="A1336" s="2">
        <v>38543</v>
      </c>
      <c r="B1336" t="s">
        <v>17</v>
      </c>
      <c r="C1336" t="s">
        <v>23</v>
      </c>
      <c r="D1336" t="s">
        <v>28</v>
      </c>
      <c r="E1336" t="s">
        <v>25</v>
      </c>
      <c r="F1336" s="3">
        <v>310.11</v>
      </c>
      <c r="G1336" s="3">
        <v>525.61</v>
      </c>
      <c r="H1336" s="3">
        <f>Table1[[#This Row],[Sale]]-Table1[[#This Row],[Cost]]</f>
        <v>215.5</v>
      </c>
      <c r="I1336" s="4">
        <f>Table1[[#This Row],[Profit]]/Table1[[#This Row],[Sale]]</f>
        <v>0.40999980974486788</v>
      </c>
      <c r="J1336" s="5">
        <f t="shared" si="40"/>
        <v>2005</v>
      </c>
      <c r="K1336" s="5">
        <f>MONTH(Table1[[#This Row],[Date]])</f>
        <v>7</v>
      </c>
      <c r="L1336" s="5">
        <f>DAY(Table1[[#This Row],[Date]])</f>
        <v>10</v>
      </c>
      <c r="M1336" s="5" t="str">
        <f t="shared" si="41"/>
        <v>Jul</v>
      </c>
    </row>
    <row r="1337" spans="1:13" x14ac:dyDescent="0.25">
      <c r="A1337" s="2">
        <v>38635</v>
      </c>
      <c r="B1337" t="s">
        <v>11</v>
      </c>
      <c r="C1337" t="s">
        <v>29</v>
      </c>
      <c r="D1337" t="s">
        <v>13</v>
      </c>
      <c r="E1337" t="s">
        <v>25</v>
      </c>
      <c r="F1337" s="3">
        <v>3688.48</v>
      </c>
      <c r="G1337" s="3">
        <v>4191.46</v>
      </c>
      <c r="H1337" s="3">
        <f>Table1[[#This Row],[Sale]]-Table1[[#This Row],[Cost]]</f>
        <v>502.98</v>
      </c>
      <c r="I1337" s="4">
        <f>Table1[[#This Row],[Profit]]/Table1[[#This Row],[Sale]]</f>
        <v>0.12000114518568709</v>
      </c>
      <c r="J1337" s="5">
        <f t="shared" si="40"/>
        <v>2005</v>
      </c>
      <c r="K1337" s="5">
        <f>MONTH(Table1[[#This Row],[Date]])</f>
        <v>10</v>
      </c>
      <c r="L1337" s="5">
        <f>DAY(Table1[[#This Row],[Date]])</f>
        <v>10</v>
      </c>
      <c r="M1337" s="5" t="str">
        <f t="shared" si="41"/>
        <v>Oct</v>
      </c>
    </row>
    <row r="1338" spans="1:13" x14ac:dyDescent="0.25">
      <c r="A1338" s="2">
        <v>38867</v>
      </c>
      <c r="B1338" t="s">
        <v>17</v>
      </c>
      <c r="C1338" t="s">
        <v>23</v>
      </c>
      <c r="D1338" t="s">
        <v>28</v>
      </c>
      <c r="E1338" t="s">
        <v>20</v>
      </c>
      <c r="F1338" s="3">
        <v>1138.0999999999999</v>
      </c>
      <c r="G1338" s="3">
        <v>1293.29</v>
      </c>
      <c r="H1338" s="3">
        <f>Table1[[#This Row],[Sale]]-Table1[[#This Row],[Cost]]</f>
        <v>155.19000000000005</v>
      </c>
      <c r="I1338" s="4">
        <f>Table1[[#This Row],[Profit]]/Table1[[#This Row],[Sale]]</f>
        <v>0.11999628853544067</v>
      </c>
      <c r="J1338" s="5">
        <f t="shared" si="40"/>
        <v>2006</v>
      </c>
      <c r="K1338" s="5">
        <f>MONTH(Table1[[#This Row],[Date]])</f>
        <v>5</v>
      </c>
      <c r="L1338" s="5">
        <f>DAY(Table1[[#This Row],[Date]])</f>
        <v>30</v>
      </c>
      <c r="M1338" s="5" t="str">
        <f t="shared" si="41"/>
        <v>May</v>
      </c>
    </row>
    <row r="1339" spans="1:13" x14ac:dyDescent="0.25">
      <c r="A1339" s="2">
        <v>38867</v>
      </c>
      <c r="B1339" t="s">
        <v>11</v>
      </c>
      <c r="C1339" t="s">
        <v>18</v>
      </c>
      <c r="D1339" t="s">
        <v>13</v>
      </c>
      <c r="E1339" t="s">
        <v>20</v>
      </c>
      <c r="F1339" s="3">
        <v>4190.13</v>
      </c>
      <c r="G1339" s="3">
        <v>4761.51</v>
      </c>
      <c r="H1339" s="3">
        <f>Table1[[#This Row],[Sale]]-Table1[[#This Row],[Cost]]</f>
        <v>571.38000000000011</v>
      </c>
      <c r="I1339" s="4">
        <f>Table1[[#This Row],[Profit]]/Table1[[#This Row],[Sale]]</f>
        <v>0.11999974797910748</v>
      </c>
      <c r="J1339" s="5">
        <f t="shared" si="40"/>
        <v>2006</v>
      </c>
      <c r="K1339" s="5">
        <f>MONTH(Table1[[#This Row],[Date]])</f>
        <v>5</v>
      </c>
      <c r="L1339" s="5">
        <f>DAY(Table1[[#This Row],[Date]])</f>
        <v>30</v>
      </c>
      <c r="M1339" s="5" t="str">
        <f t="shared" si="41"/>
        <v>May</v>
      </c>
    </row>
    <row r="1340" spans="1:13" x14ac:dyDescent="0.25">
      <c r="A1340" s="2">
        <v>38623</v>
      </c>
      <c r="B1340" t="s">
        <v>15</v>
      </c>
      <c r="C1340" t="s">
        <v>18</v>
      </c>
      <c r="D1340" t="s">
        <v>28</v>
      </c>
      <c r="E1340" t="s">
        <v>25</v>
      </c>
      <c r="F1340" s="3">
        <v>1013.12</v>
      </c>
      <c r="G1340" s="3">
        <v>1151.27</v>
      </c>
      <c r="H1340" s="3">
        <f>Table1[[#This Row],[Sale]]-Table1[[#This Row],[Cost]]</f>
        <v>138.14999999999998</v>
      </c>
      <c r="I1340" s="4">
        <f>Table1[[#This Row],[Profit]]/Table1[[#This Row],[Sale]]</f>
        <v>0.11999791534566173</v>
      </c>
      <c r="J1340" s="5">
        <f t="shared" si="40"/>
        <v>2005</v>
      </c>
      <c r="K1340" s="5">
        <f>MONTH(Table1[[#This Row],[Date]])</f>
        <v>9</v>
      </c>
      <c r="L1340" s="5">
        <f>DAY(Table1[[#This Row],[Date]])</f>
        <v>28</v>
      </c>
      <c r="M1340" s="5" t="str">
        <f t="shared" si="41"/>
        <v>Sep</v>
      </c>
    </row>
    <row r="1341" spans="1:13" x14ac:dyDescent="0.25">
      <c r="A1341" s="2">
        <v>38777</v>
      </c>
      <c r="B1341" t="s">
        <v>26</v>
      </c>
      <c r="C1341" t="s">
        <v>18</v>
      </c>
      <c r="D1341" t="s">
        <v>28</v>
      </c>
      <c r="E1341" t="s">
        <v>25</v>
      </c>
      <c r="F1341" s="3">
        <v>4976.13</v>
      </c>
      <c r="G1341" s="3">
        <v>7317.84</v>
      </c>
      <c r="H1341" s="3">
        <f>Table1[[#This Row],[Sale]]-Table1[[#This Row],[Cost]]</f>
        <v>2341.71</v>
      </c>
      <c r="I1341" s="4">
        <f>Table1[[#This Row],[Profit]]/Table1[[#This Row],[Sale]]</f>
        <v>0.32000016398281461</v>
      </c>
      <c r="J1341" s="5">
        <f t="shared" si="40"/>
        <v>2006</v>
      </c>
      <c r="K1341" s="5">
        <f>MONTH(Table1[[#This Row],[Date]])</f>
        <v>3</v>
      </c>
      <c r="L1341" s="5">
        <f>DAY(Table1[[#This Row],[Date]])</f>
        <v>1</v>
      </c>
      <c r="M1341" s="5" t="str">
        <f t="shared" si="41"/>
        <v>Mar</v>
      </c>
    </row>
    <row r="1342" spans="1:13" x14ac:dyDescent="0.25">
      <c r="A1342" s="2">
        <v>38606</v>
      </c>
      <c r="B1342" t="s">
        <v>11</v>
      </c>
      <c r="C1342" t="s">
        <v>12</v>
      </c>
      <c r="D1342" t="s">
        <v>28</v>
      </c>
      <c r="E1342" t="s">
        <v>24</v>
      </c>
      <c r="F1342" s="3">
        <v>5649.9</v>
      </c>
      <c r="G1342" s="3">
        <v>8308.68</v>
      </c>
      <c r="H1342" s="3">
        <f>Table1[[#This Row],[Sale]]-Table1[[#This Row],[Cost]]</f>
        <v>2658.7800000000007</v>
      </c>
      <c r="I1342" s="4">
        <f>Table1[[#This Row],[Profit]]/Table1[[#This Row],[Sale]]</f>
        <v>0.32000028885454734</v>
      </c>
      <c r="J1342" s="5">
        <f t="shared" si="40"/>
        <v>2005</v>
      </c>
      <c r="K1342" s="5">
        <f>MONTH(Table1[[#This Row],[Date]])</f>
        <v>9</v>
      </c>
      <c r="L1342" s="5">
        <f>DAY(Table1[[#This Row],[Date]])</f>
        <v>11</v>
      </c>
      <c r="M1342" s="5" t="str">
        <f t="shared" si="41"/>
        <v>Sep</v>
      </c>
    </row>
    <row r="1343" spans="1:13" x14ac:dyDescent="0.25">
      <c r="A1343" s="2">
        <v>38620</v>
      </c>
      <c r="B1343" t="s">
        <v>22</v>
      </c>
      <c r="C1343" t="s">
        <v>18</v>
      </c>
      <c r="D1343" t="s">
        <v>16</v>
      </c>
      <c r="E1343" t="s">
        <v>24</v>
      </c>
      <c r="F1343" s="3">
        <v>3753.76</v>
      </c>
      <c r="G1343" s="3">
        <v>4265.6400000000003</v>
      </c>
      <c r="H1343" s="3">
        <f>Table1[[#This Row],[Sale]]-Table1[[#This Row],[Cost]]</f>
        <v>511.88000000000011</v>
      </c>
      <c r="I1343" s="4">
        <f>Table1[[#This Row],[Profit]]/Table1[[#This Row],[Sale]]</f>
        <v>0.12000075018051221</v>
      </c>
      <c r="J1343" s="5">
        <f t="shared" si="40"/>
        <v>2005</v>
      </c>
      <c r="K1343" s="5">
        <f>MONTH(Table1[[#This Row],[Date]])</f>
        <v>9</v>
      </c>
      <c r="L1343" s="5">
        <f>DAY(Table1[[#This Row],[Date]])</f>
        <v>25</v>
      </c>
      <c r="M1343" s="5" t="str">
        <f t="shared" si="41"/>
        <v>Sep</v>
      </c>
    </row>
    <row r="1344" spans="1:13" x14ac:dyDescent="0.25">
      <c r="A1344" s="2">
        <v>38808</v>
      </c>
      <c r="B1344" t="s">
        <v>11</v>
      </c>
      <c r="C1344" t="s">
        <v>23</v>
      </c>
      <c r="D1344" t="s">
        <v>19</v>
      </c>
      <c r="E1344" t="s">
        <v>24</v>
      </c>
      <c r="F1344" s="3">
        <v>1908.76</v>
      </c>
      <c r="G1344" s="3">
        <v>4241.7</v>
      </c>
      <c r="H1344" s="3">
        <f>Table1[[#This Row],[Sale]]-Table1[[#This Row],[Cost]]</f>
        <v>2332.9399999999996</v>
      </c>
      <c r="I1344" s="4">
        <f>Table1[[#This Row],[Profit]]/Table1[[#This Row],[Sale]]</f>
        <v>0.55000117877266186</v>
      </c>
      <c r="J1344" s="5">
        <f t="shared" si="40"/>
        <v>2006</v>
      </c>
      <c r="K1344" s="5">
        <f>MONTH(Table1[[#This Row],[Date]])</f>
        <v>4</v>
      </c>
      <c r="L1344" s="5">
        <f>DAY(Table1[[#This Row],[Date]])</f>
        <v>1</v>
      </c>
      <c r="M1344" s="5" t="str">
        <f t="shared" si="41"/>
        <v>Apr</v>
      </c>
    </row>
    <row r="1345" spans="1:13" x14ac:dyDescent="0.25">
      <c r="A1345" s="2">
        <v>38723</v>
      </c>
      <c r="B1345" t="s">
        <v>26</v>
      </c>
      <c r="C1345" t="s">
        <v>12</v>
      </c>
      <c r="D1345" t="s">
        <v>19</v>
      </c>
      <c r="E1345" t="s">
        <v>20</v>
      </c>
      <c r="F1345" s="3">
        <v>6567.72</v>
      </c>
      <c r="G1345" s="3">
        <v>8756.9599999999991</v>
      </c>
      <c r="H1345" s="3">
        <f>Table1[[#This Row],[Sale]]-Table1[[#This Row],[Cost]]</f>
        <v>2189.2399999999989</v>
      </c>
      <c r="I1345" s="4">
        <f>Table1[[#This Row],[Profit]]/Table1[[#This Row],[Sale]]</f>
        <v>0.24999999999999989</v>
      </c>
      <c r="J1345" s="5">
        <f t="shared" si="40"/>
        <v>2006</v>
      </c>
      <c r="K1345" s="5">
        <f>MONTH(Table1[[#This Row],[Date]])</f>
        <v>1</v>
      </c>
      <c r="L1345" s="5">
        <f>DAY(Table1[[#This Row],[Date]])</f>
        <v>6</v>
      </c>
      <c r="M1345" s="5" t="str">
        <f t="shared" si="41"/>
        <v>Jan</v>
      </c>
    </row>
    <row r="1346" spans="1:13" x14ac:dyDescent="0.25">
      <c r="A1346" s="2">
        <v>38641</v>
      </c>
      <c r="B1346" t="s">
        <v>21</v>
      </c>
      <c r="C1346" t="s">
        <v>27</v>
      </c>
      <c r="D1346" t="s">
        <v>28</v>
      </c>
      <c r="E1346" t="s">
        <v>14</v>
      </c>
      <c r="F1346" s="3">
        <v>5137.5200000000004</v>
      </c>
      <c r="G1346" s="3">
        <v>7555.18</v>
      </c>
      <c r="H1346" s="3">
        <f>Table1[[#This Row],[Sale]]-Table1[[#This Row],[Cost]]</f>
        <v>2417.66</v>
      </c>
      <c r="I1346" s="4">
        <f>Table1[[#This Row],[Profit]]/Table1[[#This Row],[Sale]]</f>
        <v>0.32000031766284848</v>
      </c>
      <c r="J1346" s="5">
        <f t="shared" ref="J1346:J1409" si="42">YEAR(A:A)</f>
        <v>2005</v>
      </c>
      <c r="K1346" s="5">
        <f>MONTH(Table1[[#This Row],[Date]])</f>
        <v>10</v>
      </c>
      <c r="L1346" s="5">
        <f>DAY(Table1[[#This Row],[Date]])</f>
        <v>16</v>
      </c>
      <c r="M1346" s="5" t="str">
        <f t="shared" ref="M1346:M1409" si="43">CHOOSE(K1346,"Jan", "Feb", "Mar", "Apr", "May", "Jun", "Jul", "Aug", "Sep", "Oct", "Nov", "Dec")</f>
        <v>Oct</v>
      </c>
    </row>
    <row r="1347" spans="1:13" x14ac:dyDescent="0.25">
      <c r="A1347" s="2">
        <v>38340</v>
      </c>
      <c r="B1347" t="s">
        <v>17</v>
      </c>
      <c r="C1347" t="s">
        <v>23</v>
      </c>
      <c r="D1347" t="s">
        <v>13</v>
      </c>
      <c r="E1347" t="s">
        <v>24</v>
      </c>
      <c r="F1347" s="3">
        <v>3906.02</v>
      </c>
      <c r="G1347" s="3">
        <v>8680.0499999999993</v>
      </c>
      <c r="H1347" s="3">
        <f>Table1[[#This Row],[Sale]]-Table1[[#This Row],[Cost]]</f>
        <v>4774.0299999999988</v>
      </c>
      <c r="I1347" s="4">
        <f>Table1[[#This Row],[Profit]]/Table1[[#This Row],[Sale]]</f>
        <v>0.55000028801677403</v>
      </c>
      <c r="J1347" s="5">
        <f t="shared" si="42"/>
        <v>2004</v>
      </c>
      <c r="K1347" s="5">
        <f>MONTH(Table1[[#This Row],[Date]])</f>
        <v>12</v>
      </c>
      <c r="L1347" s="5">
        <f>DAY(Table1[[#This Row],[Date]])</f>
        <v>19</v>
      </c>
      <c r="M1347" s="5" t="str">
        <f t="shared" si="43"/>
        <v>Dec</v>
      </c>
    </row>
    <row r="1348" spans="1:13" x14ac:dyDescent="0.25">
      <c r="A1348" s="2">
        <v>38777</v>
      </c>
      <c r="B1348" t="s">
        <v>11</v>
      </c>
      <c r="C1348" t="s">
        <v>29</v>
      </c>
      <c r="D1348" t="s">
        <v>19</v>
      </c>
      <c r="E1348" t="s">
        <v>24</v>
      </c>
      <c r="F1348" s="3">
        <v>1885.71</v>
      </c>
      <c r="G1348" s="3">
        <v>4190.46</v>
      </c>
      <c r="H1348" s="3">
        <f>Table1[[#This Row],[Sale]]-Table1[[#This Row],[Cost]]</f>
        <v>2304.75</v>
      </c>
      <c r="I1348" s="4">
        <f>Table1[[#This Row],[Profit]]/Table1[[#This Row],[Sale]]</f>
        <v>0.54999928408814303</v>
      </c>
      <c r="J1348" s="5">
        <f t="shared" si="42"/>
        <v>2006</v>
      </c>
      <c r="K1348" s="5">
        <f>MONTH(Table1[[#This Row],[Date]])</f>
        <v>3</v>
      </c>
      <c r="L1348" s="5">
        <f>DAY(Table1[[#This Row],[Date]])</f>
        <v>1</v>
      </c>
      <c r="M1348" s="5" t="str">
        <f t="shared" si="43"/>
        <v>Mar</v>
      </c>
    </row>
    <row r="1349" spans="1:13" x14ac:dyDescent="0.25">
      <c r="A1349" s="2">
        <v>38876</v>
      </c>
      <c r="B1349" t="s">
        <v>11</v>
      </c>
      <c r="C1349" t="s">
        <v>23</v>
      </c>
      <c r="D1349" t="s">
        <v>13</v>
      </c>
      <c r="E1349" t="s">
        <v>14</v>
      </c>
      <c r="F1349" s="3">
        <v>4295.72</v>
      </c>
      <c r="G1349" s="3">
        <v>9990.0400000000009</v>
      </c>
      <c r="H1349" s="3">
        <f>Table1[[#This Row],[Sale]]-Table1[[#This Row],[Cost]]</f>
        <v>5694.3200000000006</v>
      </c>
      <c r="I1349" s="4">
        <f>Table1[[#This Row],[Profit]]/Table1[[#This Row],[Sale]]</f>
        <v>0.56999971972084196</v>
      </c>
      <c r="J1349" s="5">
        <f t="shared" si="42"/>
        <v>2006</v>
      </c>
      <c r="K1349" s="5">
        <f>MONTH(Table1[[#This Row],[Date]])</f>
        <v>6</v>
      </c>
      <c r="L1349" s="5">
        <f>DAY(Table1[[#This Row],[Date]])</f>
        <v>8</v>
      </c>
      <c r="M1349" s="5" t="str">
        <f t="shared" si="43"/>
        <v>Jun</v>
      </c>
    </row>
    <row r="1350" spans="1:13" x14ac:dyDescent="0.25">
      <c r="A1350" s="2">
        <v>38264</v>
      </c>
      <c r="B1350" t="s">
        <v>26</v>
      </c>
      <c r="C1350" t="s">
        <v>12</v>
      </c>
      <c r="D1350" t="s">
        <v>28</v>
      </c>
      <c r="E1350" t="s">
        <v>25</v>
      </c>
      <c r="F1350" s="3">
        <v>3946.72</v>
      </c>
      <c r="G1350" s="3">
        <v>5262.3</v>
      </c>
      <c r="H1350" s="3">
        <f>Table1[[#This Row],[Sale]]-Table1[[#This Row],[Cost]]</f>
        <v>1315.5800000000004</v>
      </c>
      <c r="I1350" s="4">
        <f>Table1[[#This Row],[Profit]]/Table1[[#This Row],[Sale]]</f>
        <v>0.25000095015487533</v>
      </c>
      <c r="J1350" s="5">
        <f t="shared" si="42"/>
        <v>2004</v>
      </c>
      <c r="K1350" s="5">
        <f>MONTH(Table1[[#This Row],[Date]])</f>
        <v>10</v>
      </c>
      <c r="L1350" s="5">
        <f>DAY(Table1[[#This Row],[Date]])</f>
        <v>4</v>
      </c>
      <c r="M1350" s="5" t="str">
        <f t="shared" si="43"/>
        <v>Oct</v>
      </c>
    </row>
    <row r="1351" spans="1:13" x14ac:dyDescent="0.25">
      <c r="A1351" s="2">
        <v>38633</v>
      </c>
      <c r="B1351" t="s">
        <v>21</v>
      </c>
      <c r="C1351" t="s">
        <v>29</v>
      </c>
      <c r="D1351" t="s">
        <v>28</v>
      </c>
      <c r="E1351" t="s">
        <v>24</v>
      </c>
      <c r="F1351" s="3">
        <v>1035.8499999999999</v>
      </c>
      <c r="G1351" s="3">
        <v>2301.89</v>
      </c>
      <c r="H1351" s="3">
        <f>Table1[[#This Row],[Sale]]-Table1[[#This Row],[Cost]]</f>
        <v>1266.04</v>
      </c>
      <c r="I1351" s="4">
        <f>Table1[[#This Row],[Profit]]/Table1[[#This Row],[Sale]]</f>
        <v>0.55000021721281211</v>
      </c>
      <c r="J1351" s="5">
        <f t="shared" si="42"/>
        <v>2005</v>
      </c>
      <c r="K1351" s="5">
        <f>MONTH(Table1[[#This Row],[Date]])</f>
        <v>10</v>
      </c>
      <c r="L1351" s="5">
        <f>DAY(Table1[[#This Row],[Date]])</f>
        <v>8</v>
      </c>
      <c r="M1351" s="5" t="str">
        <f t="shared" si="43"/>
        <v>Oct</v>
      </c>
    </row>
    <row r="1352" spans="1:13" x14ac:dyDescent="0.25">
      <c r="A1352" s="2">
        <v>38263</v>
      </c>
      <c r="B1352" t="s">
        <v>11</v>
      </c>
      <c r="C1352" t="s">
        <v>27</v>
      </c>
      <c r="D1352" t="s">
        <v>28</v>
      </c>
      <c r="E1352" t="s">
        <v>24</v>
      </c>
      <c r="F1352" s="3">
        <v>939.96</v>
      </c>
      <c r="G1352" s="3">
        <v>2185.96</v>
      </c>
      <c r="H1352" s="3">
        <f>Table1[[#This Row],[Sale]]-Table1[[#This Row],[Cost]]</f>
        <v>1246</v>
      </c>
      <c r="I1352" s="4">
        <f>Table1[[#This Row],[Profit]]/Table1[[#This Row],[Sale]]</f>
        <v>0.57000128090175484</v>
      </c>
      <c r="J1352" s="5">
        <f t="shared" si="42"/>
        <v>2004</v>
      </c>
      <c r="K1352" s="5">
        <f>MONTH(Table1[[#This Row],[Date]])</f>
        <v>10</v>
      </c>
      <c r="L1352" s="5">
        <f>DAY(Table1[[#This Row],[Date]])</f>
        <v>3</v>
      </c>
      <c r="M1352" s="5" t="str">
        <f t="shared" si="43"/>
        <v>Oct</v>
      </c>
    </row>
    <row r="1353" spans="1:13" x14ac:dyDescent="0.25">
      <c r="A1353" s="2">
        <v>38335</v>
      </c>
      <c r="B1353" t="s">
        <v>11</v>
      </c>
      <c r="C1353" t="s">
        <v>29</v>
      </c>
      <c r="D1353" t="s">
        <v>13</v>
      </c>
      <c r="E1353" t="s">
        <v>24</v>
      </c>
      <c r="F1353" s="3">
        <v>2230.92</v>
      </c>
      <c r="G1353" s="3">
        <v>4957.6099999999997</v>
      </c>
      <c r="H1353" s="3">
        <f>Table1[[#This Row],[Sale]]-Table1[[#This Row],[Cost]]</f>
        <v>2726.6899999999996</v>
      </c>
      <c r="I1353" s="4">
        <f>Table1[[#This Row],[Profit]]/Table1[[#This Row],[Sale]]</f>
        <v>0.55000090769544197</v>
      </c>
      <c r="J1353" s="5">
        <f t="shared" si="42"/>
        <v>2004</v>
      </c>
      <c r="K1353" s="5">
        <f>MONTH(Table1[[#This Row],[Date]])</f>
        <v>12</v>
      </c>
      <c r="L1353" s="5">
        <f>DAY(Table1[[#This Row],[Date]])</f>
        <v>14</v>
      </c>
      <c r="M1353" s="5" t="str">
        <f t="shared" si="43"/>
        <v>Dec</v>
      </c>
    </row>
    <row r="1354" spans="1:13" x14ac:dyDescent="0.25">
      <c r="A1354" s="2">
        <v>38844</v>
      </c>
      <c r="B1354" t="s">
        <v>21</v>
      </c>
      <c r="C1354" t="s">
        <v>12</v>
      </c>
      <c r="D1354" t="s">
        <v>19</v>
      </c>
      <c r="E1354" t="s">
        <v>24</v>
      </c>
      <c r="F1354" s="3">
        <v>2018.04</v>
      </c>
      <c r="G1354" s="3">
        <v>2158.33</v>
      </c>
      <c r="H1354" s="3">
        <f>Table1[[#This Row],[Sale]]-Table1[[#This Row],[Cost]]</f>
        <v>140.28999999999996</v>
      </c>
      <c r="I1354" s="4">
        <f>Table1[[#This Row],[Profit]]/Table1[[#This Row],[Sale]]</f>
        <v>6.499932818429062E-2</v>
      </c>
      <c r="J1354" s="5">
        <f t="shared" si="42"/>
        <v>2006</v>
      </c>
      <c r="K1354" s="5">
        <f>MONTH(Table1[[#This Row],[Date]])</f>
        <v>5</v>
      </c>
      <c r="L1354" s="5">
        <f>DAY(Table1[[#This Row],[Date]])</f>
        <v>7</v>
      </c>
      <c r="M1354" s="5" t="str">
        <f t="shared" si="43"/>
        <v>May</v>
      </c>
    </row>
    <row r="1355" spans="1:13" x14ac:dyDescent="0.25">
      <c r="A1355" s="2">
        <v>38226</v>
      </c>
      <c r="B1355" t="s">
        <v>26</v>
      </c>
      <c r="C1355" t="s">
        <v>12</v>
      </c>
      <c r="D1355" t="s">
        <v>19</v>
      </c>
      <c r="E1355" t="s">
        <v>20</v>
      </c>
      <c r="F1355" s="3">
        <v>4832.6899999999996</v>
      </c>
      <c r="G1355" s="3">
        <v>8786.7000000000007</v>
      </c>
      <c r="H1355" s="3">
        <f>Table1[[#This Row],[Sale]]-Table1[[#This Row],[Cost]]</f>
        <v>3954.0100000000011</v>
      </c>
      <c r="I1355" s="4">
        <f>Table1[[#This Row],[Profit]]/Table1[[#This Row],[Sale]]</f>
        <v>0.44999943095815276</v>
      </c>
      <c r="J1355" s="5">
        <f t="shared" si="42"/>
        <v>2004</v>
      </c>
      <c r="K1355" s="5">
        <f>MONTH(Table1[[#This Row],[Date]])</f>
        <v>8</v>
      </c>
      <c r="L1355" s="5">
        <f>DAY(Table1[[#This Row],[Date]])</f>
        <v>27</v>
      </c>
      <c r="M1355" s="5" t="str">
        <f t="shared" si="43"/>
        <v>Aug</v>
      </c>
    </row>
    <row r="1356" spans="1:13" x14ac:dyDescent="0.25">
      <c r="A1356" s="2">
        <v>38795</v>
      </c>
      <c r="B1356" t="s">
        <v>17</v>
      </c>
      <c r="C1356" t="s">
        <v>18</v>
      </c>
      <c r="D1356" t="s">
        <v>13</v>
      </c>
      <c r="E1356" t="s">
        <v>20</v>
      </c>
      <c r="F1356" s="3">
        <v>3434.02</v>
      </c>
      <c r="G1356" s="3">
        <v>4578.7</v>
      </c>
      <c r="H1356" s="3">
        <f>Table1[[#This Row],[Sale]]-Table1[[#This Row],[Cost]]</f>
        <v>1144.6799999999998</v>
      </c>
      <c r="I1356" s="4">
        <f>Table1[[#This Row],[Profit]]/Table1[[#This Row],[Sale]]</f>
        <v>0.25000109201301679</v>
      </c>
      <c r="J1356" s="5">
        <f t="shared" si="42"/>
        <v>2006</v>
      </c>
      <c r="K1356" s="5">
        <f>MONTH(Table1[[#This Row],[Date]])</f>
        <v>3</v>
      </c>
      <c r="L1356" s="5">
        <f>DAY(Table1[[#This Row],[Date]])</f>
        <v>19</v>
      </c>
      <c r="M1356" s="5" t="str">
        <f t="shared" si="43"/>
        <v>Mar</v>
      </c>
    </row>
    <row r="1357" spans="1:13" x14ac:dyDescent="0.25">
      <c r="A1357" s="2">
        <v>38876</v>
      </c>
      <c r="B1357" t="s">
        <v>22</v>
      </c>
      <c r="C1357" t="s">
        <v>18</v>
      </c>
      <c r="D1357" t="s">
        <v>28</v>
      </c>
      <c r="E1357" t="s">
        <v>14</v>
      </c>
      <c r="F1357" s="3">
        <v>4651.7</v>
      </c>
      <c r="G1357" s="3">
        <v>7884.24</v>
      </c>
      <c r="H1357" s="3">
        <f>Table1[[#This Row],[Sale]]-Table1[[#This Row],[Cost]]</f>
        <v>3232.54</v>
      </c>
      <c r="I1357" s="4">
        <f>Table1[[#This Row],[Profit]]/Table1[[#This Row],[Sale]]</f>
        <v>0.41000020293649103</v>
      </c>
      <c r="J1357" s="5">
        <f t="shared" si="42"/>
        <v>2006</v>
      </c>
      <c r="K1357" s="5">
        <f>MONTH(Table1[[#This Row],[Date]])</f>
        <v>6</v>
      </c>
      <c r="L1357" s="5">
        <f>DAY(Table1[[#This Row],[Date]])</f>
        <v>8</v>
      </c>
      <c r="M1357" s="5" t="str">
        <f t="shared" si="43"/>
        <v>Jun</v>
      </c>
    </row>
    <row r="1358" spans="1:13" x14ac:dyDescent="0.25">
      <c r="A1358" s="2">
        <v>38754</v>
      </c>
      <c r="B1358" t="s">
        <v>26</v>
      </c>
      <c r="C1358" t="s">
        <v>27</v>
      </c>
      <c r="D1358" t="s">
        <v>16</v>
      </c>
      <c r="E1358" t="s">
        <v>24</v>
      </c>
      <c r="F1358" s="3">
        <v>4349.05</v>
      </c>
      <c r="G1358" s="3">
        <v>9664.5499999999993</v>
      </c>
      <c r="H1358" s="3">
        <f>Table1[[#This Row],[Sale]]-Table1[[#This Row],[Cost]]</f>
        <v>5315.4999999999991</v>
      </c>
      <c r="I1358" s="4">
        <f>Table1[[#This Row],[Profit]]/Table1[[#This Row],[Sale]]</f>
        <v>0.54999974132266882</v>
      </c>
      <c r="J1358" s="5">
        <f t="shared" si="42"/>
        <v>2006</v>
      </c>
      <c r="K1358" s="5">
        <f>MONTH(Table1[[#This Row],[Date]])</f>
        <v>2</v>
      </c>
      <c r="L1358" s="5">
        <f>DAY(Table1[[#This Row],[Date]])</f>
        <v>6</v>
      </c>
      <c r="M1358" s="5" t="str">
        <f t="shared" si="43"/>
        <v>Feb</v>
      </c>
    </row>
    <row r="1359" spans="1:13" x14ac:dyDescent="0.25">
      <c r="A1359" s="2">
        <v>38561</v>
      </c>
      <c r="B1359" t="s">
        <v>26</v>
      </c>
      <c r="C1359" t="s">
        <v>18</v>
      </c>
      <c r="D1359" t="s">
        <v>13</v>
      </c>
      <c r="E1359" t="s">
        <v>25</v>
      </c>
      <c r="F1359" s="3">
        <v>2898.2</v>
      </c>
      <c r="G1359" s="3">
        <v>6739.99</v>
      </c>
      <c r="H1359" s="3">
        <f>Table1[[#This Row],[Sale]]-Table1[[#This Row],[Cost]]</f>
        <v>3841.79</v>
      </c>
      <c r="I1359" s="4">
        <f>Table1[[#This Row],[Profit]]/Table1[[#This Row],[Sale]]</f>
        <v>0.56999936201685764</v>
      </c>
      <c r="J1359" s="5">
        <f t="shared" si="42"/>
        <v>2005</v>
      </c>
      <c r="K1359" s="5">
        <f>MONTH(Table1[[#This Row],[Date]])</f>
        <v>7</v>
      </c>
      <c r="L1359" s="5">
        <f>DAY(Table1[[#This Row],[Date]])</f>
        <v>28</v>
      </c>
      <c r="M1359" s="5" t="str">
        <f t="shared" si="43"/>
        <v>Jul</v>
      </c>
    </row>
    <row r="1360" spans="1:13" x14ac:dyDescent="0.25">
      <c r="A1360" s="2">
        <v>38659</v>
      </c>
      <c r="B1360" t="s">
        <v>17</v>
      </c>
      <c r="C1360" t="s">
        <v>27</v>
      </c>
      <c r="D1360" t="s">
        <v>19</v>
      </c>
      <c r="E1360" t="s">
        <v>24</v>
      </c>
      <c r="F1360" s="3">
        <v>785.95</v>
      </c>
      <c r="G1360" s="3">
        <v>1429</v>
      </c>
      <c r="H1360" s="3">
        <f>Table1[[#This Row],[Sale]]-Table1[[#This Row],[Cost]]</f>
        <v>643.04999999999995</v>
      </c>
      <c r="I1360" s="4">
        <f>Table1[[#This Row],[Profit]]/Table1[[#This Row],[Sale]]</f>
        <v>0.44999999999999996</v>
      </c>
      <c r="J1360" s="5">
        <f t="shared" si="42"/>
        <v>2005</v>
      </c>
      <c r="K1360" s="5">
        <f>MONTH(Table1[[#This Row],[Date]])</f>
        <v>11</v>
      </c>
      <c r="L1360" s="5">
        <f>DAY(Table1[[#This Row],[Date]])</f>
        <v>3</v>
      </c>
      <c r="M1360" s="5" t="str">
        <f t="shared" si="43"/>
        <v>Nov</v>
      </c>
    </row>
    <row r="1361" spans="1:13" x14ac:dyDescent="0.25">
      <c r="A1361" s="2">
        <v>38273</v>
      </c>
      <c r="B1361" t="s">
        <v>17</v>
      </c>
      <c r="C1361" t="s">
        <v>27</v>
      </c>
      <c r="D1361" t="s">
        <v>13</v>
      </c>
      <c r="E1361" t="s">
        <v>25</v>
      </c>
      <c r="F1361" s="3">
        <v>1801.06</v>
      </c>
      <c r="G1361" s="3">
        <v>2648.62</v>
      </c>
      <c r="H1361" s="3">
        <f>Table1[[#This Row],[Sale]]-Table1[[#This Row],[Cost]]</f>
        <v>847.56</v>
      </c>
      <c r="I1361" s="4">
        <f>Table1[[#This Row],[Profit]]/Table1[[#This Row],[Sale]]</f>
        <v>0.32000060408816666</v>
      </c>
      <c r="J1361" s="5">
        <f t="shared" si="42"/>
        <v>2004</v>
      </c>
      <c r="K1361" s="5">
        <f>MONTH(Table1[[#This Row],[Date]])</f>
        <v>10</v>
      </c>
      <c r="L1361" s="5">
        <f>DAY(Table1[[#This Row],[Date]])</f>
        <v>13</v>
      </c>
      <c r="M1361" s="5" t="str">
        <f t="shared" si="43"/>
        <v>Oct</v>
      </c>
    </row>
    <row r="1362" spans="1:13" x14ac:dyDescent="0.25">
      <c r="A1362" s="2">
        <v>38284</v>
      </c>
      <c r="B1362" t="s">
        <v>26</v>
      </c>
      <c r="C1362" t="s">
        <v>23</v>
      </c>
      <c r="D1362" t="s">
        <v>16</v>
      </c>
      <c r="E1362" t="s">
        <v>24</v>
      </c>
      <c r="F1362" s="3">
        <v>5011.17</v>
      </c>
      <c r="G1362" s="3">
        <v>7369.37</v>
      </c>
      <c r="H1362" s="3">
        <f>Table1[[#This Row],[Sale]]-Table1[[#This Row],[Cost]]</f>
        <v>2358.1999999999998</v>
      </c>
      <c r="I1362" s="4">
        <f>Table1[[#This Row],[Profit]]/Table1[[#This Row],[Sale]]</f>
        <v>0.32000021711489585</v>
      </c>
      <c r="J1362" s="5">
        <f t="shared" si="42"/>
        <v>2004</v>
      </c>
      <c r="K1362" s="5">
        <f>MONTH(Table1[[#This Row],[Date]])</f>
        <v>10</v>
      </c>
      <c r="L1362" s="5">
        <f>DAY(Table1[[#This Row],[Date]])</f>
        <v>24</v>
      </c>
      <c r="M1362" s="5" t="str">
        <f t="shared" si="43"/>
        <v>Oct</v>
      </c>
    </row>
    <row r="1363" spans="1:13" x14ac:dyDescent="0.25">
      <c r="A1363" s="2">
        <v>38328</v>
      </c>
      <c r="B1363" t="s">
        <v>21</v>
      </c>
      <c r="C1363" t="s">
        <v>18</v>
      </c>
      <c r="D1363" t="s">
        <v>13</v>
      </c>
      <c r="E1363" t="s">
        <v>14</v>
      </c>
      <c r="F1363" s="3">
        <v>2845.9</v>
      </c>
      <c r="G1363" s="3">
        <v>4823.5600000000004</v>
      </c>
      <c r="H1363" s="3">
        <f>Table1[[#This Row],[Sale]]-Table1[[#This Row],[Cost]]</f>
        <v>1977.6600000000003</v>
      </c>
      <c r="I1363" s="4">
        <f>Table1[[#This Row],[Profit]]/Table1[[#This Row],[Sale]]</f>
        <v>0.41000008292630341</v>
      </c>
      <c r="J1363" s="5">
        <f t="shared" si="42"/>
        <v>2004</v>
      </c>
      <c r="K1363" s="5">
        <f>MONTH(Table1[[#This Row],[Date]])</f>
        <v>12</v>
      </c>
      <c r="L1363" s="5">
        <f>DAY(Table1[[#This Row],[Date]])</f>
        <v>7</v>
      </c>
      <c r="M1363" s="5" t="str">
        <f t="shared" si="43"/>
        <v>Dec</v>
      </c>
    </row>
    <row r="1364" spans="1:13" x14ac:dyDescent="0.25">
      <c r="A1364" s="2">
        <v>38399</v>
      </c>
      <c r="B1364" t="s">
        <v>11</v>
      </c>
      <c r="C1364" t="s">
        <v>23</v>
      </c>
      <c r="D1364" t="s">
        <v>28</v>
      </c>
      <c r="E1364" t="s">
        <v>25</v>
      </c>
      <c r="F1364" s="3">
        <v>6575.61</v>
      </c>
      <c r="G1364" s="3">
        <v>8767.48</v>
      </c>
      <c r="H1364" s="3">
        <f>Table1[[#This Row],[Sale]]-Table1[[#This Row],[Cost]]</f>
        <v>2191.87</v>
      </c>
      <c r="I1364" s="4">
        <f>Table1[[#This Row],[Profit]]/Table1[[#This Row],[Sale]]</f>
        <v>0.25</v>
      </c>
      <c r="J1364" s="5">
        <f t="shared" si="42"/>
        <v>2005</v>
      </c>
      <c r="K1364" s="5">
        <f>MONTH(Table1[[#This Row],[Date]])</f>
        <v>2</v>
      </c>
      <c r="L1364" s="5">
        <f>DAY(Table1[[#This Row],[Date]])</f>
        <v>16</v>
      </c>
      <c r="M1364" s="5" t="str">
        <f t="shared" si="43"/>
        <v>Feb</v>
      </c>
    </row>
    <row r="1365" spans="1:13" x14ac:dyDescent="0.25">
      <c r="A1365" s="2">
        <v>38853</v>
      </c>
      <c r="B1365" t="s">
        <v>21</v>
      </c>
      <c r="C1365" t="s">
        <v>27</v>
      </c>
      <c r="D1365" t="s">
        <v>28</v>
      </c>
      <c r="E1365" t="s">
        <v>14</v>
      </c>
      <c r="F1365" s="3">
        <v>272.13</v>
      </c>
      <c r="G1365" s="3">
        <v>604.74</v>
      </c>
      <c r="H1365" s="3">
        <f>Table1[[#This Row],[Sale]]-Table1[[#This Row],[Cost]]</f>
        <v>332.61</v>
      </c>
      <c r="I1365" s="4">
        <f>Table1[[#This Row],[Profit]]/Table1[[#This Row],[Sale]]</f>
        <v>0.55000496080960415</v>
      </c>
      <c r="J1365" s="5">
        <f t="shared" si="42"/>
        <v>2006</v>
      </c>
      <c r="K1365" s="5">
        <f>MONTH(Table1[[#This Row],[Date]])</f>
        <v>5</v>
      </c>
      <c r="L1365" s="5">
        <f>DAY(Table1[[#This Row],[Date]])</f>
        <v>16</v>
      </c>
      <c r="M1365" s="5" t="str">
        <f t="shared" si="43"/>
        <v>May</v>
      </c>
    </row>
    <row r="1366" spans="1:13" x14ac:dyDescent="0.25">
      <c r="A1366" s="2">
        <v>38351</v>
      </c>
      <c r="B1366" t="s">
        <v>22</v>
      </c>
      <c r="C1366" t="s">
        <v>29</v>
      </c>
      <c r="D1366" t="s">
        <v>13</v>
      </c>
      <c r="E1366" t="s">
        <v>14</v>
      </c>
      <c r="F1366" s="3">
        <v>1309.4000000000001</v>
      </c>
      <c r="G1366" s="3">
        <v>1745.87</v>
      </c>
      <c r="H1366" s="3">
        <f>Table1[[#This Row],[Sale]]-Table1[[#This Row],[Cost]]</f>
        <v>436.4699999999998</v>
      </c>
      <c r="I1366" s="4">
        <f>Table1[[#This Row],[Profit]]/Table1[[#This Row],[Sale]]</f>
        <v>0.25000143195083246</v>
      </c>
      <c r="J1366" s="5">
        <f t="shared" si="42"/>
        <v>2004</v>
      </c>
      <c r="K1366" s="5">
        <f>MONTH(Table1[[#This Row],[Date]])</f>
        <v>12</v>
      </c>
      <c r="L1366" s="5">
        <f>DAY(Table1[[#This Row],[Date]])</f>
        <v>30</v>
      </c>
      <c r="M1366" s="5" t="str">
        <f t="shared" si="43"/>
        <v>Dec</v>
      </c>
    </row>
    <row r="1367" spans="1:13" x14ac:dyDescent="0.25">
      <c r="A1367" s="2">
        <v>38522</v>
      </c>
      <c r="B1367" t="s">
        <v>17</v>
      </c>
      <c r="C1367" t="s">
        <v>12</v>
      </c>
      <c r="D1367" t="s">
        <v>13</v>
      </c>
      <c r="E1367" t="s">
        <v>25</v>
      </c>
      <c r="F1367" s="3">
        <v>3281.54</v>
      </c>
      <c r="G1367" s="3">
        <v>3729.02</v>
      </c>
      <c r="H1367" s="3">
        <f>Table1[[#This Row],[Sale]]-Table1[[#This Row],[Cost]]</f>
        <v>447.48</v>
      </c>
      <c r="I1367" s="4">
        <f>Table1[[#This Row],[Profit]]/Table1[[#This Row],[Sale]]</f>
        <v>0.11999935639926844</v>
      </c>
      <c r="J1367" s="5">
        <f t="shared" si="42"/>
        <v>2005</v>
      </c>
      <c r="K1367" s="5">
        <f>MONTH(Table1[[#This Row],[Date]])</f>
        <v>6</v>
      </c>
      <c r="L1367" s="5">
        <f>DAY(Table1[[#This Row],[Date]])</f>
        <v>19</v>
      </c>
      <c r="M1367" s="5" t="str">
        <f t="shared" si="43"/>
        <v>Jun</v>
      </c>
    </row>
    <row r="1368" spans="1:13" x14ac:dyDescent="0.25">
      <c r="A1368" s="2">
        <v>38854</v>
      </c>
      <c r="B1368" t="s">
        <v>22</v>
      </c>
      <c r="C1368" t="s">
        <v>27</v>
      </c>
      <c r="D1368" t="s">
        <v>19</v>
      </c>
      <c r="E1368" t="s">
        <v>14</v>
      </c>
      <c r="F1368" s="3">
        <v>5365.17</v>
      </c>
      <c r="G1368" s="3">
        <v>9754.86</v>
      </c>
      <c r="H1368" s="3">
        <f>Table1[[#This Row],[Sale]]-Table1[[#This Row],[Cost]]</f>
        <v>4389.6900000000005</v>
      </c>
      <c r="I1368" s="4">
        <f>Table1[[#This Row],[Profit]]/Table1[[#This Row],[Sale]]</f>
        <v>0.45000030753901132</v>
      </c>
      <c r="J1368" s="5">
        <f t="shared" si="42"/>
        <v>2006</v>
      </c>
      <c r="K1368" s="5">
        <f>MONTH(Table1[[#This Row],[Date]])</f>
        <v>5</v>
      </c>
      <c r="L1368" s="5">
        <f>DAY(Table1[[#This Row],[Date]])</f>
        <v>17</v>
      </c>
      <c r="M1368" s="5" t="str">
        <f t="shared" si="43"/>
        <v>May</v>
      </c>
    </row>
    <row r="1369" spans="1:13" x14ac:dyDescent="0.25">
      <c r="A1369" s="2">
        <v>38766</v>
      </c>
      <c r="B1369" t="s">
        <v>21</v>
      </c>
      <c r="C1369" t="s">
        <v>12</v>
      </c>
      <c r="D1369" t="s">
        <v>19</v>
      </c>
      <c r="E1369" t="s">
        <v>25</v>
      </c>
      <c r="F1369" s="3">
        <v>6112.91</v>
      </c>
      <c r="G1369" s="3">
        <v>6537.87</v>
      </c>
      <c r="H1369" s="3">
        <f>Table1[[#This Row],[Sale]]-Table1[[#This Row],[Cost]]</f>
        <v>424.96000000000004</v>
      </c>
      <c r="I1369" s="4">
        <f>Table1[[#This Row],[Profit]]/Table1[[#This Row],[Sale]]</f>
        <v>6.4999762919727685E-2</v>
      </c>
      <c r="J1369" s="5">
        <f t="shared" si="42"/>
        <v>2006</v>
      </c>
      <c r="K1369" s="5">
        <f>MONTH(Table1[[#This Row],[Date]])</f>
        <v>2</v>
      </c>
      <c r="L1369" s="5">
        <f>DAY(Table1[[#This Row],[Date]])</f>
        <v>18</v>
      </c>
      <c r="M1369" s="5" t="str">
        <f t="shared" si="43"/>
        <v>Feb</v>
      </c>
    </row>
    <row r="1370" spans="1:13" x14ac:dyDescent="0.25">
      <c r="A1370" s="2">
        <v>38730</v>
      </c>
      <c r="B1370" t="s">
        <v>26</v>
      </c>
      <c r="C1370" t="s">
        <v>23</v>
      </c>
      <c r="D1370" t="s">
        <v>16</v>
      </c>
      <c r="E1370" t="s">
        <v>25</v>
      </c>
      <c r="F1370" s="3">
        <v>5389.28</v>
      </c>
      <c r="G1370" s="3">
        <v>6124.18</v>
      </c>
      <c r="H1370" s="3">
        <f>Table1[[#This Row],[Sale]]-Table1[[#This Row],[Cost]]</f>
        <v>734.90000000000055</v>
      </c>
      <c r="I1370" s="4">
        <f>Table1[[#This Row],[Profit]]/Table1[[#This Row],[Sale]]</f>
        <v>0.1199997387405335</v>
      </c>
      <c r="J1370" s="5">
        <f t="shared" si="42"/>
        <v>2006</v>
      </c>
      <c r="K1370" s="5">
        <f>MONTH(Table1[[#This Row],[Date]])</f>
        <v>1</v>
      </c>
      <c r="L1370" s="5">
        <f>DAY(Table1[[#This Row],[Date]])</f>
        <v>13</v>
      </c>
      <c r="M1370" s="5" t="str">
        <f t="shared" si="43"/>
        <v>Jan</v>
      </c>
    </row>
    <row r="1371" spans="1:13" x14ac:dyDescent="0.25">
      <c r="A1371" s="2">
        <v>38635</v>
      </c>
      <c r="B1371" t="s">
        <v>11</v>
      </c>
      <c r="C1371" t="s">
        <v>12</v>
      </c>
      <c r="D1371" t="s">
        <v>13</v>
      </c>
      <c r="E1371" t="s">
        <v>25</v>
      </c>
      <c r="F1371" s="3">
        <v>4141.41</v>
      </c>
      <c r="G1371" s="3">
        <v>9631.18</v>
      </c>
      <c r="H1371" s="3">
        <f>Table1[[#This Row],[Sale]]-Table1[[#This Row],[Cost]]</f>
        <v>5489.77</v>
      </c>
      <c r="I1371" s="4">
        <f>Table1[[#This Row],[Profit]]/Table1[[#This Row],[Sale]]</f>
        <v>0.56999973004346305</v>
      </c>
      <c r="J1371" s="5">
        <f t="shared" si="42"/>
        <v>2005</v>
      </c>
      <c r="K1371" s="5">
        <f>MONTH(Table1[[#This Row],[Date]])</f>
        <v>10</v>
      </c>
      <c r="L1371" s="5">
        <f>DAY(Table1[[#This Row],[Date]])</f>
        <v>10</v>
      </c>
      <c r="M1371" s="5" t="str">
        <f t="shared" si="43"/>
        <v>Oct</v>
      </c>
    </row>
    <row r="1372" spans="1:13" x14ac:dyDescent="0.25">
      <c r="A1372" s="2">
        <v>38757</v>
      </c>
      <c r="B1372" t="s">
        <v>15</v>
      </c>
      <c r="C1372" t="s">
        <v>27</v>
      </c>
      <c r="D1372" t="s">
        <v>13</v>
      </c>
      <c r="E1372" t="s">
        <v>20</v>
      </c>
      <c r="F1372" s="3">
        <v>2711.13</v>
      </c>
      <c r="G1372" s="3">
        <v>6024.74</v>
      </c>
      <c r="H1372" s="3">
        <f>Table1[[#This Row],[Sale]]-Table1[[#This Row],[Cost]]</f>
        <v>3313.6099999999997</v>
      </c>
      <c r="I1372" s="4">
        <f>Table1[[#This Row],[Profit]]/Table1[[#This Row],[Sale]]</f>
        <v>0.55000049794679928</v>
      </c>
      <c r="J1372" s="5">
        <f t="shared" si="42"/>
        <v>2006</v>
      </c>
      <c r="K1372" s="5">
        <f>MONTH(Table1[[#This Row],[Date]])</f>
        <v>2</v>
      </c>
      <c r="L1372" s="5">
        <f>DAY(Table1[[#This Row],[Date]])</f>
        <v>9</v>
      </c>
      <c r="M1372" s="5" t="str">
        <f t="shared" si="43"/>
        <v>Feb</v>
      </c>
    </row>
    <row r="1373" spans="1:13" x14ac:dyDescent="0.25">
      <c r="A1373" s="2">
        <v>38726</v>
      </c>
      <c r="B1373" t="s">
        <v>26</v>
      </c>
      <c r="C1373" t="s">
        <v>12</v>
      </c>
      <c r="D1373" t="s">
        <v>28</v>
      </c>
      <c r="E1373" t="s">
        <v>24</v>
      </c>
      <c r="F1373" s="3">
        <v>8206.42</v>
      </c>
      <c r="G1373" s="3">
        <v>8776.92</v>
      </c>
      <c r="H1373" s="3">
        <f>Table1[[#This Row],[Sale]]-Table1[[#This Row],[Cost]]</f>
        <v>570.5</v>
      </c>
      <c r="I1373" s="4">
        <f>Table1[[#This Row],[Profit]]/Table1[[#This Row],[Sale]]</f>
        <v>6.5000022787036912E-2</v>
      </c>
      <c r="J1373" s="5">
        <f t="shared" si="42"/>
        <v>2006</v>
      </c>
      <c r="K1373" s="5">
        <f>MONTH(Table1[[#This Row],[Date]])</f>
        <v>1</v>
      </c>
      <c r="L1373" s="5">
        <f>DAY(Table1[[#This Row],[Date]])</f>
        <v>9</v>
      </c>
      <c r="M1373" s="5" t="str">
        <f t="shared" si="43"/>
        <v>Jan</v>
      </c>
    </row>
    <row r="1374" spans="1:13" x14ac:dyDescent="0.25">
      <c r="A1374" s="2">
        <v>38628</v>
      </c>
      <c r="B1374" t="s">
        <v>22</v>
      </c>
      <c r="C1374" t="s">
        <v>23</v>
      </c>
      <c r="D1374" t="s">
        <v>28</v>
      </c>
      <c r="E1374" t="s">
        <v>24</v>
      </c>
      <c r="F1374" s="3">
        <v>1461.23</v>
      </c>
      <c r="G1374" s="3">
        <v>3949.28</v>
      </c>
      <c r="H1374" s="3">
        <f>Table1[[#This Row],[Sale]]-Table1[[#This Row],[Cost]]</f>
        <v>2488.0500000000002</v>
      </c>
      <c r="I1374" s="4">
        <f>Table1[[#This Row],[Profit]]/Table1[[#This Row],[Sale]]</f>
        <v>0.63000091155856264</v>
      </c>
      <c r="J1374" s="5">
        <f t="shared" si="42"/>
        <v>2005</v>
      </c>
      <c r="K1374" s="5">
        <f>MONTH(Table1[[#This Row],[Date]])</f>
        <v>10</v>
      </c>
      <c r="L1374" s="5">
        <f>DAY(Table1[[#This Row],[Date]])</f>
        <v>3</v>
      </c>
      <c r="M1374" s="5" t="str">
        <f t="shared" si="43"/>
        <v>Oct</v>
      </c>
    </row>
    <row r="1375" spans="1:13" x14ac:dyDescent="0.25">
      <c r="A1375" s="2">
        <v>38651</v>
      </c>
      <c r="B1375" t="s">
        <v>15</v>
      </c>
      <c r="C1375" t="s">
        <v>29</v>
      </c>
      <c r="D1375" t="s">
        <v>16</v>
      </c>
      <c r="E1375" t="s">
        <v>25</v>
      </c>
      <c r="F1375" s="3">
        <v>1691.97</v>
      </c>
      <c r="G1375" s="3">
        <v>2867.75</v>
      </c>
      <c r="H1375" s="3">
        <f>Table1[[#This Row],[Sale]]-Table1[[#This Row],[Cost]]</f>
        <v>1175.78</v>
      </c>
      <c r="I1375" s="4">
        <f>Table1[[#This Row],[Profit]]/Table1[[#This Row],[Sale]]</f>
        <v>0.41000087176357769</v>
      </c>
      <c r="J1375" s="5">
        <f t="shared" si="42"/>
        <v>2005</v>
      </c>
      <c r="K1375" s="5">
        <f>MONTH(Table1[[#This Row],[Date]])</f>
        <v>10</v>
      </c>
      <c r="L1375" s="5">
        <f>DAY(Table1[[#This Row],[Date]])</f>
        <v>26</v>
      </c>
      <c r="M1375" s="5" t="str">
        <f t="shared" si="43"/>
        <v>Oct</v>
      </c>
    </row>
    <row r="1376" spans="1:13" x14ac:dyDescent="0.25">
      <c r="A1376" s="2">
        <v>38434</v>
      </c>
      <c r="B1376" t="s">
        <v>21</v>
      </c>
      <c r="C1376" t="s">
        <v>27</v>
      </c>
      <c r="D1376" t="s">
        <v>13</v>
      </c>
      <c r="E1376" t="s">
        <v>14</v>
      </c>
      <c r="F1376" s="3">
        <v>1264.97</v>
      </c>
      <c r="G1376" s="3">
        <v>2144.02</v>
      </c>
      <c r="H1376" s="3">
        <f>Table1[[#This Row],[Sale]]-Table1[[#This Row],[Cost]]</f>
        <v>879.05</v>
      </c>
      <c r="I1376" s="4">
        <f>Table1[[#This Row],[Profit]]/Table1[[#This Row],[Sale]]</f>
        <v>0.41000083954440719</v>
      </c>
      <c r="J1376" s="5">
        <f t="shared" si="42"/>
        <v>2005</v>
      </c>
      <c r="K1376" s="5">
        <f>MONTH(Table1[[#This Row],[Date]])</f>
        <v>3</v>
      </c>
      <c r="L1376" s="5">
        <f>DAY(Table1[[#This Row],[Date]])</f>
        <v>23</v>
      </c>
      <c r="M1376" s="5" t="str">
        <f t="shared" si="43"/>
        <v>Mar</v>
      </c>
    </row>
    <row r="1377" spans="1:13" x14ac:dyDescent="0.25">
      <c r="A1377" s="2">
        <v>38473</v>
      </c>
      <c r="B1377" t="s">
        <v>22</v>
      </c>
      <c r="C1377" t="s">
        <v>23</v>
      </c>
      <c r="D1377" t="s">
        <v>28</v>
      </c>
      <c r="E1377" t="s">
        <v>14</v>
      </c>
      <c r="F1377" s="3">
        <v>2952.36</v>
      </c>
      <c r="G1377" s="3">
        <v>3354.96</v>
      </c>
      <c r="H1377" s="3">
        <f>Table1[[#This Row],[Sale]]-Table1[[#This Row],[Cost]]</f>
        <v>402.59999999999991</v>
      </c>
      <c r="I1377" s="4">
        <f>Table1[[#This Row],[Profit]]/Table1[[#This Row],[Sale]]</f>
        <v>0.1200014307175048</v>
      </c>
      <c r="J1377" s="5">
        <f t="shared" si="42"/>
        <v>2005</v>
      </c>
      <c r="K1377" s="5">
        <f>MONTH(Table1[[#This Row],[Date]])</f>
        <v>5</v>
      </c>
      <c r="L1377" s="5">
        <f>DAY(Table1[[#This Row],[Date]])</f>
        <v>1</v>
      </c>
      <c r="M1377" s="5" t="str">
        <f t="shared" si="43"/>
        <v>May</v>
      </c>
    </row>
    <row r="1378" spans="1:13" x14ac:dyDescent="0.25">
      <c r="A1378" s="2">
        <v>38380</v>
      </c>
      <c r="B1378" t="s">
        <v>21</v>
      </c>
      <c r="C1378" t="s">
        <v>18</v>
      </c>
      <c r="D1378" t="s">
        <v>28</v>
      </c>
      <c r="E1378" t="s">
        <v>25</v>
      </c>
      <c r="F1378" s="3">
        <v>510.95</v>
      </c>
      <c r="G1378" s="3">
        <v>681.27</v>
      </c>
      <c r="H1378" s="3">
        <f>Table1[[#This Row],[Sale]]-Table1[[#This Row],[Cost]]</f>
        <v>170.32</v>
      </c>
      <c r="I1378" s="4">
        <f>Table1[[#This Row],[Profit]]/Table1[[#This Row],[Sale]]</f>
        <v>0.25000366961703874</v>
      </c>
      <c r="J1378" s="5">
        <f t="shared" si="42"/>
        <v>2005</v>
      </c>
      <c r="K1378" s="5">
        <f>MONTH(Table1[[#This Row],[Date]])</f>
        <v>1</v>
      </c>
      <c r="L1378" s="5">
        <f>DAY(Table1[[#This Row],[Date]])</f>
        <v>28</v>
      </c>
      <c r="M1378" s="5" t="str">
        <f t="shared" si="43"/>
        <v>Jan</v>
      </c>
    </row>
    <row r="1379" spans="1:13" x14ac:dyDescent="0.25">
      <c r="A1379" s="2">
        <v>38162</v>
      </c>
      <c r="B1379" t="s">
        <v>21</v>
      </c>
      <c r="C1379" t="s">
        <v>23</v>
      </c>
      <c r="D1379" t="s">
        <v>19</v>
      </c>
      <c r="E1379" t="s">
        <v>24</v>
      </c>
      <c r="F1379" s="3">
        <v>379.57</v>
      </c>
      <c r="G1379" s="3">
        <v>690.12</v>
      </c>
      <c r="H1379" s="3">
        <f>Table1[[#This Row],[Sale]]-Table1[[#This Row],[Cost]]</f>
        <v>310.55</v>
      </c>
      <c r="I1379" s="4">
        <f>Table1[[#This Row],[Profit]]/Table1[[#This Row],[Sale]]</f>
        <v>0.44999420390656697</v>
      </c>
      <c r="J1379" s="5">
        <f t="shared" si="42"/>
        <v>2004</v>
      </c>
      <c r="K1379" s="5">
        <f>MONTH(Table1[[#This Row],[Date]])</f>
        <v>6</v>
      </c>
      <c r="L1379" s="5">
        <f>DAY(Table1[[#This Row],[Date]])</f>
        <v>24</v>
      </c>
      <c r="M1379" s="5" t="str">
        <f t="shared" si="43"/>
        <v>Jun</v>
      </c>
    </row>
    <row r="1380" spans="1:13" x14ac:dyDescent="0.25">
      <c r="A1380" s="2">
        <v>38529</v>
      </c>
      <c r="B1380" t="s">
        <v>15</v>
      </c>
      <c r="C1380" t="s">
        <v>23</v>
      </c>
      <c r="D1380" t="s">
        <v>13</v>
      </c>
      <c r="E1380" t="s">
        <v>24</v>
      </c>
      <c r="F1380" s="3">
        <v>6849.32</v>
      </c>
      <c r="G1380" s="3">
        <v>7783.32</v>
      </c>
      <c r="H1380" s="3">
        <f>Table1[[#This Row],[Sale]]-Table1[[#This Row],[Cost]]</f>
        <v>934</v>
      </c>
      <c r="I1380" s="4">
        <f>Table1[[#This Row],[Profit]]/Table1[[#This Row],[Sale]]</f>
        <v>0.12000020556780397</v>
      </c>
      <c r="J1380" s="5">
        <f t="shared" si="42"/>
        <v>2005</v>
      </c>
      <c r="K1380" s="5">
        <f>MONTH(Table1[[#This Row],[Date]])</f>
        <v>6</v>
      </c>
      <c r="L1380" s="5">
        <f>DAY(Table1[[#This Row],[Date]])</f>
        <v>26</v>
      </c>
      <c r="M1380" s="5" t="str">
        <f t="shared" si="43"/>
        <v>Jun</v>
      </c>
    </row>
    <row r="1381" spans="1:13" x14ac:dyDescent="0.25">
      <c r="A1381" s="2">
        <v>38793</v>
      </c>
      <c r="B1381" t="s">
        <v>15</v>
      </c>
      <c r="C1381" t="s">
        <v>18</v>
      </c>
      <c r="D1381" t="s">
        <v>16</v>
      </c>
      <c r="E1381" t="s">
        <v>24</v>
      </c>
      <c r="F1381" s="3">
        <v>3308.41</v>
      </c>
      <c r="G1381" s="3">
        <v>8941.64</v>
      </c>
      <c r="H1381" s="3">
        <f>Table1[[#This Row],[Sale]]-Table1[[#This Row],[Cost]]</f>
        <v>5633.23</v>
      </c>
      <c r="I1381" s="4">
        <f>Table1[[#This Row],[Profit]]/Table1[[#This Row],[Sale]]</f>
        <v>0.62999964212381621</v>
      </c>
      <c r="J1381" s="5">
        <f t="shared" si="42"/>
        <v>2006</v>
      </c>
      <c r="K1381" s="5">
        <f>MONTH(Table1[[#This Row],[Date]])</f>
        <v>3</v>
      </c>
      <c r="L1381" s="5">
        <f>DAY(Table1[[#This Row],[Date]])</f>
        <v>17</v>
      </c>
      <c r="M1381" s="5" t="str">
        <f t="shared" si="43"/>
        <v>Mar</v>
      </c>
    </row>
    <row r="1382" spans="1:13" x14ac:dyDescent="0.25">
      <c r="A1382" s="2">
        <v>38833</v>
      </c>
      <c r="B1382" t="s">
        <v>26</v>
      </c>
      <c r="C1382" t="s">
        <v>27</v>
      </c>
      <c r="D1382" t="s">
        <v>13</v>
      </c>
      <c r="E1382" t="s">
        <v>20</v>
      </c>
      <c r="F1382" s="3">
        <v>317.27</v>
      </c>
      <c r="G1382" s="3">
        <v>737.84</v>
      </c>
      <c r="H1382" s="3">
        <f>Table1[[#This Row],[Sale]]-Table1[[#This Row],[Cost]]</f>
        <v>420.57000000000005</v>
      </c>
      <c r="I1382" s="4">
        <f>Table1[[#This Row],[Profit]]/Table1[[#This Row],[Sale]]</f>
        <v>0.57000162636886054</v>
      </c>
      <c r="J1382" s="5">
        <f t="shared" si="42"/>
        <v>2006</v>
      </c>
      <c r="K1382" s="5">
        <f>MONTH(Table1[[#This Row],[Date]])</f>
        <v>4</v>
      </c>
      <c r="L1382" s="5">
        <f>DAY(Table1[[#This Row],[Date]])</f>
        <v>26</v>
      </c>
      <c r="M1382" s="5" t="str">
        <f t="shared" si="43"/>
        <v>Apr</v>
      </c>
    </row>
    <row r="1383" spans="1:13" x14ac:dyDescent="0.25">
      <c r="A1383" s="2">
        <v>38658</v>
      </c>
      <c r="B1383" t="s">
        <v>21</v>
      </c>
      <c r="C1383" t="s">
        <v>27</v>
      </c>
      <c r="D1383" t="s">
        <v>19</v>
      </c>
      <c r="E1383" t="s">
        <v>25</v>
      </c>
      <c r="F1383" s="3">
        <v>8071.51</v>
      </c>
      <c r="G1383" s="3">
        <v>8632.6299999999992</v>
      </c>
      <c r="H1383" s="3">
        <f>Table1[[#This Row],[Sale]]-Table1[[#This Row],[Cost]]</f>
        <v>561.11999999999898</v>
      </c>
      <c r="I1383" s="4">
        <f>Table1[[#This Row],[Profit]]/Table1[[#This Row],[Sale]]</f>
        <v>6.4999889952424589E-2</v>
      </c>
      <c r="J1383" s="5">
        <f t="shared" si="42"/>
        <v>2005</v>
      </c>
      <c r="K1383" s="5">
        <f>MONTH(Table1[[#This Row],[Date]])</f>
        <v>11</v>
      </c>
      <c r="L1383" s="5">
        <f>DAY(Table1[[#This Row],[Date]])</f>
        <v>2</v>
      </c>
      <c r="M1383" s="5" t="str">
        <f t="shared" si="43"/>
        <v>Nov</v>
      </c>
    </row>
    <row r="1384" spans="1:13" x14ac:dyDescent="0.25">
      <c r="A1384" s="2">
        <v>38483</v>
      </c>
      <c r="B1384" t="s">
        <v>21</v>
      </c>
      <c r="C1384" t="s">
        <v>23</v>
      </c>
      <c r="D1384" t="s">
        <v>13</v>
      </c>
      <c r="E1384" t="s">
        <v>25</v>
      </c>
      <c r="F1384" s="3">
        <v>6236.36</v>
      </c>
      <c r="G1384" s="3">
        <v>7086.77</v>
      </c>
      <c r="H1384" s="3">
        <f>Table1[[#This Row],[Sale]]-Table1[[#This Row],[Cost]]</f>
        <v>850.41000000000076</v>
      </c>
      <c r="I1384" s="4">
        <f>Table1[[#This Row],[Profit]]/Table1[[#This Row],[Sale]]</f>
        <v>0.11999966134078018</v>
      </c>
      <c r="J1384" s="5">
        <f t="shared" si="42"/>
        <v>2005</v>
      </c>
      <c r="K1384" s="5">
        <f>MONTH(Table1[[#This Row],[Date]])</f>
        <v>5</v>
      </c>
      <c r="L1384" s="5">
        <f>DAY(Table1[[#This Row],[Date]])</f>
        <v>11</v>
      </c>
      <c r="M1384" s="5" t="str">
        <f t="shared" si="43"/>
        <v>May</v>
      </c>
    </row>
    <row r="1385" spans="1:13" x14ac:dyDescent="0.25">
      <c r="A1385" s="2">
        <v>38227</v>
      </c>
      <c r="B1385" t="s">
        <v>21</v>
      </c>
      <c r="C1385" t="s">
        <v>12</v>
      </c>
      <c r="D1385" t="s">
        <v>19</v>
      </c>
      <c r="E1385" t="s">
        <v>25</v>
      </c>
      <c r="F1385" s="3">
        <v>3543.25</v>
      </c>
      <c r="G1385" s="3">
        <v>9576.36</v>
      </c>
      <c r="H1385" s="3">
        <f>Table1[[#This Row],[Sale]]-Table1[[#This Row],[Cost]]</f>
        <v>6033.1100000000006</v>
      </c>
      <c r="I1385" s="4">
        <f>Table1[[#This Row],[Profit]]/Table1[[#This Row],[Sale]]</f>
        <v>0.63000033415619294</v>
      </c>
      <c r="J1385" s="5">
        <f t="shared" si="42"/>
        <v>2004</v>
      </c>
      <c r="K1385" s="5">
        <f>MONTH(Table1[[#This Row],[Date]])</f>
        <v>8</v>
      </c>
      <c r="L1385" s="5">
        <f>DAY(Table1[[#This Row],[Date]])</f>
        <v>28</v>
      </c>
      <c r="M1385" s="5" t="str">
        <f t="shared" si="43"/>
        <v>Aug</v>
      </c>
    </row>
    <row r="1386" spans="1:13" x14ac:dyDescent="0.25">
      <c r="A1386" s="2">
        <v>38709</v>
      </c>
      <c r="B1386" t="s">
        <v>26</v>
      </c>
      <c r="C1386" t="s">
        <v>23</v>
      </c>
      <c r="D1386" t="s">
        <v>28</v>
      </c>
      <c r="E1386" t="s">
        <v>24</v>
      </c>
      <c r="F1386" s="3">
        <v>7134.12</v>
      </c>
      <c r="G1386" s="3">
        <v>8106.96</v>
      </c>
      <c r="H1386" s="3">
        <f>Table1[[#This Row],[Sale]]-Table1[[#This Row],[Cost]]</f>
        <v>972.84000000000015</v>
      </c>
      <c r="I1386" s="4">
        <f>Table1[[#This Row],[Profit]]/Table1[[#This Row],[Sale]]</f>
        <v>0.12000059208383909</v>
      </c>
      <c r="J1386" s="5">
        <f t="shared" si="42"/>
        <v>2005</v>
      </c>
      <c r="K1386" s="5">
        <f>MONTH(Table1[[#This Row],[Date]])</f>
        <v>12</v>
      </c>
      <c r="L1386" s="5">
        <f>DAY(Table1[[#This Row],[Date]])</f>
        <v>23</v>
      </c>
      <c r="M1386" s="5" t="str">
        <f t="shared" si="43"/>
        <v>Dec</v>
      </c>
    </row>
    <row r="1387" spans="1:13" x14ac:dyDescent="0.25">
      <c r="A1387" s="2">
        <v>38714</v>
      </c>
      <c r="B1387" t="s">
        <v>21</v>
      </c>
      <c r="C1387" t="s">
        <v>27</v>
      </c>
      <c r="D1387" t="s">
        <v>19</v>
      </c>
      <c r="E1387" t="s">
        <v>25</v>
      </c>
      <c r="F1387" s="3">
        <v>2215.5300000000002</v>
      </c>
      <c r="G1387" s="3">
        <v>5987.93</v>
      </c>
      <c r="H1387" s="3">
        <f>Table1[[#This Row],[Sale]]-Table1[[#This Row],[Cost]]</f>
        <v>3772.4</v>
      </c>
      <c r="I1387" s="4">
        <f>Table1[[#This Row],[Profit]]/Table1[[#This Row],[Sale]]</f>
        <v>0.63000068471074311</v>
      </c>
      <c r="J1387" s="5">
        <f t="shared" si="42"/>
        <v>2005</v>
      </c>
      <c r="K1387" s="5">
        <f>MONTH(Table1[[#This Row],[Date]])</f>
        <v>12</v>
      </c>
      <c r="L1387" s="5">
        <f>DAY(Table1[[#This Row],[Date]])</f>
        <v>28</v>
      </c>
      <c r="M1387" s="5" t="str">
        <f t="shared" si="43"/>
        <v>Dec</v>
      </c>
    </row>
    <row r="1388" spans="1:13" x14ac:dyDescent="0.25">
      <c r="A1388" s="2">
        <v>38496</v>
      </c>
      <c r="B1388" t="s">
        <v>17</v>
      </c>
      <c r="C1388" t="s">
        <v>12</v>
      </c>
      <c r="D1388" t="s">
        <v>13</v>
      </c>
      <c r="E1388" t="s">
        <v>24</v>
      </c>
      <c r="F1388" s="3">
        <v>6515.34</v>
      </c>
      <c r="G1388" s="3">
        <v>8687.1200000000008</v>
      </c>
      <c r="H1388" s="3">
        <f>Table1[[#This Row],[Sale]]-Table1[[#This Row],[Cost]]</f>
        <v>2171.7800000000007</v>
      </c>
      <c r="I1388" s="4">
        <f>Table1[[#This Row],[Profit]]/Table1[[#This Row],[Sale]]</f>
        <v>0.25000000000000006</v>
      </c>
      <c r="J1388" s="5">
        <f t="shared" si="42"/>
        <v>2005</v>
      </c>
      <c r="K1388" s="5">
        <f>MONTH(Table1[[#This Row],[Date]])</f>
        <v>5</v>
      </c>
      <c r="L1388" s="5">
        <f>DAY(Table1[[#This Row],[Date]])</f>
        <v>24</v>
      </c>
      <c r="M1388" s="5" t="str">
        <f t="shared" si="43"/>
        <v>May</v>
      </c>
    </row>
    <row r="1389" spans="1:13" x14ac:dyDescent="0.25">
      <c r="A1389" s="2">
        <v>38354</v>
      </c>
      <c r="B1389" t="s">
        <v>22</v>
      </c>
      <c r="C1389" t="s">
        <v>27</v>
      </c>
      <c r="D1389" t="s">
        <v>16</v>
      </c>
      <c r="E1389" t="s">
        <v>25</v>
      </c>
      <c r="F1389" s="3">
        <v>5238.7299999999996</v>
      </c>
      <c r="G1389" s="3">
        <v>9032.2999999999993</v>
      </c>
      <c r="H1389" s="3">
        <f>Table1[[#This Row],[Sale]]-Table1[[#This Row],[Cost]]</f>
        <v>3793.5699999999997</v>
      </c>
      <c r="I1389" s="4">
        <f>Table1[[#This Row],[Profit]]/Table1[[#This Row],[Sale]]</f>
        <v>0.42000044285508675</v>
      </c>
      <c r="J1389" s="5">
        <f t="shared" si="42"/>
        <v>2005</v>
      </c>
      <c r="K1389" s="5">
        <f>MONTH(Table1[[#This Row],[Date]])</f>
        <v>1</v>
      </c>
      <c r="L1389" s="5">
        <f>DAY(Table1[[#This Row],[Date]])</f>
        <v>2</v>
      </c>
      <c r="M1389" s="5" t="str">
        <f t="shared" si="43"/>
        <v>Jan</v>
      </c>
    </row>
    <row r="1390" spans="1:13" x14ac:dyDescent="0.25">
      <c r="A1390" s="2">
        <v>38462</v>
      </c>
      <c r="B1390" t="s">
        <v>22</v>
      </c>
      <c r="C1390" t="s">
        <v>29</v>
      </c>
      <c r="D1390" t="s">
        <v>28</v>
      </c>
      <c r="E1390" t="s">
        <v>14</v>
      </c>
      <c r="F1390" s="3">
        <v>5392.36</v>
      </c>
      <c r="G1390" s="3">
        <v>7189.82</v>
      </c>
      <c r="H1390" s="3">
        <f>Table1[[#This Row],[Sale]]-Table1[[#This Row],[Cost]]</f>
        <v>1797.46</v>
      </c>
      <c r="I1390" s="4">
        <f>Table1[[#This Row],[Profit]]/Table1[[#This Row],[Sale]]</f>
        <v>0.25000069542770198</v>
      </c>
      <c r="J1390" s="5">
        <f t="shared" si="42"/>
        <v>2005</v>
      </c>
      <c r="K1390" s="5">
        <f>MONTH(Table1[[#This Row],[Date]])</f>
        <v>4</v>
      </c>
      <c r="L1390" s="5">
        <f>DAY(Table1[[#This Row],[Date]])</f>
        <v>20</v>
      </c>
      <c r="M1390" s="5" t="str">
        <f t="shared" si="43"/>
        <v>Apr</v>
      </c>
    </row>
    <row r="1391" spans="1:13" x14ac:dyDescent="0.25">
      <c r="A1391" s="2">
        <v>38363</v>
      </c>
      <c r="B1391" t="s">
        <v>15</v>
      </c>
      <c r="C1391" t="s">
        <v>27</v>
      </c>
      <c r="D1391" t="s">
        <v>28</v>
      </c>
      <c r="E1391" t="s">
        <v>14</v>
      </c>
      <c r="F1391" s="3">
        <v>351.13</v>
      </c>
      <c r="G1391" s="3">
        <v>638.41999999999996</v>
      </c>
      <c r="H1391" s="3">
        <f>Table1[[#This Row],[Sale]]-Table1[[#This Row],[Cost]]</f>
        <v>287.28999999999996</v>
      </c>
      <c r="I1391" s="4">
        <f>Table1[[#This Row],[Profit]]/Table1[[#This Row],[Sale]]</f>
        <v>0.45000156636696842</v>
      </c>
      <c r="J1391" s="5">
        <f t="shared" si="42"/>
        <v>2005</v>
      </c>
      <c r="K1391" s="5">
        <f>MONTH(Table1[[#This Row],[Date]])</f>
        <v>1</v>
      </c>
      <c r="L1391" s="5">
        <f>DAY(Table1[[#This Row],[Date]])</f>
        <v>11</v>
      </c>
      <c r="M1391" s="5" t="str">
        <f t="shared" si="43"/>
        <v>Jan</v>
      </c>
    </row>
    <row r="1392" spans="1:13" x14ac:dyDescent="0.25">
      <c r="A1392" s="2">
        <v>38747</v>
      </c>
      <c r="B1392" t="s">
        <v>22</v>
      </c>
      <c r="C1392" t="s">
        <v>29</v>
      </c>
      <c r="D1392" t="s">
        <v>16</v>
      </c>
      <c r="E1392" t="s">
        <v>14</v>
      </c>
      <c r="F1392" s="3">
        <v>1418.96</v>
      </c>
      <c r="G1392" s="3">
        <v>2446.4899999999998</v>
      </c>
      <c r="H1392" s="3">
        <f>Table1[[#This Row],[Sale]]-Table1[[#This Row],[Cost]]</f>
        <v>1027.5299999999997</v>
      </c>
      <c r="I1392" s="4">
        <f>Table1[[#This Row],[Profit]]/Table1[[#This Row],[Sale]]</f>
        <v>0.42000171674521453</v>
      </c>
      <c r="J1392" s="5">
        <f t="shared" si="42"/>
        <v>2006</v>
      </c>
      <c r="K1392" s="5">
        <f>MONTH(Table1[[#This Row],[Date]])</f>
        <v>1</v>
      </c>
      <c r="L1392" s="5">
        <f>DAY(Table1[[#This Row],[Date]])</f>
        <v>30</v>
      </c>
      <c r="M1392" s="5" t="str">
        <f t="shared" si="43"/>
        <v>Jan</v>
      </c>
    </row>
    <row r="1393" spans="1:13" x14ac:dyDescent="0.25">
      <c r="A1393" s="2">
        <v>38270</v>
      </c>
      <c r="B1393" t="s">
        <v>22</v>
      </c>
      <c r="C1393" t="s">
        <v>23</v>
      </c>
      <c r="D1393" t="s">
        <v>13</v>
      </c>
      <c r="E1393" t="s">
        <v>20</v>
      </c>
      <c r="F1393" s="3">
        <v>434.61</v>
      </c>
      <c r="G1393" s="3">
        <v>493.88</v>
      </c>
      <c r="H1393" s="3">
        <f>Table1[[#This Row],[Sale]]-Table1[[#This Row],[Cost]]</f>
        <v>59.269999999999982</v>
      </c>
      <c r="I1393" s="4">
        <f>Table1[[#This Row],[Profit]]/Table1[[#This Row],[Sale]]</f>
        <v>0.12000890904673196</v>
      </c>
      <c r="J1393" s="5">
        <f t="shared" si="42"/>
        <v>2004</v>
      </c>
      <c r="K1393" s="5">
        <f>MONTH(Table1[[#This Row],[Date]])</f>
        <v>10</v>
      </c>
      <c r="L1393" s="5">
        <f>DAY(Table1[[#This Row],[Date]])</f>
        <v>10</v>
      </c>
      <c r="M1393" s="5" t="str">
        <f t="shared" si="43"/>
        <v>Oct</v>
      </c>
    </row>
    <row r="1394" spans="1:13" x14ac:dyDescent="0.25">
      <c r="A1394" s="2">
        <v>38251</v>
      </c>
      <c r="B1394" t="s">
        <v>11</v>
      </c>
      <c r="C1394" t="s">
        <v>29</v>
      </c>
      <c r="D1394" t="s">
        <v>13</v>
      </c>
      <c r="E1394" t="s">
        <v>24</v>
      </c>
      <c r="F1394" s="3">
        <v>5774.11</v>
      </c>
      <c r="G1394" s="3">
        <v>9955.3700000000008</v>
      </c>
      <c r="H1394" s="3">
        <f>Table1[[#This Row],[Sale]]-Table1[[#This Row],[Cost]]</f>
        <v>4181.2600000000011</v>
      </c>
      <c r="I1394" s="4">
        <f>Table1[[#This Row],[Profit]]/Table1[[#This Row],[Sale]]</f>
        <v>0.42000046206218361</v>
      </c>
      <c r="J1394" s="5">
        <f t="shared" si="42"/>
        <v>2004</v>
      </c>
      <c r="K1394" s="5">
        <f>MONTH(Table1[[#This Row],[Date]])</f>
        <v>9</v>
      </c>
      <c r="L1394" s="5">
        <f>DAY(Table1[[#This Row],[Date]])</f>
        <v>21</v>
      </c>
      <c r="M1394" s="5" t="str">
        <f t="shared" si="43"/>
        <v>Sep</v>
      </c>
    </row>
    <row r="1395" spans="1:13" x14ac:dyDescent="0.25">
      <c r="A1395" s="2">
        <v>38605</v>
      </c>
      <c r="B1395" t="s">
        <v>26</v>
      </c>
      <c r="C1395" t="s">
        <v>23</v>
      </c>
      <c r="D1395" t="s">
        <v>28</v>
      </c>
      <c r="E1395" t="s">
        <v>25</v>
      </c>
      <c r="F1395" s="3">
        <v>1625.3</v>
      </c>
      <c r="G1395" s="3">
        <v>4392.71</v>
      </c>
      <c r="H1395" s="3">
        <f>Table1[[#This Row],[Sale]]-Table1[[#This Row],[Cost]]</f>
        <v>2767.41</v>
      </c>
      <c r="I1395" s="4">
        <f>Table1[[#This Row],[Profit]]/Table1[[#This Row],[Sale]]</f>
        <v>0.63000061465473478</v>
      </c>
      <c r="J1395" s="5">
        <f t="shared" si="42"/>
        <v>2005</v>
      </c>
      <c r="K1395" s="5">
        <f>MONTH(Table1[[#This Row],[Date]])</f>
        <v>9</v>
      </c>
      <c r="L1395" s="5">
        <f>DAY(Table1[[#This Row],[Date]])</f>
        <v>10</v>
      </c>
      <c r="M1395" s="5" t="str">
        <f t="shared" si="43"/>
        <v>Sep</v>
      </c>
    </row>
    <row r="1396" spans="1:13" x14ac:dyDescent="0.25">
      <c r="A1396" s="2">
        <v>38477</v>
      </c>
      <c r="B1396" t="s">
        <v>17</v>
      </c>
      <c r="C1396" t="s">
        <v>12</v>
      </c>
      <c r="D1396" t="s">
        <v>16</v>
      </c>
      <c r="E1396" t="s">
        <v>20</v>
      </c>
      <c r="F1396" s="3">
        <v>742.98</v>
      </c>
      <c r="G1396" s="3">
        <v>1727.85</v>
      </c>
      <c r="H1396" s="3">
        <f>Table1[[#This Row],[Sale]]-Table1[[#This Row],[Cost]]</f>
        <v>984.86999999999989</v>
      </c>
      <c r="I1396" s="4">
        <f>Table1[[#This Row],[Profit]]/Table1[[#This Row],[Sale]]</f>
        <v>0.5699973956072576</v>
      </c>
      <c r="J1396" s="5">
        <f t="shared" si="42"/>
        <v>2005</v>
      </c>
      <c r="K1396" s="5">
        <f>MONTH(Table1[[#This Row],[Date]])</f>
        <v>5</v>
      </c>
      <c r="L1396" s="5">
        <f>DAY(Table1[[#This Row],[Date]])</f>
        <v>5</v>
      </c>
      <c r="M1396" s="5" t="str">
        <f t="shared" si="43"/>
        <v>May</v>
      </c>
    </row>
    <row r="1397" spans="1:13" x14ac:dyDescent="0.25">
      <c r="A1397" s="2">
        <v>38472</v>
      </c>
      <c r="B1397" t="s">
        <v>11</v>
      </c>
      <c r="C1397" t="s">
        <v>27</v>
      </c>
      <c r="D1397" t="s">
        <v>16</v>
      </c>
      <c r="E1397" t="s">
        <v>14</v>
      </c>
      <c r="F1397" s="3">
        <v>2624.65</v>
      </c>
      <c r="G1397" s="3">
        <v>4448.5600000000004</v>
      </c>
      <c r="H1397" s="3">
        <f>Table1[[#This Row],[Sale]]-Table1[[#This Row],[Cost]]</f>
        <v>1823.9100000000003</v>
      </c>
      <c r="I1397" s="4">
        <f>Table1[[#This Row],[Profit]]/Table1[[#This Row],[Sale]]</f>
        <v>0.41000008991673714</v>
      </c>
      <c r="J1397" s="5">
        <f t="shared" si="42"/>
        <v>2005</v>
      </c>
      <c r="K1397" s="5">
        <f>MONTH(Table1[[#This Row],[Date]])</f>
        <v>4</v>
      </c>
      <c r="L1397" s="5">
        <f>DAY(Table1[[#This Row],[Date]])</f>
        <v>30</v>
      </c>
      <c r="M1397" s="5" t="str">
        <f t="shared" si="43"/>
        <v>Apr</v>
      </c>
    </row>
    <row r="1398" spans="1:13" x14ac:dyDescent="0.25">
      <c r="A1398" s="2">
        <v>38828</v>
      </c>
      <c r="B1398" t="s">
        <v>22</v>
      </c>
      <c r="C1398" t="s">
        <v>18</v>
      </c>
      <c r="D1398" t="s">
        <v>13</v>
      </c>
      <c r="E1398" t="s">
        <v>20</v>
      </c>
      <c r="F1398" s="3">
        <v>3122.13</v>
      </c>
      <c r="G1398" s="3">
        <v>3547.87</v>
      </c>
      <c r="H1398" s="3">
        <f>Table1[[#This Row],[Sale]]-Table1[[#This Row],[Cost]]</f>
        <v>425.73999999999978</v>
      </c>
      <c r="I1398" s="4">
        <f>Table1[[#This Row],[Profit]]/Table1[[#This Row],[Sale]]</f>
        <v>0.11999875981927179</v>
      </c>
      <c r="J1398" s="5">
        <f t="shared" si="42"/>
        <v>2006</v>
      </c>
      <c r="K1398" s="5">
        <f>MONTH(Table1[[#This Row],[Date]])</f>
        <v>4</v>
      </c>
      <c r="L1398" s="5">
        <f>DAY(Table1[[#This Row],[Date]])</f>
        <v>21</v>
      </c>
      <c r="M1398" s="5" t="str">
        <f t="shared" si="43"/>
        <v>Apr</v>
      </c>
    </row>
    <row r="1399" spans="1:13" x14ac:dyDescent="0.25">
      <c r="A1399" s="2">
        <v>38240</v>
      </c>
      <c r="B1399" t="s">
        <v>15</v>
      </c>
      <c r="C1399" t="s">
        <v>23</v>
      </c>
      <c r="D1399" t="s">
        <v>16</v>
      </c>
      <c r="E1399" t="s">
        <v>24</v>
      </c>
      <c r="F1399" s="3">
        <v>2852.34</v>
      </c>
      <c r="G1399" s="3">
        <v>7709.04</v>
      </c>
      <c r="H1399" s="3">
        <f>Table1[[#This Row],[Sale]]-Table1[[#This Row],[Cost]]</f>
        <v>4856.7</v>
      </c>
      <c r="I1399" s="4">
        <f>Table1[[#This Row],[Profit]]/Table1[[#This Row],[Sale]]</f>
        <v>0.63000062264562118</v>
      </c>
      <c r="J1399" s="5">
        <f t="shared" si="42"/>
        <v>2004</v>
      </c>
      <c r="K1399" s="5">
        <f>MONTH(Table1[[#This Row],[Date]])</f>
        <v>9</v>
      </c>
      <c r="L1399" s="5">
        <f>DAY(Table1[[#This Row],[Date]])</f>
        <v>10</v>
      </c>
      <c r="M1399" s="5" t="str">
        <f t="shared" si="43"/>
        <v>Sep</v>
      </c>
    </row>
    <row r="1400" spans="1:13" x14ac:dyDescent="0.25">
      <c r="A1400" s="2">
        <v>38509</v>
      </c>
      <c r="B1400" t="s">
        <v>22</v>
      </c>
      <c r="C1400" t="s">
        <v>23</v>
      </c>
      <c r="D1400" t="s">
        <v>16</v>
      </c>
      <c r="E1400" t="s">
        <v>24</v>
      </c>
      <c r="F1400" s="3">
        <v>989.7</v>
      </c>
      <c r="G1400" s="3">
        <v>2674.87</v>
      </c>
      <c r="H1400" s="3">
        <f>Table1[[#This Row],[Sale]]-Table1[[#This Row],[Cost]]</f>
        <v>1685.1699999999998</v>
      </c>
      <c r="I1400" s="4">
        <f>Table1[[#This Row],[Profit]]/Table1[[#This Row],[Sale]]</f>
        <v>0.6300007103148938</v>
      </c>
      <c r="J1400" s="5">
        <f t="shared" si="42"/>
        <v>2005</v>
      </c>
      <c r="K1400" s="5">
        <f>MONTH(Table1[[#This Row],[Date]])</f>
        <v>6</v>
      </c>
      <c r="L1400" s="5">
        <f>DAY(Table1[[#This Row],[Date]])</f>
        <v>6</v>
      </c>
      <c r="M1400" s="5" t="str">
        <f t="shared" si="43"/>
        <v>Jun</v>
      </c>
    </row>
    <row r="1401" spans="1:13" x14ac:dyDescent="0.25">
      <c r="A1401" s="2">
        <v>38686</v>
      </c>
      <c r="B1401" t="s">
        <v>17</v>
      </c>
      <c r="C1401" t="s">
        <v>12</v>
      </c>
      <c r="D1401" t="s">
        <v>16</v>
      </c>
      <c r="E1401" t="s">
        <v>20</v>
      </c>
      <c r="F1401" s="3">
        <v>218.44</v>
      </c>
      <c r="G1401" s="3">
        <v>508.01</v>
      </c>
      <c r="H1401" s="3">
        <f>Table1[[#This Row],[Sale]]-Table1[[#This Row],[Cost]]</f>
        <v>289.57</v>
      </c>
      <c r="I1401" s="4">
        <f>Table1[[#This Row],[Profit]]/Table1[[#This Row],[Sale]]</f>
        <v>0.57000846440030706</v>
      </c>
      <c r="J1401" s="5">
        <f t="shared" si="42"/>
        <v>2005</v>
      </c>
      <c r="K1401" s="5">
        <f>MONTH(Table1[[#This Row],[Date]])</f>
        <v>11</v>
      </c>
      <c r="L1401" s="5">
        <f>DAY(Table1[[#This Row],[Date]])</f>
        <v>30</v>
      </c>
      <c r="M1401" s="5" t="str">
        <f t="shared" si="43"/>
        <v>Nov</v>
      </c>
    </row>
    <row r="1402" spans="1:13" x14ac:dyDescent="0.25">
      <c r="A1402" s="2">
        <v>38882</v>
      </c>
      <c r="B1402" t="s">
        <v>11</v>
      </c>
      <c r="C1402" t="s">
        <v>27</v>
      </c>
      <c r="D1402" t="s">
        <v>19</v>
      </c>
      <c r="E1402" t="s">
        <v>25</v>
      </c>
      <c r="F1402" s="3">
        <v>2553.2800000000002</v>
      </c>
      <c r="G1402" s="3">
        <v>3754.82</v>
      </c>
      <c r="H1402" s="3">
        <f>Table1[[#This Row],[Sale]]-Table1[[#This Row],[Cost]]</f>
        <v>1201.54</v>
      </c>
      <c r="I1402" s="4">
        <f>Table1[[#This Row],[Profit]]/Table1[[#This Row],[Sale]]</f>
        <v>0.31999936082155733</v>
      </c>
      <c r="J1402" s="5">
        <f t="shared" si="42"/>
        <v>2006</v>
      </c>
      <c r="K1402" s="5">
        <f>MONTH(Table1[[#This Row],[Date]])</f>
        <v>6</v>
      </c>
      <c r="L1402" s="5">
        <f>DAY(Table1[[#This Row],[Date]])</f>
        <v>14</v>
      </c>
      <c r="M1402" s="5" t="str">
        <f t="shared" si="43"/>
        <v>Jun</v>
      </c>
    </row>
    <row r="1403" spans="1:13" x14ac:dyDescent="0.25">
      <c r="A1403" s="2">
        <v>38623</v>
      </c>
      <c r="B1403" t="s">
        <v>26</v>
      </c>
      <c r="C1403" t="s">
        <v>12</v>
      </c>
      <c r="D1403" t="s">
        <v>19</v>
      </c>
      <c r="E1403" t="s">
        <v>25</v>
      </c>
      <c r="F1403" s="3">
        <v>5666.44</v>
      </c>
      <c r="G1403" s="3">
        <v>9769.73</v>
      </c>
      <c r="H1403" s="3">
        <f>Table1[[#This Row],[Sale]]-Table1[[#This Row],[Cost]]</f>
        <v>4103.29</v>
      </c>
      <c r="I1403" s="4">
        <f>Table1[[#This Row],[Profit]]/Table1[[#This Row],[Sale]]</f>
        <v>0.42000034801371178</v>
      </c>
      <c r="J1403" s="5">
        <f t="shared" si="42"/>
        <v>2005</v>
      </c>
      <c r="K1403" s="5">
        <f>MONTH(Table1[[#This Row],[Date]])</f>
        <v>9</v>
      </c>
      <c r="L1403" s="5">
        <f>DAY(Table1[[#This Row],[Date]])</f>
        <v>28</v>
      </c>
      <c r="M1403" s="5" t="str">
        <f t="shared" si="43"/>
        <v>Sep</v>
      </c>
    </row>
    <row r="1404" spans="1:13" x14ac:dyDescent="0.25">
      <c r="A1404" s="2">
        <v>38628</v>
      </c>
      <c r="B1404" t="s">
        <v>15</v>
      </c>
      <c r="C1404" t="s">
        <v>18</v>
      </c>
      <c r="D1404" t="s">
        <v>28</v>
      </c>
      <c r="E1404" t="s">
        <v>14</v>
      </c>
      <c r="F1404" s="3">
        <v>3840.12</v>
      </c>
      <c r="G1404" s="3">
        <v>4363.7700000000004</v>
      </c>
      <c r="H1404" s="3">
        <f>Table1[[#This Row],[Sale]]-Table1[[#This Row],[Cost]]</f>
        <v>523.65000000000055</v>
      </c>
      <c r="I1404" s="4">
        <f>Table1[[#This Row],[Profit]]/Table1[[#This Row],[Sale]]</f>
        <v>0.11999945001684335</v>
      </c>
      <c r="J1404" s="5">
        <f t="shared" si="42"/>
        <v>2005</v>
      </c>
      <c r="K1404" s="5">
        <f>MONTH(Table1[[#This Row],[Date]])</f>
        <v>10</v>
      </c>
      <c r="L1404" s="5">
        <f>DAY(Table1[[#This Row],[Date]])</f>
        <v>3</v>
      </c>
      <c r="M1404" s="5" t="str">
        <f t="shared" si="43"/>
        <v>Oct</v>
      </c>
    </row>
    <row r="1405" spans="1:13" x14ac:dyDescent="0.25">
      <c r="A1405" s="2">
        <v>38199</v>
      </c>
      <c r="B1405" t="s">
        <v>15</v>
      </c>
      <c r="C1405" t="s">
        <v>12</v>
      </c>
      <c r="D1405" t="s">
        <v>13</v>
      </c>
      <c r="E1405" t="s">
        <v>14</v>
      </c>
      <c r="F1405" s="3">
        <v>2830.67</v>
      </c>
      <c r="G1405" s="3">
        <v>4797.75</v>
      </c>
      <c r="H1405" s="3">
        <f>Table1[[#This Row],[Sale]]-Table1[[#This Row],[Cost]]</f>
        <v>1967.08</v>
      </c>
      <c r="I1405" s="4">
        <f>Table1[[#This Row],[Profit]]/Table1[[#This Row],[Sale]]</f>
        <v>0.41000052107758844</v>
      </c>
      <c r="J1405" s="5">
        <f t="shared" si="42"/>
        <v>2004</v>
      </c>
      <c r="K1405" s="5">
        <f>MONTH(Table1[[#This Row],[Date]])</f>
        <v>7</v>
      </c>
      <c r="L1405" s="5">
        <f>DAY(Table1[[#This Row],[Date]])</f>
        <v>31</v>
      </c>
      <c r="M1405" s="5" t="str">
        <f t="shared" si="43"/>
        <v>Jul</v>
      </c>
    </row>
    <row r="1406" spans="1:13" x14ac:dyDescent="0.25">
      <c r="A1406" s="2">
        <v>38571</v>
      </c>
      <c r="B1406" t="s">
        <v>26</v>
      </c>
      <c r="C1406" t="s">
        <v>27</v>
      </c>
      <c r="D1406" t="s">
        <v>19</v>
      </c>
      <c r="E1406" t="s">
        <v>24</v>
      </c>
      <c r="F1406" s="3">
        <v>6549.87</v>
      </c>
      <c r="G1406" s="3">
        <v>7005.21</v>
      </c>
      <c r="H1406" s="3">
        <f>Table1[[#This Row],[Sale]]-Table1[[#This Row],[Cost]]</f>
        <v>455.34000000000015</v>
      </c>
      <c r="I1406" s="4">
        <f>Table1[[#This Row],[Profit]]/Table1[[#This Row],[Sale]]</f>
        <v>6.5000192713708813E-2</v>
      </c>
      <c r="J1406" s="5">
        <f t="shared" si="42"/>
        <v>2005</v>
      </c>
      <c r="K1406" s="5">
        <f>MONTH(Table1[[#This Row],[Date]])</f>
        <v>8</v>
      </c>
      <c r="L1406" s="5">
        <f>DAY(Table1[[#This Row],[Date]])</f>
        <v>7</v>
      </c>
      <c r="M1406" s="5" t="str">
        <f t="shared" si="43"/>
        <v>Aug</v>
      </c>
    </row>
    <row r="1407" spans="1:13" x14ac:dyDescent="0.25">
      <c r="A1407" s="2">
        <v>38834</v>
      </c>
      <c r="B1407" t="s">
        <v>22</v>
      </c>
      <c r="C1407" t="s">
        <v>27</v>
      </c>
      <c r="D1407" t="s">
        <v>16</v>
      </c>
      <c r="E1407" t="s">
        <v>14</v>
      </c>
      <c r="F1407" s="3">
        <v>1186.6400000000001</v>
      </c>
      <c r="G1407" s="3">
        <v>2759.63</v>
      </c>
      <c r="H1407" s="3">
        <f>Table1[[#This Row],[Sale]]-Table1[[#This Row],[Cost]]</f>
        <v>1572.99</v>
      </c>
      <c r="I1407" s="4">
        <f>Table1[[#This Row],[Profit]]/Table1[[#This Row],[Sale]]</f>
        <v>0.57000032613067697</v>
      </c>
      <c r="J1407" s="5">
        <f t="shared" si="42"/>
        <v>2006</v>
      </c>
      <c r="K1407" s="5">
        <f>MONTH(Table1[[#This Row],[Date]])</f>
        <v>4</v>
      </c>
      <c r="L1407" s="5">
        <f>DAY(Table1[[#This Row],[Date]])</f>
        <v>27</v>
      </c>
      <c r="M1407" s="5" t="str">
        <f t="shared" si="43"/>
        <v>Apr</v>
      </c>
    </row>
    <row r="1408" spans="1:13" x14ac:dyDescent="0.25">
      <c r="A1408" s="2">
        <v>38466</v>
      </c>
      <c r="B1408" t="s">
        <v>21</v>
      </c>
      <c r="C1408" t="s">
        <v>29</v>
      </c>
      <c r="D1408" t="s">
        <v>16</v>
      </c>
      <c r="E1408" t="s">
        <v>20</v>
      </c>
      <c r="F1408" s="3">
        <v>2100.8000000000002</v>
      </c>
      <c r="G1408" s="3">
        <v>3089.41</v>
      </c>
      <c r="H1408" s="3">
        <f>Table1[[#This Row],[Sale]]-Table1[[#This Row],[Cost]]</f>
        <v>988.60999999999967</v>
      </c>
      <c r="I1408" s="4">
        <f>Table1[[#This Row],[Profit]]/Table1[[#This Row],[Sale]]</f>
        <v>0.31999961157632029</v>
      </c>
      <c r="J1408" s="5">
        <f t="shared" si="42"/>
        <v>2005</v>
      </c>
      <c r="K1408" s="5">
        <f>MONTH(Table1[[#This Row],[Date]])</f>
        <v>4</v>
      </c>
      <c r="L1408" s="5">
        <f>DAY(Table1[[#This Row],[Date]])</f>
        <v>24</v>
      </c>
      <c r="M1408" s="5" t="str">
        <f t="shared" si="43"/>
        <v>Apr</v>
      </c>
    </row>
    <row r="1409" spans="1:13" x14ac:dyDescent="0.25">
      <c r="A1409" s="2">
        <v>38782</v>
      </c>
      <c r="B1409" t="s">
        <v>21</v>
      </c>
      <c r="C1409" t="s">
        <v>29</v>
      </c>
      <c r="D1409" t="s">
        <v>28</v>
      </c>
      <c r="E1409" t="s">
        <v>14</v>
      </c>
      <c r="F1409" s="3">
        <v>4512.3900000000003</v>
      </c>
      <c r="G1409" s="3">
        <v>5127.72</v>
      </c>
      <c r="H1409" s="3">
        <f>Table1[[#This Row],[Sale]]-Table1[[#This Row],[Cost]]</f>
        <v>615.32999999999993</v>
      </c>
      <c r="I1409" s="4">
        <f>Table1[[#This Row],[Profit]]/Table1[[#This Row],[Sale]]</f>
        <v>0.12000070206641546</v>
      </c>
      <c r="J1409" s="5">
        <f t="shared" si="42"/>
        <v>2006</v>
      </c>
      <c r="K1409" s="5">
        <f>MONTH(Table1[[#This Row],[Date]])</f>
        <v>3</v>
      </c>
      <c r="L1409" s="5">
        <f>DAY(Table1[[#This Row],[Date]])</f>
        <v>6</v>
      </c>
      <c r="M1409" s="5" t="str">
        <f t="shared" si="43"/>
        <v>Mar</v>
      </c>
    </row>
    <row r="1410" spans="1:13" x14ac:dyDescent="0.25">
      <c r="A1410" s="2">
        <v>38329</v>
      </c>
      <c r="B1410" t="s">
        <v>11</v>
      </c>
      <c r="C1410" t="s">
        <v>12</v>
      </c>
      <c r="D1410" t="s">
        <v>19</v>
      </c>
      <c r="E1410" t="s">
        <v>20</v>
      </c>
      <c r="F1410" s="3">
        <v>975.55</v>
      </c>
      <c r="G1410" s="3">
        <v>1681.98</v>
      </c>
      <c r="H1410" s="3">
        <f>Table1[[#This Row],[Sale]]-Table1[[#This Row],[Cost]]</f>
        <v>706.43000000000006</v>
      </c>
      <c r="I1410" s="4">
        <f>Table1[[#This Row],[Profit]]/Table1[[#This Row],[Sale]]</f>
        <v>0.4199990487401753</v>
      </c>
      <c r="J1410" s="5">
        <f t="shared" ref="J1410:J1473" si="44">YEAR(A:A)</f>
        <v>2004</v>
      </c>
      <c r="K1410" s="5">
        <f>MONTH(Table1[[#This Row],[Date]])</f>
        <v>12</v>
      </c>
      <c r="L1410" s="5">
        <f>DAY(Table1[[#This Row],[Date]])</f>
        <v>8</v>
      </c>
      <c r="M1410" s="5" t="str">
        <f t="shared" ref="M1410:M1473" si="45">CHOOSE(K1410,"Jan", "Feb", "Mar", "Apr", "May", "Jun", "Jul", "Aug", "Sep", "Oct", "Nov", "Dec")</f>
        <v>Dec</v>
      </c>
    </row>
    <row r="1411" spans="1:13" x14ac:dyDescent="0.25">
      <c r="A1411" s="2">
        <v>38413</v>
      </c>
      <c r="B1411" t="s">
        <v>26</v>
      </c>
      <c r="C1411" t="s">
        <v>29</v>
      </c>
      <c r="D1411" t="s">
        <v>16</v>
      </c>
      <c r="E1411" t="s">
        <v>24</v>
      </c>
      <c r="F1411" s="3">
        <v>4427.3900000000003</v>
      </c>
      <c r="G1411" s="3">
        <v>7504.05</v>
      </c>
      <c r="H1411" s="3">
        <f>Table1[[#This Row],[Sale]]-Table1[[#This Row],[Cost]]</f>
        <v>3076.66</v>
      </c>
      <c r="I1411" s="4">
        <f>Table1[[#This Row],[Profit]]/Table1[[#This Row],[Sale]]</f>
        <v>0.4099999333693139</v>
      </c>
      <c r="J1411" s="5">
        <f t="shared" si="44"/>
        <v>2005</v>
      </c>
      <c r="K1411" s="5">
        <f>MONTH(Table1[[#This Row],[Date]])</f>
        <v>3</v>
      </c>
      <c r="L1411" s="5">
        <f>DAY(Table1[[#This Row],[Date]])</f>
        <v>2</v>
      </c>
      <c r="M1411" s="5" t="str">
        <f t="shared" si="45"/>
        <v>Mar</v>
      </c>
    </row>
    <row r="1412" spans="1:13" x14ac:dyDescent="0.25">
      <c r="A1412" s="2">
        <v>38709</v>
      </c>
      <c r="B1412" t="s">
        <v>15</v>
      </c>
      <c r="C1412" t="s">
        <v>29</v>
      </c>
      <c r="D1412" t="s">
        <v>19</v>
      </c>
      <c r="E1412" t="s">
        <v>20</v>
      </c>
      <c r="F1412" s="3">
        <v>4489.32</v>
      </c>
      <c r="G1412" s="3">
        <v>5985.76</v>
      </c>
      <c r="H1412" s="3">
        <f>Table1[[#This Row],[Sale]]-Table1[[#This Row],[Cost]]</f>
        <v>1496.4400000000005</v>
      </c>
      <c r="I1412" s="4">
        <f>Table1[[#This Row],[Profit]]/Table1[[#This Row],[Sale]]</f>
        <v>0.25000000000000006</v>
      </c>
      <c r="J1412" s="5">
        <f t="shared" si="44"/>
        <v>2005</v>
      </c>
      <c r="K1412" s="5">
        <f>MONTH(Table1[[#This Row],[Date]])</f>
        <v>12</v>
      </c>
      <c r="L1412" s="5">
        <f>DAY(Table1[[#This Row],[Date]])</f>
        <v>23</v>
      </c>
      <c r="M1412" s="5" t="str">
        <f t="shared" si="45"/>
        <v>Dec</v>
      </c>
    </row>
    <row r="1413" spans="1:13" x14ac:dyDescent="0.25">
      <c r="A1413" s="2">
        <v>38559</v>
      </c>
      <c r="B1413" t="s">
        <v>11</v>
      </c>
      <c r="C1413" t="s">
        <v>27</v>
      </c>
      <c r="D1413" t="s">
        <v>28</v>
      </c>
      <c r="E1413" t="s">
        <v>24</v>
      </c>
      <c r="F1413" s="3">
        <v>944.05</v>
      </c>
      <c r="G1413" s="3">
        <v>1600.08</v>
      </c>
      <c r="H1413" s="3">
        <f>Table1[[#This Row],[Sale]]-Table1[[#This Row],[Cost]]</f>
        <v>656.03</v>
      </c>
      <c r="I1413" s="4">
        <f>Table1[[#This Row],[Profit]]/Table1[[#This Row],[Sale]]</f>
        <v>0.40999825008749563</v>
      </c>
      <c r="J1413" s="5">
        <f t="shared" si="44"/>
        <v>2005</v>
      </c>
      <c r="K1413" s="5">
        <f>MONTH(Table1[[#This Row],[Date]])</f>
        <v>7</v>
      </c>
      <c r="L1413" s="5">
        <f>DAY(Table1[[#This Row],[Date]])</f>
        <v>26</v>
      </c>
      <c r="M1413" s="5" t="str">
        <f t="shared" si="45"/>
        <v>Jul</v>
      </c>
    </row>
    <row r="1414" spans="1:13" x14ac:dyDescent="0.25">
      <c r="A1414" s="2">
        <v>38303</v>
      </c>
      <c r="B1414" t="s">
        <v>26</v>
      </c>
      <c r="C1414" t="s">
        <v>18</v>
      </c>
      <c r="D1414" t="s">
        <v>16</v>
      </c>
      <c r="E1414" t="s">
        <v>20</v>
      </c>
      <c r="F1414" s="3">
        <v>3504.65</v>
      </c>
      <c r="G1414" s="3">
        <v>8150.36</v>
      </c>
      <c r="H1414" s="3">
        <f>Table1[[#This Row],[Sale]]-Table1[[#This Row],[Cost]]</f>
        <v>4645.7099999999991</v>
      </c>
      <c r="I1414" s="4">
        <f>Table1[[#This Row],[Profit]]/Table1[[#This Row],[Sale]]</f>
        <v>0.570000588931041</v>
      </c>
      <c r="J1414" s="5">
        <f t="shared" si="44"/>
        <v>2004</v>
      </c>
      <c r="K1414" s="5">
        <f>MONTH(Table1[[#This Row],[Date]])</f>
        <v>11</v>
      </c>
      <c r="L1414" s="5">
        <f>DAY(Table1[[#This Row],[Date]])</f>
        <v>12</v>
      </c>
      <c r="M1414" s="5" t="str">
        <f t="shared" si="45"/>
        <v>Nov</v>
      </c>
    </row>
    <row r="1415" spans="1:13" x14ac:dyDescent="0.25">
      <c r="A1415" s="2">
        <v>38637</v>
      </c>
      <c r="B1415" t="s">
        <v>11</v>
      </c>
      <c r="C1415" t="s">
        <v>27</v>
      </c>
      <c r="D1415" t="s">
        <v>28</v>
      </c>
      <c r="E1415" t="s">
        <v>24</v>
      </c>
      <c r="F1415" s="3">
        <v>1077.8</v>
      </c>
      <c r="G1415" s="3">
        <v>2395.12</v>
      </c>
      <c r="H1415" s="3">
        <f>Table1[[#This Row],[Sale]]-Table1[[#This Row],[Cost]]</f>
        <v>1317.32</v>
      </c>
      <c r="I1415" s="4">
        <f>Table1[[#This Row],[Profit]]/Table1[[#This Row],[Sale]]</f>
        <v>0.55000167006246037</v>
      </c>
      <c r="J1415" s="5">
        <f t="shared" si="44"/>
        <v>2005</v>
      </c>
      <c r="K1415" s="5">
        <f>MONTH(Table1[[#This Row],[Date]])</f>
        <v>10</v>
      </c>
      <c r="L1415" s="5">
        <f>DAY(Table1[[#This Row],[Date]])</f>
        <v>12</v>
      </c>
      <c r="M1415" s="5" t="str">
        <f t="shared" si="45"/>
        <v>Oct</v>
      </c>
    </row>
    <row r="1416" spans="1:13" x14ac:dyDescent="0.25">
      <c r="A1416" s="2">
        <v>38162</v>
      </c>
      <c r="B1416" t="s">
        <v>15</v>
      </c>
      <c r="C1416" t="s">
        <v>12</v>
      </c>
      <c r="D1416" t="s">
        <v>16</v>
      </c>
      <c r="E1416" t="s">
        <v>24</v>
      </c>
      <c r="F1416" s="3">
        <v>2729.85</v>
      </c>
      <c r="G1416" s="3">
        <v>7377.97</v>
      </c>
      <c r="H1416" s="3">
        <f>Table1[[#This Row],[Sale]]-Table1[[#This Row],[Cost]]</f>
        <v>4648.1200000000008</v>
      </c>
      <c r="I1416" s="4">
        <f>Table1[[#This Row],[Profit]]/Table1[[#This Row],[Sale]]</f>
        <v>0.62999985090749899</v>
      </c>
      <c r="J1416" s="5">
        <f t="shared" si="44"/>
        <v>2004</v>
      </c>
      <c r="K1416" s="5">
        <f>MONTH(Table1[[#This Row],[Date]])</f>
        <v>6</v>
      </c>
      <c r="L1416" s="5">
        <f>DAY(Table1[[#This Row],[Date]])</f>
        <v>24</v>
      </c>
      <c r="M1416" s="5" t="str">
        <f t="shared" si="45"/>
        <v>Jun</v>
      </c>
    </row>
    <row r="1417" spans="1:13" x14ac:dyDescent="0.25">
      <c r="A1417" s="2">
        <v>38468</v>
      </c>
      <c r="B1417" t="s">
        <v>15</v>
      </c>
      <c r="C1417" t="s">
        <v>29</v>
      </c>
      <c r="D1417" t="s">
        <v>13</v>
      </c>
      <c r="E1417" t="s">
        <v>25</v>
      </c>
      <c r="F1417" s="3">
        <v>1101.8499999999999</v>
      </c>
      <c r="G1417" s="3">
        <v>1469.13</v>
      </c>
      <c r="H1417" s="3">
        <f>Table1[[#This Row],[Sale]]-Table1[[#This Row],[Cost]]</f>
        <v>367.2800000000002</v>
      </c>
      <c r="I1417" s="4">
        <f>Table1[[#This Row],[Profit]]/Table1[[#This Row],[Sale]]</f>
        <v>0.24999829831260689</v>
      </c>
      <c r="J1417" s="5">
        <f t="shared" si="44"/>
        <v>2005</v>
      </c>
      <c r="K1417" s="5">
        <f>MONTH(Table1[[#This Row],[Date]])</f>
        <v>4</v>
      </c>
      <c r="L1417" s="5">
        <f>DAY(Table1[[#This Row],[Date]])</f>
        <v>26</v>
      </c>
      <c r="M1417" s="5" t="str">
        <f t="shared" si="45"/>
        <v>Apr</v>
      </c>
    </row>
    <row r="1418" spans="1:13" x14ac:dyDescent="0.25">
      <c r="A1418" s="2">
        <v>38673</v>
      </c>
      <c r="B1418" t="s">
        <v>17</v>
      </c>
      <c r="C1418" t="s">
        <v>29</v>
      </c>
      <c r="D1418" t="s">
        <v>19</v>
      </c>
      <c r="E1418" t="s">
        <v>14</v>
      </c>
      <c r="F1418" s="3">
        <v>4996.32</v>
      </c>
      <c r="G1418" s="3">
        <v>8468.34</v>
      </c>
      <c r="H1418" s="3">
        <f>Table1[[#This Row],[Sale]]-Table1[[#This Row],[Cost]]</f>
        <v>3472.0200000000004</v>
      </c>
      <c r="I1418" s="4">
        <f>Table1[[#This Row],[Profit]]/Table1[[#This Row],[Sale]]</f>
        <v>0.41000007085213874</v>
      </c>
      <c r="J1418" s="5">
        <f t="shared" si="44"/>
        <v>2005</v>
      </c>
      <c r="K1418" s="5">
        <f>MONTH(Table1[[#This Row],[Date]])</f>
        <v>11</v>
      </c>
      <c r="L1418" s="5">
        <f>DAY(Table1[[#This Row],[Date]])</f>
        <v>17</v>
      </c>
      <c r="M1418" s="5" t="str">
        <f t="shared" si="45"/>
        <v>Nov</v>
      </c>
    </row>
    <row r="1419" spans="1:13" x14ac:dyDescent="0.25">
      <c r="A1419" s="2">
        <v>38337</v>
      </c>
      <c r="B1419" t="s">
        <v>21</v>
      </c>
      <c r="C1419" t="s">
        <v>23</v>
      </c>
      <c r="D1419" t="s">
        <v>19</v>
      </c>
      <c r="E1419" t="s">
        <v>24</v>
      </c>
      <c r="F1419" s="3">
        <v>1232.27</v>
      </c>
      <c r="G1419" s="3">
        <v>1643.02</v>
      </c>
      <c r="H1419" s="3">
        <f>Table1[[#This Row],[Sale]]-Table1[[#This Row],[Cost]]</f>
        <v>410.75</v>
      </c>
      <c r="I1419" s="4">
        <f>Table1[[#This Row],[Profit]]/Table1[[#This Row],[Sale]]</f>
        <v>0.24999695682341055</v>
      </c>
      <c r="J1419" s="5">
        <f t="shared" si="44"/>
        <v>2004</v>
      </c>
      <c r="K1419" s="5">
        <f>MONTH(Table1[[#This Row],[Date]])</f>
        <v>12</v>
      </c>
      <c r="L1419" s="5">
        <f>DAY(Table1[[#This Row],[Date]])</f>
        <v>16</v>
      </c>
      <c r="M1419" s="5" t="str">
        <f t="shared" si="45"/>
        <v>Dec</v>
      </c>
    </row>
    <row r="1420" spans="1:13" x14ac:dyDescent="0.25">
      <c r="A1420" s="2">
        <v>38720</v>
      </c>
      <c r="B1420" t="s">
        <v>22</v>
      </c>
      <c r="C1420" t="s">
        <v>18</v>
      </c>
      <c r="D1420" t="s">
        <v>16</v>
      </c>
      <c r="E1420" t="s">
        <v>20</v>
      </c>
      <c r="F1420" s="3">
        <v>3072.93</v>
      </c>
      <c r="G1420" s="3">
        <v>3286.56</v>
      </c>
      <c r="H1420" s="3">
        <f>Table1[[#This Row],[Sale]]-Table1[[#This Row],[Cost]]</f>
        <v>213.63000000000011</v>
      </c>
      <c r="I1420" s="4">
        <f>Table1[[#This Row],[Profit]]/Table1[[#This Row],[Sale]]</f>
        <v>6.5001095370235171E-2</v>
      </c>
      <c r="J1420" s="5">
        <f t="shared" si="44"/>
        <v>2006</v>
      </c>
      <c r="K1420" s="5">
        <f>MONTH(Table1[[#This Row],[Date]])</f>
        <v>1</v>
      </c>
      <c r="L1420" s="5">
        <f>DAY(Table1[[#This Row],[Date]])</f>
        <v>3</v>
      </c>
      <c r="M1420" s="5" t="str">
        <f t="shared" si="45"/>
        <v>Jan</v>
      </c>
    </row>
    <row r="1421" spans="1:13" x14ac:dyDescent="0.25">
      <c r="A1421" s="2">
        <v>38603</v>
      </c>
      <c r="B1421" t="s">
        <v>11</v>
      </c>
      <c r="C1421" t="s">
        <v>12</v>
      </c>
      <c r="D1421" t="s">
        <v>28</v>
      </c>
      <c r="E1421" t="s">
        <v>14</v>
      </c>
      <c r="F1421" s="3">
        <v>4463.2</v>
      </c>
      <c r="G1421" s="3">
        <v>7564.74</v>
      </c>
      <c r="H1421" s="3">
        <f>Table1[[#This Row],[Sale]]-Table1[[#This Row],[Cost]]</f>
        <v>3101.54</v>
      </c>
      <c r="I1421" s="4">
        <f>Table1[[#This Row],[Profit]]/Table1[[#This Row],[Sale]]</f>
        <v>0.40999955054635057</v>
      </c>
      <c r="J1421" s="5">
        <f t="shared" si="44"/>
        <v>2005</v>
      </c>
      <c r="K1421" s="5">
        <f>MONTH(Table1[[#This Row],[Date]])</f>
        <v>9</v>
      </c>
      <c r="L1421" s="5">
        <f>DAY(Table1[[#This Row],[Date]])</f>
        <v>8</v>
      </c>
      <c r="M1421" s="5" t="str">
        <f t="shared" si="45"/>
        <v>Sep</v>
      </c>
    </row>
    <row r="1422" spans="1:13" x14ac:dyDescent="0.25">
      <c r="A1422" s="2">
        <v>38399</v>
      </c>
      <c r="B1422" t="s">
        <v>11</v>
      </c>
      <c r="C1422" t="s">
        <v>18</v>
      </c>
      <c r="D1422" t="s">
        <v>13</v>
      </c>
      <c r="E1422" t="s">
        <v>20</v>
      </c>
      <c r="F1422" s="3">
        <v>2235.23</v>
      </c>
      <c r="G1422" s="3">
        <v>2540.0300000000002</v>
      </c>
      <c r="H1422" s="3">
        <f>Table1[[#This Row],[Sale]]-Table1[[#This Row],[Cost]]</f>
        <v>304.80000000000018</v>
      </c>
      <c r="I1422" s="4">
        <f>Table1[[#This Row],[Profit]]/Table1[[#This Row],[Sale]]</f>
        <v>0.11999858269390526</v>
      </c>
      <c r="J1422" s="5">
        <f t="shared" si="44"/>
        <v>2005</v>
      </c>
      <c r="K1422" s="5">
        <f>MONTH(Table1[[#This Row],[Date]])</f>
        <v>2</v>
      </c>
      <c r="L1422" s="5">
        <f>DAY(Table1[[#This Row],[Date]])</f>
        <v>16</v>
      </c>
      <c r="M1422" s="5" t="str">
        <f t="shared" si="45"/>
        <v>Feb</v>
      </c>
    </row>
    <row r="1423" spans="1:13" x14ac:dyDescent="0.25">
      <c r="A1423" s="2">
        <v>38781</v>
      </c>
      <c r="B1423" t="s">
        <v>22</v>
      </c>
      <c r="C1423" t="s">
        <v>29</v>
      </c>
      <c r="D1423" t="s">
        <v>13</v>
      </c>
      <c r="E1423" t="s">
        <v>20</v>
      </c>
      <c r="F1423" s="3">
        <v>1200.8800000000001</v>
      </c>
      <c r="G1423" s="3">
        <v>3245.61</v>
      </c>
      <c r="H1423" s="3">
        <f>Table1[[#This Row],[Sale]]-Table1[[#This Row],[Cost]]</f>
        <v>2044.73</v>
      </c>
      <c r="I1423" s="4">
        <f>Table1[[#This Row],[Profit]]/Table1[[#This Row],[Sale]]</f>
        <v>0.62999867513348795</v>
      </c>
      <c r="J1423" s="5">
        <f t="shared" si="44"/>
        <v>2006</v>
      </c>
      <c r="K1423" s="5">
        <f>MONTH(Table1[[#This Row],[Date]])</f>
        <v>3</v>
      </c>
      <c r="L1423" s="5">
        <f>DAY(Table1[[#This Row],[Date]])</f>
        <v>5</v>
      </c>
      <c r="M1423" s="5" t="str">
        <f t="shared" si="45"/>
        <v>Mar</v>
      </c>
    </row>
    <row r="1424" spans="1:13" x14ac:dyDescent="0.25">
      <c r="A1424" s="2">
        <v>38267</v>
      </c>
      <c r="B1424" t="s">
        <v>22</v>
      </c>
      <c r="C1424" t="s">
        <v>27</v>
      </c>
      <c r="D1424" t="s">
        <v>19</v>
      </c>
      <c r="E1424" t="s">
        <v>24</v>
      </c>
      <c r="F1424" s="3">
        <v>2251.4299999999998</v>
      </c>
      <c r="G1424" s="3">
        <v>2558.44</v>
      </c>
      <c r="H1424" s="3">
        <f>Table1[[#This Row],[Sale]]-Table1[[#This Row],[Cost]]</f>
        <v>307.01000000000022</v>
      </c>
      <c r="I1424" s="4">
        <f>Table1[[#This Row],[Profit]]/Table1[[#This Row],[Sale]]</f>
        <v>0.11999890558308977</v>
      </c>
      <c r="J1424" s="5">
        <f t="shared" si="44"/>
        <v>2004</v>
      </c>
      <c r="K1424" s="5">
        <f>MONTH(Table1[[#This Row],[Date]])</f>
        <v>10</v>
      </c>
      <c r="L1424" s="5">
        <f>DAY(Table1[[#This Row],[Date]])</f>
        <v>7</v>
      </c>
      <c r="M1424" s="5" t="str">
        <f t="shared" si="45"/>
        <v>Oct</v>
      </c>
    </row>
    <row r="1425" spans="1:13" x14ac:dyDescent="0.25">
      <c r="A1425" s="2">
        <v>38883</v>
      </c>
      <c r="B1425" t="s">
        <v>15</v>
      </c>
      <c r="C1425" t="s">
        <v>27</v>
      </c>
      <c r="D1425" t="s">
        <v>13</v>
      </c>
      <c r="E1425" t="s">
        <v>24</v>
      </c>
      <c r="F1425" s="3">
        <v>736.25</v>
      </c>
      <c r="G1425" s="3">
        <v>836.65</v>
      </c>
      <c r="H1425" s="3">
        <f>Table1[[#This Row],[Sale]]-Table1[[#This Row],[Cost]]</f>
        <v>100.39999999999998</v>
      </c>
      <c r="I1425" s="4">
        <f>Table1[[#This Row],[Profit]]/Table1[[#This Row],[Sale]]</f>
        <v>0.12000239048586622</v>
      </c>
      <c r="J1425" s="5">
        <f t="shared" si="44"/>
        <v>2006</v>
      </c>
      <c r="K1425" s="5">
        <f>MONTH(Table1[[#This Row],[Date]])</f>
        <v>6</v>
      </c>
      <c r="L1425" s="5">
        <f>DAY(Table1[[#This Row],[Date]])</f>
        <v>15</v>
      </c>
      <c r="M1425" s="5" t="str">
        <f t="shared" si="45"/>
        <v>Jun</v>
      </c>
    </row>
    <row r="1426" spans="1:13" x14ac:dyDescent="0.25">
      <c r="A1426" s="2">
        <v>38646</v>
      </c>
      <c r="B1426" t="s">
        <v>21</v>
      </c>
      <c r="C1426" t="s">
        <v>29</v>
      </c>
      <c r="D1426" t="s">
        <v>16</v>
      </c>
      <c r="E1426" t="s">
        <v>24</v>
      </c>
      <c r="F1426" s="3">
        <v>779.93</v>
      </c>
      <c r="G1426" s="3">
        <v>1418.05</v>
      </c>
      <c r="H1426" s="3">
        <f>Table1[[#This Row],[Sale]]-Table1[[#This Row],[Cost]]</f>
        <v>638.12</v>
      </c>
      <c r="I1426" s="4">
        <f>Table1[[#This Row],[Profit]]/Table1[[#This Row],[Sale]]</f>
        <v>0.44999823701562008</v>
      </c>
      <c r="J1426" s="5">
        <f t="shared" si="44"/>
        <v>2005</v>
      </c>
      <c r="K1426" s="5">
        <f>MONTH(Table1[[#This Row],[Date]])</f>
        <v>10</v>
      </c>
      <c r="L1426" s="5">
        <f>DAY(Table1[[#This Row],[Date]])</f>
        <v>21</v>
      </c>
      <c r="M1426" s="5" t="str">
        <f t="shared" si="45"/>
        <v>Oct</v>
      </c>
    </row>
    <row r="1427" spans="1:13" x14ac:dyDescent="0.25">
      <c r="A1427" s="2">
        <v>38300</v>
      </c>
      <c r="B1427" t="s">
        <v>11</v>
      </c>
      <c r="C1427" t="s">
        <v>23</v>
      </c>
      <c r="D1427" t="s">
        <v>16</v>
      </c>
      <c r="E1427" t="s">
        <v>25</v>
      </c>
      <c r="F1427" s="3">
        <v>3704.66</v>
      </c>
      <c r="G1427" s="3">
        <v>4939.54</v>
      </c>
      <c r="H1427" s="3">
        <f>Table1[[#This Row],[Sale]]-Table1[[#This Row],[Cost]]</f>
        <v>1234.8800000000001</v>
      </c>
      <c r="I1427" s="4">
        <f>Table1[[#This Row],[Profit]]/Table1[[#This Row],[Sale]]</f>
        <v>0.24999898775999388</v>
      </c>
      <c r="J1427" s="5">
        <f t="shared" si="44"/>
        <v>2004</v>
      </c>
      <c r="K1427" s="5">
        <f>MONTH(Table1[[#This Row],[Date]])</f>
        <v>11</v>
      </c>
      <c r="L1427" s="5">
        <f>DAY(Table1[[#This Row],[Date]])</f>
        <v>9</v>
      </c>
      <c r="M1427" s="5" t="str">
        <f t="shared" si="45"/>
        <v>Nov</v>
      </c>
    </row>
    <row r="1428" spans="1:13" x14ac:dyDescent="0.25">
      <c r="A1428" s="2">
        <v>38811</v>
      </c>
      <c r="B1428" t="s">
        <v>22</v>
      </c>
      <c r="C1428" t="s">
        <v>12</v>
      </c>
      <c r="D1428" t="s">
        <v>28</v>
      </c>
      <c r="E1428" t="s">
        <v>14</v>
      </c>
      <c r="F1428" s="3">
        <v>5554.45</v>
      </c>
      <c r="G1428" s="3">
        <v>6311.88</v>
      </c>
      <c r="H1428" s="3">
        <f>Table1[[#This Row],[Sale]]-Table1[[#This Row],[Cost]]</f>
        <v>757.43000000000029</v>
      </c>
      <c r="I1428" s="4">
        <f>Table1[[#This Row],[Profit]]/Table1[[#This Row],[Sale]]</f>
        <v>0.12000069709817048</v>
      </c>
      <c r="J1428" s="5">
        <f t="shared" si="44"/>
        <v>2006</v>
      </c>
      <c r="K1428" s="5">
        <f>MONTH(Table1[[#This Row],[Date]])</f>
        <v>4</v>
      </c>
      <c r="L1428" s="5">
        <f>DAY(Table1[[#This Row],[Date]])</f>
        <v>4</v>
      </c>
      <c r="M1428" s="5" t="str">
        <f t="shared" si="45"/>
        <v>Apr</v>
      </c>
    </row>
    <row r="1429" spans="1:13" x14ac:dyDescent="0.25">
      <c r="A1429" s="2">
        <v>38814</v>
      </c>
      <c r="B1429" t="s">
        <v>17</v>
      </c>
      <c r="C1429" t="s">
        <v>23</v>
      </c>
      <c r="D1429" t="s">
        <v>13</v>
      </c>
      <c r="E1429" t="s">
        <v>24</v>
      </c>
      <c r="F1429" s="3">
        <v>712.93</v>
      </c>
      <c r="G1429" s="3">
        <v>1296.23</v>
      </c>
      <c r="H1429" s="3">
        <f>Table1[[#This Row],[Sale]]-Table1[[#This Row],[Cost]]</f>
        <v>583.30000000000007</v>
      </c>
      <c r="I1429" s="4">
        <f>Table1[[#This Row],[Profit]]/Table1[[#This Row],[Sale]]</f>
        <v>0.44999729986190729</v>
      </c>
      <c r="J1429" s="5">
        <f t="shared" si="44"/>
        <v>2006</v>
      </c>
      <c r="K1429" s="5">
        <f>MONTH(Table1[[#This Row],[Date]])</f>
        <v>4</v>
      </c>
      <c r="L1429" s="5">
        <f>DAY(Table1[[#This Row],[Date]])</f>
        <v>7</v>
      </c>
      <c r="M1429" s="5" t="str">
        <f t="shared" si="45"/>
        <v>Apr</v>
      </c>
    </row>
    <row r="1430" spans="1:13" x14ac:dyDescent="0.25">
      <c r="A1430" s="2">
        <v>38560</v>
      </c>
      <c r="B1430" t="s">
        <v>17</v>
      </c>
      <c r="C1430" t="s">
        <v>29</v>
      </c>
      <c r="D1430" t="s">
        <v>16</v>
      </c>
      <c r="E1430" t="s">
        <v>24</v>
      </c>
      <c r="F1430" s="3">
        <v>5352.97</v>
      </c>
      <c r="G1430" s="3">
        <v>6082.92</v>
      </c>
      <c r="H1430" s="3">
        <f>Table1[[#This Row],[Sale]]-Table1[[#This Row],[Cost]]</f>
        <v>729.94999999999982</v>
      </c>
      <c r="I1430" s="4">
        <f>Table1[[#This Row],[Profit]]/Table1[[#This Row],[Sale]]</f>
        <v>0.11999993424210738</v>
      </c>
      <c r="J1430" s="5">
        <f t="shared" si="44"/>
        <v>2005</v>
      </c>
      <c r="K1430" s="5">
        <f>MONTH(Table1[[#This Row],[Date]])</f>
        <v>7</v>
      </c>
      <c r="L1430" s="5">
        <f>DAY(Table1[[#This Row],[Date]])</f>
        <v>27</v>
      </c>
      <c r="M1430" s="5" t="str">
        <f t="shared" si="45"/>
        <v>Jul</v>
      </c>
    </row>
    <row r="1431" spans="1:13" x14ac:dyDescent="0.25">
      <c r="A1431" s="2">
        <v>38394</v>
      </c>
      <c r="B1431" t="s">
        <v>21</v>
      </c>
      <c r="C1431" t="s">
        <v>12</v>
      </c>
      <c r="D1431" t="s">
        <v>28</v>
      </c>
      <c r="E1431" t="s">
        <v>25</v>
      </c>
      <c r="F1431" s="3">
        <v>3639.02</v>
      </c>
      <c r="G1431" s="3">
        <v>4852.0200000000004</v>
      </c>
      <c r="H1431" s="3">
        <f>Table1[[#This Row],[Sale]]-Table1[[#This Row],[Cost]]</f>
        <v>1213.0000000000005</v>
      </c>
      <c r="I1431" s="4">
        <f>Table1[[#This Row],[Profit]]/Table1[[#This Row],[Sale]]</f>
        <v>0.24999896950136238</v>
      </c>
      <c r="J1431" s="5">
        <f t="shared" si="44"/>
        <v>2005</v>
      </c>
      <c r="K1431" s="5">
        <f>MONTH(Table1[[#This Row],[Date]])</f>
        <v>2</v>
      </c>
      <c r="L1431" s="5">
        <f>DAY(Table1[[#This Row],[Date]])</f>
        <v>11</v>
      </c>
      <c r="M1431" s="5" t="str">
        <f t="shared" si="45"/>
        <v>Feb</v>
      </c>
    </row>
    <row r="1432" spans="1:13" x14ac:dyDescent="0.25">
      <c r="A1432" s="2">
        <v>38573</v>
      </c>
      <c r="B1432" t="s">
        <v>17</v>
      </c>
      <c r="C1432" t="s">
        <v>18</v>
      </c>
      <c r="D1432" t="s">
        <v>13</v>
      </c>
      <c r="E1432" t="s">
        <v>25</v>
      </c>
      <c r="F1432" s="3">
        <v>1327.12</v>
      </c>
      <c r="G1432" s="3">
        <v>3586.82</v>
      </c>
      <c r="H1432" s="3">
        <f>Table1[[#This Row],[Sale]]-Table1[[#This Row],[Cost]]</f>
        <v>2259.7000000000003</v>
      </c>
      <c r="I1432" s="4">
        <f>Table1[[#This Row],[Profit]]/Table1[[#This Row],[Sale]]</f>
        <v>0.63000094791486616</v>
      </c>
      <c r="J1432" s="5">
        <f t="shared" si="44"/>
        <v>2005</v>
      </c>
      <c r="K1432" s="5">
        <f>MONTH(Table1[[#This Row],[Date]])</f>
        <v>8</v>
      </c>
      <c r="L1432" s="5">
        <f>DAY(Table1[[#This Row],[Date]])</f>
        <v>9</v>
      </c>
      <c r="M1432" s="5" t="str">
        <f t="shared" si="45"/>
        <v>Aug</v>
      </c>
    </row>
    <row r="1433" spans="1:13" x14ac:dyDescent="0.25">
      <c r="A1433" s="2">
        <v>38810</v>
      </c>
      <c r="B1433" t="s">
        <v>22</v>
      </c>
      <c r="C1433" t="s">
        <v>23</v>
      </c>
      <c r="D1433" t="s">
        <v>16</v>
      </c>
      <c r="E1433" t="s">
        <v>14</v>
      </c>
      <c r="F1433" s="3">
        <v>3714.32</v>
      </c>
      <c r="G1433" s="3">
        <v>3972.53</v>
      </c>
      <c r="H1433" s="3">
        <f>Table1[[#This Row],[Sale]]-Table1[[#This Row],[Cost]]</f>
        <v>258.21000000000004</v>
      </c>
      <c r="I1433" s="4">
        <f>Table1[[#This Row],[Profit]]/Table1[[#This Row],[Sale]]</f>
        <v>6.4998879807075097E-2</v>
      </c>
      <c r="J1433" s="5">
        <f t="shared" si="44"/>
        <v>2006</v>
      </c>
      <c r="K1433" s="5">
        <f>MONTH(Table1[[#This Row],[Date]])</f>
        <v>4</v>
      </c>
      <c r="L1433" s="5">
        <f>DAY(Table1[[#This Row],[Date]])</f>
        <v>3</v>
      </c>
      <c r="M1433" s="5" t="str">
        <f t="shared" si="45"/>
        <v>Apr</v>
      </c>
    </row>
    <row r="1434" spans="1:13" x14ac:dyDescent="0.25">
      <c r="A1434" s="2">
        <v>38838</v>
      </c>
      <c r="B1434" t="s">
        <v>21</v>
      </c>
      <c r="C1434" t="s">
        <v>18</v>
      </c>
      <c r="D1434" t="s">
        <v>28</v>
      </c>
      <c r="E1434" t="s">
        <v>24</v>
      </c>
      <c r="F1434" s="3">
        <v>5990.5</v>
      </c>
      <c r="G1434" s="3">
        <v>7987.33</v>
      </c>
      <c r="H1434" s="3">
        <f>Table1[[#This Row],[Sale]]-Table1[[#This Row],[Cost]]</f>
        <v>1996.83</v>
      </c>
      <c r="I1434" s="4">
        <f>Table1[[#This Row],[Profit]]/Table1[[#This Row],[Sale]]</f>
        <v>0.24999968700429304</v>
      </c>
      <c r="J1434" s="5">
        <f t="shared" si="44"/>
        <v>2006</v>
      </c>
      <c r="K1434" s="5">
        <f>MONTH(Table1[[#This Row],[Date]])</f>
        <v>5</v>
      </c>
      <c r="L1434" s="5">
        <f>DAY(Table1[[#This Row],[Date]])</f>
        <v>1</v>
      </c>
      <c r="M1434" s="5" t="str">
        <f t="shared" si="45"/>
        <v>May</v>
      </c>
    </row>
    <row r="1435" spans="1:13" x14ac:dyDescent="0.25">
      <c r="A1435" s="2">
        <v>38188</v>
      </c>
      <c r="B1435" t="s">
        <v>22</v>
      </c>
      <c r="C1435" t="s">
        <v>12</v>
      </c>
      <c r="D1435" t="s">
        <v>13</v>
      </c>
      <c r="E1435" t="s">
        <v>24</v>
      </c>
      <c r="F1435" s="3">
        <v>4411.09</v>
      </c>
      <c r="G1435" s="3">
        <v>7476.42</v>
      </c>
      <c r="H1435" s="3">
        <f>Table1[[#This Row],[Sale]]-Table1[[#This Row],[Cost]]</f>
        <v>3065.33</v>
      </c>
      <c r="I1435" s="4">
        <f>Table1[[#This Row],[Profit]]/Table1[[#This Row],[Sale]]</f>
        <v>0.40999970574151801</v>
      </c>
      <c r="J1435" s="5">
        <f t="shared" si="44"/>
        <v>2004</v>
      </c>
      <c r="K1435" s="5">
        <f>MONTH(Table1[[#This Row],[Date]])</f>
        <v>7</v>
      </c>
      <c r="L1435" s="5">
        <f>DAY(Table1[[#This Row],[Date]])</f>
        <v>20</v>
      </c>
      <c r="M1435" s="5" t="str">
        <f t="shared" si="45"/>
        <v>Jul</v>
      </c>
    </row>
    <row r="1436" spans="1:13" x14ac:dyDescent="0.25">
      <c r="A1436" s="2">
        <v>38225</v>
      </c>
      <c r="B1436" t="s">
        <v>22</v>
      </c>
      <c r="C1436" t="s">
        <v>18</v>
      </c>
      <c r="D1436" t="s">
        <v>13</v>
      </c>
      <c r="E1436" t="s">
        <v>20</v>
      </c>
      <c r="F1436" s="3">
        <v>3879.26</v>
      </c>
      <c r="G1436" s="3">
        <v>4148.9399999999996</v>
      </c>
      <c r="H1436" s="3">
        <f>Table1[[#This Row],[Sale]]-Table1[[#This Row],[Cost]]</f>
        <v>269.67999999999938</v>
      </c>
      <c r="I1436" s="4">
        <f>Table1[[#This Row],[Profit]]/Table1[[#This Row],[Sale]]</f>
        <v>6.4999734872039458E-2</v>
      </c>
      <c r="J1436" s="5">
        <f t="shared" si="44"/>
        <v>2004</v>
      </c>
      <c r="K1436" s="5">
        <f>MONTH(Table1[[#This Row],[Date]])</f>
        <v>8</v>
      </c>
      <c r="L1436" s="5">
        <f>DAY(Table1[[#This Row],[Date]])</f>
        <v>26</v>
      </c>
      <c r="M1436" s="5" t="str">
        <f t="shared" si="45"/>
        <v>Aug</v>
      </c>
    </row>
    <row r="1437" spans="1:13" x14ac:dyDescent="0.25">
      <c r="A1437" s="2">
        <v>38247</v>
      </c>
      <c r="B1437" t="s">
        <v>21</v>
      </c>
      <c r="C1437" t="s">
        <v>12</v>
      </c>
      <c r="D1437" t="s">
        <v>28</v>
      </c>
      <c r="E1437" t="s">
        <v>20</v>
      </c>
      <c r="F1437" s="3">
        <v>2852.17</v>
      </c>
      <c r="G1437" s="3">
        <v>5185.76</v>
      </c>
      <c r="H1437" s="3">
        <f>Table1[[#This Row],[Sale]]-Table1[[#This Row],[Cost]]</f>
        <v>2333.59</v>
      </c>
      <c r="I1437" s="4">
        <f>Table1[[#This Row],[Profit]]/Table1[[#This Row],[Sale]]</f>
        <v>0.44999961432846874</v>
      </c>
      <c r="J1437" s="5">
        <f t="shared" si="44"/>
        <v>2004</v>
      </c>
      <c r="K1437" s="5">
        <f>MONTH(Table1[[#This Row],[Date]])</f>
        <v>9</v>
      </c>
      <c r="L1437" s="5">
        <f>DAY(Table1[[#This Row],[Date]])</f>
        <v>17</v>
      </c>
      <c r="M1437" s="5" t="str">
        <f t="shared" si="45"/>
        <v>Sep</v>
      </c>
    </row>
    <row r="1438" spans="1:13" x14ac:dyDescent="0.25">
      <c r="A1438" s="2">
        <v>38400</v>
      </c>
      <c r="B1438" t="s">
        <v>17</v>
      </c>
      <c r="C1438" t="s">
        <v>12</v>
      </c>
      <c r="D1438" t="s">
        <v>13</v>
      </c>
      <c r="E1438" t="s">
        <v>20</v>
      </c>
      <c r="F1438" s="3">
        <v>729.14</v>
      </c>
      <c r="G1438" s="3">
        <v>1695.67</v>
      </c>
      <c r="H1438" s="3">
        <f>Table1[[#This Row],[Sale]]-Table1[[#This Row],[Cost]]</f>
        <v>966.53000000000009</v>
      </c>
      <c r="I1438" s="4">
        <f>Table1[[#This Row],[Profit]]/Table1[[#This Row],[Sale]]</f>
        <v>0.56999887949895911</v>
      </c>
      <c r="J1438" s="5">
        <f t="shared" si="44"/>
        <v>2005</v>
      </c>
      <c r="K1438" s="5">
        <f>MONTH(Table1[[#This Row],[Date]])</f>
        <v>2</v>
      </c>
      <c r="L1438" s="5">
        <f>DAY(Table1[[#This Row],[Date]])</f>
        <v>17</v>
      </c>
      <c r="M1438" s="5" t="str">
        <f t="shared" si="45"/>
        <v>Feb</v>
      </c>
    </row>
    <row r="1439" spans="1:13" x14ac:dyDescent="0.25">
      <c r="A1439" s="2">
        <v>38739</v>
      </c>
      <c r="B1439" t="s">
        <v>11</v>
      </c>
      <c r="C1439" t="s">
        <v>27</v>
      </c>
      <c r="D1439" t="s">
        <v>28</v>
      </c>
      <c r="E1439" t="s">
        <v>20</v>
      </c>
      <c r="F1439" s="3">
        <v>1334.44</v>
      </c>
      <c r="G1439" s="3">
        <v>3103.34</v>
      </c>
      <c r="H1439" s="3">
        <f>Table1[[#This Row],[Sale]]-Table1[[#This Row],[Cost]]</f>
        <v>1768.9</v>
      </c>
      <c r="I1439" s="4">
        <f>Table1[[#This Row],[Profit]]/Table1[[#This Row],[Sale]]</f>
        <v>0.56999877551283451</v>
      </c>
      <c r="J1439" s="5">
        <f t="shared" si="44"/>
        <v>2006</v>
      </c>
      <c r="K1439" s="5">
        <f>MONTH(Table1[[#This Row],[Date]])</f>
        <v>1</v>
      </c>
      <c r="L1439" s="5">
        <f>DAY(Table1[[#This Row],[Date]])</f>
        <v>22</v>
      </c>
      <c r="M1439" s="5" t="str">
        <f t="shared" si="45"/>
        <v>Jan</v>
      </c>
    </row>
    <row r="1440" spans="1:13" x14ac:dyDescent="0.25">
      <c r="A1440" s="2">
        <v>38476</v>
      </c>
      <c r="B1440" t="s">
        <v>17</v>
      </c>
      <c r="C1440" t="s">
        <v>29</v>
      </c>
      <c r="D1440" t="s">
        <v>13</v>
      </c>
      <c r="E1440" t="s">
        <v>25</v>
      </c>
      <c r="F1440" s="3">
        <v>2339.48</v>
      </c>
      <c r="G1440" s="3">
        <v>2658.5</v>
      </c>
      <c r="H1440" s="3">
        <f>Table1[[#This Row],[Sale]]-Table1[[#This Row],[Cost]]</f>
        <v>319.02</v>
      </c>
      <c r="I1440" s="4">
        <f>Table1[[#This Row],[Profit]]/Table1[[#This Row],[Sale]]</f>
        <v>0.12</v>
      </c>
      <c r="J1440" s="5">
        <f t="shared" si="44"/>
        <v>2005</v>
      </c>
      <c r="K1440" s="5">
        <f>MONTH(Table1[[#This Row],[Date]])</f>
        <v>5</v>
      </c>
      <c r="L1440" s="5">
        <f>DAY(Table1[[#This Row],[Date]])</f>
        <v>4</v>
      </c>
      <c r="M1440" s="5" t="str">
        <f t="shared" si="45"/>
        <v>May</v>
      </c>
    </row>
    <row r="1441" spans="1:13" x14ac:dyDescent="0.25">
      <c r="A1441" s="2">
        <v>38627</v>
      </c>
      <c r="B1441" t="s">
        <v>26</v>
      </c>
      <c r="C1441" t="s">
        <v>18</v>
      </c>
      <c r="D1441" t="s">
        <v>16</v>
      </c>
      <c r="E1441" t="s">
        <v>25</v>
      </c>
      <c r="F1441" s="3">
        <v>7832.08</v>
      </c>
      <c r="G1441" s="3">
        <v>8900.09</v>
      </c>
      <c r="H1441" s="3">
        <f>Table1[[#This Row],[Sale]]-Table1[[#This Row],[Cost]]</f>
        <v>1068.0100000000002</v>
      </c>
      <c r="I1441" s="4">
        <f>Table1[[#This Row],[Profit]]/Table1[[#This Row],[Sale]]</f>
        <v>0.11999991011326853</v>
      </c>
      <c r="J1441" s="5">
        <f t="shared" si="44"/>
        <v>2005</v>
      </c>
      <c r="K1441" s="5">
        <f>MONTH(Table1[[#This Row],[Date]])</f>
        <v>10</v>
      </c>
      <c r="L1441" s="5">
        <f>DAY(Table1[[#This Row],[Date]])</f>
        <v>2</v>
      </c>
      <c r="M1441" s="5" t="str">
        <f t="shared" si="45"/>
        <v>Oct</v>
      </c>
    </row>
    <row r="1442" spans="1:13" x14ac:dyDescent="0.25">
      <c r="A1442" s="2">
        <v>38855</v>
      </c>
      <c r="B1442" t="s">
        <v>11</v>
      </c>
      <c r="C1442" t="s">
        <v>23</v>
      </c>
      <c r="D1442" t="s">
        <v>19</v>
      </c>
      <c r="E1442" t="s">
        <v>25</v>
      </c>
      <c r="F1442" s="3">
        <v>3731.09</v>
      </c>
      <c r="G1442" s="3">
        <v>8291.32</v>
      </c>
      <c r="H1442" s="3">
        <f>Table1[[#This Row],[Sale]]-Table1[[#This Row],[Cost]]</f>
        <v>4560.2299999999996</v>
      </c>
      <c r="I1442" s="4">
        <f>Table1[[#This Row],[Profit]]/Table1[[#This Row],[Sale]]</f>
        <v>0.55000048243223032</v>
      </c>
      <c r="J1442" s="5">
        <f t="shared" si="44"/>
        <v>2006</v>
      </c>
      <c r="K1442" s="5">
        <f>MONTH(Table1[[#This Row],[Date]])</f>
        <v>5</v>
      </c>
      <c r="L1442" s="5">
        <f>DAY(Table1[[#This Row],[Date]])</f>
        <v>18</v>
      </c>
      <c r="M1442" s="5" t="str">
        <f t="shared" si="45"/>
        <v>May</v>
      </c>
    </row>
    <row r="1443" spans="1:13" x14ac:dyDescent="0.25">
      <c r="A1443" s="2">
        <v>38649</v>
      </c>
      <c r="B1443" t="s">
        <v>17</v>
      </c>
      <c r="C1443" t="s">
        <v>29</v>
      </c>
      <c r="D1443" t="s">
        <v>13</v>
      </c>
      <c r="E1443" t="s">
        <v>25</v>
      </c>
      <c r="F1443" s="3">
        <v>8350.1299999999992</v>
      </c>
      <c r="G1443" s="3">
        <v>8930.6200000000008</v>
      </c>
      <c r="H1443" s="3">
        <f>Table1[[#This Row],[Sale]]-Table1[[#This Row],[Cost]]</f>
        <v>580.4900000000016</v>
      </c>
      <c r="I1443" s="4">
        <f>Table1[[#This Row],[Profit]]/Table1[[#This Row],[Sale]]</f>
        <v>6.4999966407707582E-2</v>
      </c>
      <c r="J1443" s="5">
        <f t="shared" si="44"/>
        <v>2005</v>
      </c>
      <c r="K1443" s="5">
        <f>MONTH(Table1[[#This Row],[Date]])</f>
        <v>10</v>
      </c>
      <c r="L1443" s="5">
        <f>DAY(Table1[[#This Row],[Date]])</f>
        <v>24</v>
      </c>
      <c r="M1443" s="5" t="str">
        <f t="shared" si="45"/>
        <v>Oct</v>
      </c>
    </row>
    <row r="1444" spans="1:13" x14ac:dyDescent="0.25">
      <c r="A1444" s="2">
        <v>38584</v>
      </c>
      <c r="B1444" t="s">
        <v>17</v>
      </c>
      <c r="C1444" t="s">
        <v>27</v>
      </c>
      <c r="D1444" t="s">
        <v>13</v>
      </c>
      <c r="E1444" t="s">
        <v>25</v>
      </c>
      <c r="F1444" s="3">
        <v>4020.29</v>
      </c>
      <c r="G1444" s="3">
        <v>6931.54</v>
      </c>
      <c r="H1444" s="3">
        <f>Table1[[#This Row],[Sale]]-Table1[[#This Row],[Cost]]</f>
        <v>2911.25</v>
      </c>
      <c r="I1444" s="4">
        <f>Table1[[#This Row],[Profit]]/Table1[[#This Row],[Sale]]</f>
        <v>0.42000046165787114</v>
      </c>
      <c r="J1444" s="5">
        <f t="shared" si="44"/>
        <v>2005</v>
      </c>
      <c r="K1444" s="5">
        <f>MONTH(Table1[[#This Row],[Date]])</f>
        <v>8</v>
      </c>
      <c r="L1444" s="5">
        <f>DAY(Table1[[#This Row],[Date]])</f>
        <v>20</v>
      </c>
      <c r="M1444" s="5" t="str">
        <f t="shared" si="45"/>
        <v>Aug</v>
      </c>
    </row>
    <row r="1445" spans="1:13" x14ac:dyDescent="0.25">
      <c r="A1445" s="2">
        <v>38357</v>
      </c>
      <c r="B1445" t="s">
        <v>11</v>
      </c>
      <c r="C1445" t="s">
        <v>12</v>
      </c>
      <c r="D1445" t="s">
        <v>13</v>
      </c>
      <c r="E1445" t="s">
        <v>14</v>
      </c>
      <c r="F1445" s="3">
        <v>135.31</v>
      </c>
      <c r="G1445" s="3">
        <v>300.69</v>
      </c>
      <c r="H1445" s="3">
        <f>Table1[[#This Row],[Sale]]-Table1[[#This Row],[Cost]]</f>
        <v>165.38</v>
      </c>
      <c r="I1445" s="4">
        <f>Table1[[#This Row],[Profit]]/Table1[[#This Row],[Sale]]</f>
        <v>0.55000166284212981</v>
      </c>
      <c r="J1445" s="5">
        <f t="shared" si="44"/>
        <v>2005</v>
      </c>
      <c r="K1445" s="5">
        <f>MONTH(Table1[[#This Row],[Date]])</f>
        <v>1</v>
      </c>
      <c r="L1445" s="5">
        <f>DAY(Table1[[#This Row],[Date]])</f>
        <v>5</v>
      </c>
      <c r="M1445" s="5" t="str">
        <f t="shared" si="45"/>
        <v>Jan</v>
      </c>
    </row>
    <row r="1446" spans="1:13" x14ac:dyDescent="0.25">
      <c r="A1446" s="2">
        <v>38788</v>
      </c>
      <c r="B1446" t="s">
        <v>15</v>
      </c>
      <c r="C1446" t="s">
        <v>23</v>
      </c>
      <c r="D1446" t="s">
        <v>28</v>
      </c>
      <c r="E1446" t="s">
        <v>24</v>
      </c>
      <c r="F1446" s="3">
        <v>411.52</v>
      </c>
      <c r="G1446" s="3">
        <v>1112.22</v>
      </c>
      <c r="H1446" s="3">
        <f>Table1[[#This Row],[Sale]]-Table1[[#This Row],[Cost]]</f>
        <v>700.7</v>
      </c>
      <c r="I1446" s="4">
        <f>Table1[[#This Row],[Profit]]/Table1[[#This Row],[Sale]]</f>
        <v>0.63000125874377377</v>
      </c>
      <c r="J1446" s="5">
        <f t="shared" si="44"/>
        <v>2006</v>
      </c>
      <c r="K1446" s="5">
        <f>MONTH(Table1[[#This Row],[Date]])</f>
        <v>3</v>
      </c>
      <c r="L1446" s="5">
        <f>DAY(Table1[[#This Row],[Date]])</f>
        <v>12</v>
      </c>
      <c r="M1446" s="5" t="str">
        <f t="shared" si="45"/>
        <v>Mar</v>
      </c>
    </row>
    <row r="1447" spans="1:13" x14ac:dyDescent="0.25">
      <c r="A1447" s="2">
        <v>38742</v>
      </c>
      <c r="B1447" t="s">
        <v>17</v>
      </c>
      <c r="C1447" t="s">
        <v>29</v>
      </c>
      <c r="D1447" t="s">
        <v>13</v>
      </c>
      <c r="E1447" t="s">
        <v>24</v>
      </c>
      <c r="F1447" s="3">
        <v>1457.85</v>
      </c>
      <c r="G1447" s="3">
        <v>2143.9</v>
      </c>
      <c r="H1447" s="3">
        <f>Table1[[#This Row],[Sale]]-Table1[[#This Row],[Cost]]</f>
        <v>686.05000000000018</v>
      </c>
      <c r="I1447" s="4">
        <f>Table1[[#This Row],[Profit]]/Table1[[#This Row],[Sale]]</f>
        <v>0.32000093287933212</v>
      </c>
      <c r="J1447" s="5">
        <f t="shared" si="44"/>
        <v>2006</v>
      </c>
      <c r="K1447" s="5">
        <f>MONTH(Table1[[#This Row],[Date]])</f>
        <v>1</v>
      </c>
      <c r="L1447" s="5">
        <f>DAY(Table1[[#This Row],[Date]])</f>
        <v>25</v>
      </c>
      <c r="M1447" s="5" t="str">
        <f t="shared" si="45"/>
        <v>Jan</v>
      </c>
    </row>
    <row r="1448" spans="1:13" x14ac:dyDescent="0.25">
      <c r="A1448" s="2">
        <v>38441</v>
      </c>
      <c r="B1448" t="s">
        <v>15</v>
      </c>
      <c r="C1448" t="s">
        <v>27</v>
      </c>
      <c r="D1448" t="s">
        <v>19</v>
      </c>
      <c r="E1448" t="s">
        <v>25</v>
      </c>
      <c r="F1448" s="3">
        <v>3730.5</v>
      </c>
      <c r="G1448" s="3">
        <v>6431.9</v>
      </c>
      <c r="H1448" s="3">
        <f>Table1[[#This Row],[Sale]]-Table1[[#This Row],[Cost]]</f>
        <v>2701.3999999999996</v>
      </c>
      <c r="I1448" s="4">
        <f>Table1[[#This Row],[Profit]]/Table1[[#This Row],[Sale]]</f>
        <v>0.42000031095010804</v>
      </c>
      <c r="J1448" s="5">
        <f t="shared" si="44"/>
        <v>2005</v>
      </c>
      <c r="K1448" s="5">
        <f>MONTH(Table1[[#This Row],[Date]])</f>
        <v>3</v>
      </c>
      <c r="L1448" s="5">
        <f>DAY(Table1[[#This Row],[Date]])</f>
        <v>30</v>
      </c>
      <c r="M1448" s="5" t="str">
        <f t="shared" si="45"/>
        <v>Mar</v>
      </c>
    </row>
    <row r="1449" spans="1:13" x14ac:dyDescent="0.25">
      <c r="A1449" s="2">
        <v>38693</v>
      </c>
      <c r="B1449" t="s">
        <v>26</v>
      </c>
      <c r="C1449" t="s">
        <v>23</v>
      </c>
      <c r="D1449" t="s">
        <v>28</v>
      </c>
      <c r="E1449" t="s">
        <v>25</v>
      </c>
      <c r="F1449" s="3">
        <v>4051</v>
      </c>
      <c r="G1449" s="3">
        <v>9420.93</v>
      </c>
      <c r="H1449" s="3">
        <f>Table1[[#This Row],[Sale]]-Table1[[#This Row],[Cost]]</f>
        <v>5369.93</v>
      </c>
      <c r="I1449" s="4">
        <f>Table1[[#This Row],[Profit]]/Table1[[#This Row],[Sale]]</f>
        <v>0.56999998938533669</v>
      </c>
      <c r="J1449" s="5">
        <f t="shared" si="44"/>
        <v>2005</v>
      </c>
      <c r="K1449" s="5">
        <f>MONTH(Table1[[#This Row],[Date]])</f>
        <v>12</v>
      </c>
      <c r="L1449" s="5">
        <f>DAY(Table1[[#This Row],[Date]])</f>
        <v>7</v>
      </c>
      <c r="M1449" s="5" t="str">
        <f t="shared" si="45"/>
        <v>Dec</v>
      </c>
    </row>
    <row r="1450" spans="1:13" x14ac:dyDescent="0.25">
      <c r="A1450" s="2">
        <v>38222</v>
      </c>
      <c r="B1450" t="s">
        <v>11</v>
      </c>
      <c r="C1450" t="s">
        <v>29</v>
      </c>
      <c r="D1450" t="s">
        <v>28</v>
      </c>
      <c r="E1450" t="s">
        <v>20</v>
      </c>
      <c r="F1450" s="3">
        <v>782.59</v>
      </c>
      <c r="G1450" s="3">
        <v>1739.09</v>
      </c>
      <c r="H1450" s="3">
        <f>Table1[[#This Row],[Sale]]-Table1[[#This Row],[Cost]]</f>
        <v>956.49999999999989</v>
      </c>
      <c r="I1450" s="4">
        <f>Table1[[#This Row],[Profit]]/Table1[[#This Row],[Sale]]</f>
        <v>0.5500002875066845</v>
      </c>
      <c r="J1450" s="5">
        <f t="shared" si="44"/>
        <v>2004</v>
      </c>
      <c r="K1450" s="5">
        <f>MONTH(Table1[[#This Row],[Date]])</f>
        <v>8</v>
      </c>
      <c r="L1450" s="5">
        <f>DAY(Table1[[#This Row],[Date]])</f>
        <v>23</v>
      </c>
      <c r="M1450" s="5" t="str">
        <f t="shared" si="45"/>
        <v>Aug</v>
      </c>
    </row>
    <row r="1451" spans="1:13" x14ac:dyDescent="0.25">
      <c r="A1451" s="2">
        <v>38307</v>
      </c>
      <c r="B1451" t="s">
        <v>21</v>
      </c>
      <c r="C1451" t="s">
        <v>12</v>
      </c>
      <c r="D1451" t="s">
        <v>16</v>
      </c>
      <c r="E1451" t="s">
        <v>14</v>
      </c>
      <c r="F1451" s="3">
        <v>2953.22</v>
      </c>
      <c r="G1451" s="3">
        <v>7981.68</v>
      </c>
      <c r="H1451" s="3">
        <f>Table1[[#This Row],[Sale]]-Table1[[#This Row],[Cost]]</f>
        <v>5028.4600000000009</v>
      </c>
      <c r="I1451" s="4">
        <f>Table1[[#This Row],[Profit]]/Table1[[#This Row],[Sale]]</f>
        <v>0.63000020045905136</v>
      </c>
      <c r="J1451" s="5">
        <f t="shared" si="44"/>
        <v>2004</v>
      </c>
      <c r="K1451" s="5">
        <f>MONTH(Table1[[#This Row],[Date]])</f>
        <v>11</v>
      </c>
      <c r="L1451" s="5">
        <f>DAY(Table1[[#This Row],[Date]])</f>
        <v>16</v>
      </c>
      <c r="M1451" s="5" t="str">
        <f t="shared" si="45"/>
        <v>Nov</v>
      </c>
    </row>
    <row r="1452" spans="1:13" x14ac:dyDescent="0.25">
      <c r="A1452" s="2">
        <v>38836</v>
      </c>
      <c r="B1452" t="s">
        <v>17</v>
      </c>
      <c r="C1452" t="s">
        <v>29</v>
      </c>
      <c r="D1452" t="s">
        <v>28</v>
      </c>
      <c r="E1452" t="s">
        <v>20</v>
      </c>
      <c r="F1452" s="3">
        <v>3196.62</v>
      </c>
      <c r="G1452" s="3">
        <v>5511.41</v>
      </c>
      <c r="H1452" s="3">
        <f>Table1[[#This Row],[Sale]]-Table1[[#This Row],[Cost]]</f>
        <v>2314.79</v>
      </c>
      <c r="I1452" s="4">
        <f>Table1[[#This Row],[Profit]]/Table1[[#This Row],[Sale]]</f>
        <v>0.41999960082810023</v>
      </c>
      <c r="J1452" s="5">
        <f t="shared" si="44"/>
        <v>2006</v>
      </c>
      <c r="K1452" s="5">
        <f>MONTH(Table1[[#This Row],[Date]])</f>
        <v>4</v>
      </c>
      <c r="L1452" s="5">
        <f>DAY(Table1[[#This Row],[Date]])</f>
        <v>29</v>
      </c>
      <c r="M1452" s="5" t="str">
        <f t="shared" si="45"/>
        <v>Apr</v>
      </c>
    </row>
    <row r="1453" spans="1:13" x14ac:dyDescent="0.25">
      <c r="A1453" s="2">
        <v>38364</v>
      </c>
      <c r="B1453" t="s">
        <v>11</v>
      </c>
      <c r="C1453" t="s">
        <v>18</v>
      </c>
      <c r="D1453" t="s">
        <v>13</v>
      </c>
      <c r="E1453" t="s">
        <v>14</v>
      </c>
      <c r="F1453" s="3">
        <v>6619.97</v>
      </c>
      <c r="G1453" s="3">
        <v>9735.25</v>
      </c>
      <c r="H1453" s="3">
        <f>Table1[[#This Row],[Sale]]-Table1[[#This Row],[Cost]]</f>
        <v>3115.2799999999997</v>
      </c>
      <c r="I1453" s="4">
        <f>Table1[[#This Row],[Profit]]/Table1[[#This Row],[Sale]]</f>
        <v>0.31999999999999995</v>
      </c>
      <c r="J1453" s="5">
        <f t="shared" si="44"/>
        <v>2005</v>
      </c>
      <c r="K1453" s="5">
        <f>MONTH(Table1[[#This Row],[Date]])</f>
        <v>1</v>
      </c>
      <c r="L1453" s="5">
        <f>DAY(Table1[[#This Row],[Date]])</f>
        <v>12</v>
      </c>
      <c r="M1453" s="5" t="str">
        <f t="shared" si="45"/>
        <v>Jan</v>
      </c>
    </row>
    <row r="1454" spans="1:13" x14ac:dyDescent="0.25">
      <c r="A1454" s="2">
        <v>38653</v>
      </c>
      <c r="B1454" t="s">
        <v>11</v>
      </c>
      <c r="C1454" t="s">
        <v>18</v>
      </c>
      <c r="D1454" t="s">
        <v>16</v>
      </c>
      <c r="E1454" t="s">
        <v>25</v>
      </c>
      <c r="F1454" s="3">
        <v>4705.07</v>
      </c>
      <c r="G1454" s="3">
        <v>6273.43</v>
      </c>
      <c r="H1454" s="3">
        <f>Table1[[#This Row],[Sale]]-Table1[[#This Row],[Cost]]</f>
        <v>1568.3600000000006</v>
      </c>
      <c r="I1454" s="4">
        <f>Table1[[#This Row],[Profit]]/Table1[[#This Row],[Sale]]</f>
        <v>0.25000039850608047</v>
      </c>
      <c r="J1454" s="5">
        <f t="shared" si="44"/>
        <v>2005</v>
      </c>
      <c r="K1454" s="5">
        <f>MONTH(Table1[[#This Row],[Date]])</f>
        <v>10</v>
      </c>
      <c r="L1454" s="5">
        <f>DAY(Table1[[#This Row],[Date]])</f>
        <v>28</v>
      </c>
      <c r="M1454" s="5" t="str">
        <f t="shared" si="45"/>
        <v>Oct</v>
      </c>
    </row>
    <row r="1455" spans="1:13" x14ac:dyDescent="0.25">
      <c r="A1455" s="2">
        <v>38256</v>
      </c>
      <c r="B1455" t="s">
        <v>26</v>
      </c>
      <c r="C1455" t="s">
        <v>12</v>
      </c>
      <c r="D1455" t="s">
        <v>13</v>
      </c>
      <c r="E1455" t="s">
        <v>24</v>
      </c>
      <c r="F1455" s="3">
        <v>3621.15</v>
      </c>
      <c r="G1455" s="3">
        <v>8421.2800000000007</v>
      </c>
      <c r="H1455" s="3">
        <f>Table1[[#This Row],[Sale]]-Table1[[#This Row],[Cost]]</f>
        <v>4800.130000000001</v>
      </c>
      <c r="I1455" s="4">
        <f>Table1[[#This Row],[Profit]]/Table1[[#This Row],[Sale]]</f>
        <v>0.57000004749871758</v>
      </c>
      <c r="J1455" s="5">
        <f t="shared" si="44"/>
        <v>2004</v>
      </c>
      <c r="K1455" s="5">
        <f>MONTH(Table1[[#This Row],[Date]])</f>
        <v>9</v>
      </c>
      <c r="L1455" s="5">
        <f>DAY(Table1[[#This Row],[Date]])</f>
        <v>26</v>
      </c>
      <c r="M1455" s="5" t="str">
        <f t="shared" si="45"/>
        <v>Sep</v>
      </c>
    </row>
    <row r="1456" spans="1:13" x14ac:dyDescent="0.25">
      <c r="A1456" s="2">
        <v>38439</v>
      </c>
      <c r="B1456" t="s">
        <v>22</v>
      </c>
      <c r="C1456" t="s">
        <v>12</v>
      </c>
      <c r="D1456" t="s">
        <v>19</v>
      </c>
      <c r="E1456" t="s">
        <v>24</v>
      </c>
      <c r="F1456" s="3">
        <v>374.39</v>
      </c>
      <c r="G1456" s="3">
        <v>1011.87</v>
      </c>
      <c r="H1456" s="3">
        <f>Table1[[#This Row],[Sale]]-Table1[[#This Row],[Cost]]</f>
        <v>637.48</v>
      </c>
      <c r="I1456" s="4">
        <f>Table1[[#This Row],[Profit]]/Table1[[#This Row],[Sale]]</f>
        <v>0.6300018777115638</v>
      </c>
      <c r="J1456" s="5">
        <f t="shared" si="44"/>
        <v>2005</v>
      </c>
      <c r="K1456" s="5">
        <f>MONTH(Table1[[#This Row],[Date]])</f>
        <v>3</v>
      </c>
      <c r="L1456" s="5">
        <f>DAY(Table1[[#This Row],[Date]])</f>
        <v>28</v>
      </c>
      <c r="M1456" s="5" t="str">
        <f t="shared" si="45"/>
        <v>Mar</v>
      </c>
    </row>
    <row r="1457" spans="1:13" x14ac:dyDescent="0.25">
      <c r="A1457" s="2">
        <v>38854</v>
      </c>
      <c r="B1457" t="s">
        <v>22</v>
      </c>
      <c r="C1457" t="s">
        <v>27</v>
      </c>
      <c r="D1457" t="s">
        <v>16</v>
      </c>
      <c r="E1457" t="s">
        <v>14</v>
      </c>
      <c r="F1457" s="3">
        <v>2764.4</v>
      </c>
      <c r="G1457" s="3">
        <v>4766.2</v>
      </c>
      <c r="H1457" s="3">
        <f>Table1[[#This Row],[Sale]]-Table1[[#This Row],[Cost]]</f>
        <v>2001.7999999999997</v>
      </c>
      <c r="I1457" s="4">
        <f>Table1[[#This Row],[Profit]]/Table1[[#This Row],[Sale]]</f>
        <v>0.41999916075699717</v>
      </c>
      <c r="J1457" s="5">
        <f t="shared" si="44"/>
        <v>2006</v>
      </c>
      <c r="K1457" s="5">
        <f>MONTH(Table1[[#This Row],[Date]])</f>
        <v>5</v>
      </c>
      <c r="L1457" s="5">
        <f>DAY(Table1[[#This Row],[Date]])</f>
        <v>17</v>
      </c>
      <c r="M1457" s="5" t="str">
        <f t="shared" si="45"/>
        <v>May</v>
      </c>
    </row>
    <row r="1458" spans="1:13" x14ac:dyDescent="0.25">
      <c r="A1458" s="2">
        <v>38782</v>
      </c>
      <c r="B1458" t="s">
        <v>15</v>
      </c>
      <c r="C1458" t="s">
        <v>29</v>
      </c>
      <c r="D1458" t="s">
        <v>16</v>
      </c>
      <c r="E1458" t="s">
        <v>20</v>
      </c>
      <c r="F1458" s="3">
        <v>2356.6799999999998</v>
      </c>
      <c r="G1458" s="3">
        <v>4284.88</v>
      </c>
      <c r="H1458" s="3">
        <f>Table1[[#This Row],[Sale]]-Table1[[#This Row],[Cost]]</f>
        <v>1928.2000000000003</v>
      </c>
      <c r="I1458" s="4">
        <f>Table1[[#This Row],[Profit]]/Table1[[#This Row],[Sale]]</f>
        <v>0.45000093351505766</v>
      </c>
      <c r="J1458" s="5">
        <f t="shared" si="44"/>
        <v>2006</v>
      </c>
      <c r="K1458" s="5">
        <f>MONTH(Table1[[#This Row],[Date]])</f>
        <v>3</v>
      </c>
      <c r="L1458" s="5">
        <f>DAY(Table1[[#This Row],[Date]])</f>
        <v>6</v>
      </c>
      <c r="M1458" s="5" t="str">
        <f t="shared" si="45"/>
        <v>Mar</v>
      </c>
    </row>
    <row r="1459" spans="1:13" x14ac:dyDescent="0.25">
      <c r="A1459" s="2">
        <v>38400</v>
      </c>
      <c r="B1459" t="s">
        <v>17</v>
      </c>
      <c r="C1459" t="s">
        <v>23</v>
      </c>
      <c r="D1459" t="s">
        <v>16</v>
      </c>
      <c r="E1459" t="s">
        <v>14</v>
      </c>
      <c r="F1459" s="3">
        <v>2045.51</v>
      </c>
      <c r="G1459" s="3">
        <v>3466.97</v>
      </c>
      <c r="H1459" s="3">
        <f>Table1[[#This Row],[Sale]]-Table1[[#This Row],[Cost]]</f>
        <v>1421.4599999999998</v>
      </c>
      <c r="I1459" s="4">
        <f>Table1[[#This Row],[Profit]]/Table1[[#This Row],[Sale]]</f>
        <v>0.41000066340349062</v>
      </c>
      <c r="J1459" s="5">
        <f t="shared" si="44"/>
        <v>2005</v>
      </c>
      <c r="K1459" s="5">
        <f>MONTH(Table1[[#This Row],[Date]])</f>
        <v>2</v>
      </c>
      <c r="L1459" s="5">
        <f>DAY(Table1[[#This Row],[Date]])</f>
        <v>17</v>
      </c>
      <c r="M1459" s="5" t="str">
        <f t="shared" si="45"/>
        <v>Feb</v>
      </c>
    </row>
    <row r="1460" spans="1:13" x14ac:dyDescent="0.25">
      <c r="A1460" s="2">
        <v>38196</v>
      </c>
      <c r="B1460" t="s">
        <v>17</v>
      </c>
      <c r="C1460" t="s">
        <v>18</v>
      </c>
      <c r="D1460" t="s">
        <v>28</v>
      </c>
      <c r="E1460" t="s">
        <v>24</v>
      </c>
      <c r="F1460" s="3">
        <v>4020.66</v>
      </c>
      <c r="G1460" s="3">
        <v>8934.7999999999993</v>
      </c>
      <c r="H1460" s="3">
        <f>Table1[[#This Row],[Sale]]-Table1[[#This Row],[Cost]]</f>
        <v>4914.1399999999994</v>
      </c>
      <c r="I1460" s="4">
        <f>Table1[[#This Row],[Profit]]/Table1[[#This Row],[Sale]]</f>
        <v>0.54999999999999993</v>
      </c>
      <c r="J1460" s="5">
        <f t="shared" si="44"/>
        <v>2004</v>
      </c>
      <c r="K1460" s="5">
        <f>MONTH(Table1[[#This Row],[Date]])</f>
        <v>7</v>
      </c>
      <c r="L1460" s="5">
        <f>DAY(Table1[[#This Row],[Date]])</f>
        <v>28</v>
      </c>
      <c r="M1460" s="5" t="str">
        <f t="shared" si="45"/>
        <v>Jul</v>
      </c>
    </row>
    <row r="1461" spans="1:13" x14ac:dyDescent="0.25">
      <c r="A1461" s="2">
        <v>38539</v>
      </c>
      <c r="B1461" t="s">
        <v>17</v>
      </c>
      <c r="C1461" t="s">
        <v>18</v>
      </c>
      <c r="D1461" t="s">
        <v>28</v>
      </c>
      <c r="E1461" t="s">
        <v>24</v>
      </c>
      <c r="F1461" s="3">
        <v>8.94</v>
      </c>
      <c r="G1461" s="3">
        <v>15.15</v>
      </c>
      <c r="H1461" s="3">
        <f>Table1[[#This Row],[Sale]]-Table1[[#This Row],[Cost]]</f>
        <v>6.2100000000000009</v>
      </c>
      <c r="I1461" s="4">
        <f>Table1[[#This Row],[Profit]]/Table1[[#This Row],[Sale]]</f>
        <v>0.40990099009900993</v>
      </c>
      <c r="J1461" s="5">
        <f t="shared" si="44"/>
        <v>2005</v>
      </c>
      <c r="K1461" s="5">
        <f>MONTH(Table1[[#This Row],[Date]])</f>
        <v>7</v>
      </c>
      <c r="L1461" s="5">
        <f>DAY(Table1[[#This Row],[Date]])</f>
        <v>6</v>
      </c>
      <c r="M1461" s="5" t="str">
        <f t="shared" si="45"/>
        <v>Jul</v>
      </c>
    </row>
    <row r="1462" spans="1:13" x14ac:dyDescent="0.25">
      <c r="A1462" s="2">
        <v>38401</v>
      </c>
      <c r="B1462" t="s">
        <v>11</v>
      </c>
      <c r="C1462" t="s">
        <v>29</v>
      </c>
      <c r="D1462" t="s">
        <v>19</v>
      </c>
      <c r="E1462" t="s">
        <v>25</v>
      </c>
      <c r="F1462" s="3">
        <v>2549.88</v>
      </c>
      <c r="G1462" s="3">
        <v>5666.41</v>
      </c>
      <c r="H1462" s="3">
        <f>Table1[[#This Row],[Sale]]-Table1[[#This Row],[Cost]]</f>
        <v>3116.5299999999997</v>
      </c>
      <c r="I1462" s="4">
        <f>Table1[[#This Row],[Profit]]/Table1[[#This Row],[Sale]]</f>
        <v>0.55000079415361747</v>
      </c>
      <c r="J1462" s="5">
        <f t="shared" si="44"/>
        <v>2005</v>
      </c>
      <c r="K1462" s="5">
        <f>MONTH(Table1[[#This Row],[Date]])</f>
        <v>2</v>
      </c>
      <c r="L1462" s="5">
        <f>DAY(Table1[[#This Row],[Date]])</f>
        <v>18</v>
      </c>
      <c r="M1462" s="5" t="str">
        <f t="shared" si="45"/>
        <v>Feb</v>
      </c>
    </row>
    <row r="1463" spans="1:13" x14ac:dyDescent="0.25">
      <c r="A1463" s="2">
        <v>38450</v>
      </c>
      <c r="B1463" t="s">
        <v>26</v>
      </c>
      <c r="C1463" t="s">
        <v>12</v>
      </c>
      <c r="D1463" t="s">
        <v>13</v>
      </c>
      <c r="E1463" t="s">
        <v>24</v>
      </c>
      <c r="F1463" s="3">
        <v>3466.28</v>
      </c>
      <c r="G1463" s="3">
        <v>7702.84</v>
      </c>
      <c r="H1463" s="3">
        <f>Table1[[#This Row],[Sale]]-Table1[[#This Row],[Cost]]</f>
        <v>4236.5599999999995</v>
      </c>
      <c r="I1463" s="4">
        <f>Table1[[#This Row],[Profit]]/Table1[[#This Row],[Sale]]</f>
        <v>0.54999974035550514</v>
      </c>
      <c r="J1463" s="5">
        <f t="shared" si="44"/>
        <v>2005</v>
      </c>
      <c r="K1463" s="5">
        <f>MONTH(Table1[[#This Row],[Date]])</f>
        <v>4</v>
      </c>
      <c r="L1463" s="5">
        <f>DAY(Table1[[#This Row],[Date]])</f>
        <v>8</v>
      </c>
      <c r="M1463" s="5" t="str">
        <f t="shared" si="45"/>
        <v>Apr</v>
      </c>
    </row>
    <row r="1464" spans="1:13" x14ac:dyDescent="0.25">
      <c r="A1464" s="2">
        <v>38524</v>
      </c>
      <c r="B1464" t="s">
        <v>11</v>
      </c>
      <c r="C1464" t="s">
        <v>29</v>
      </c>
      <c r="D1464" t="s">
        <v>16</v>
      </c>
      <c r="E1464" t="s">
        <v>24</v>
      </c>
      <c r="F1464" s="3">
        <v>3237.64</v>
      </c>
      <c r="G1464" s="3">
        <v>7529.39</v>
      </c>
      <c r="H1464" s="3">
        <f>Table1[[#This Row],[Sale]]-Table1[[#This Row],[Cost]]</f>
        <v>4291.75</v>
      </c>
      <c r="I1464" s="4">
        <f>Table1[[#This Row],[Profit]]/Table1[[#This Row],[Sale]]</f>
        <v>0.56999969453036703</v>
      </c>
      <c r="J1464" s="5">
        <f t="shared" si="44"/>
        <v>2005</v>
      </c>
      <c r="K1464" s="5">
        <f>MONTH(Table1[[#This Row],[Date]])</f>
        <v>6</v>
      </c>
      <c r="L1464" s="5">
        <f>DAY(Table1[[#This Row],[Date]])</f>
        <v>21</v>
      </c>
      <c r="M1464" s="5" t="str">
        <f t="shared" si="45"/>
        <v>Jun</v>
      </c>
    </row>
    <row r="1465" spans="1:13" x14ac:dyDescent="0.25">
      <c r="A1465" s="2">
        <v>38341</v>
      </c>
      <c r="B1465" t="s">
        <v>21</v>
      </c>
      <c r="C1465" t="s">
        <v>12</v>
      </c>
      <c r="D1465" t="s">
        <v>28</v>
      </c>
      <c r="E1465" t="s">
        <v>20</v>
      </c>
      <c r="F1465" s="3">
        <v>5876.59</v>
      </c>
      <c r="G1465" s="3">
        <v>9960.33</v>
      </c>
      <c r="H1465" s="3">
        <f>Table1[[#This Row],[Sale]]-Table1[[#This Row],[Cost]]</f>
        <v>4083.74</v>
      </c>
      <c r="I1465" s="4">
        <f>Table1[[#This Row],[Profit]]/Table1[[#This Row],[Sale]]</f>
        <v>0.41000047187191585</v>
      </c>
      <c r="J1465" s="5">
        <f t="shared" si="44"/>
        <v>2004</v>
      </c>
      <c r="K1465" s="5">
        <f>MONTH(Table1[[#This Row],[Date]])</f>
        <v>12</v>
      </c>
      <c r="L1465" s="5">
        <f>DAY(Table1[[#This Row],[Date]])</f>
        <v>20</v>
      </c>
      <c r="M1465" s="5" t="str">
        <f t="shared" si="45"/>
        <v>Dec</v>
      </c>
    </row>
    <row r="1466" spans="1:13" x14ac:dyDescent="0.25">
      <c r="A1466" s="2">
        <v>38236</v>
      </c>
      <c r="B1466" t="s">
        <v>21</v>
      </c>
      <c r="C1466" t="s">
        <v>12</v>
      </c>
      <c r="D1466" t="s">
        <v>13</v>
      </c>
      <c r="E1466" t="s">
        <v>14</v>
      </c>
      <c r="F1466" s="3">
        <v>3980.17</v>
      </c>
      <c r="G1466" s="3">
        <v>4522.92</v>
      </c>
      <c r="H1466" s="3">
        <f>Table1[[#This Row],[Sale]]-Table1[[#This Row],[Cost]]</f>
        <v>542.75</v>
      </c>
      <c r="I1466" s="4">
        <f>Table1[[#This Row],[Profit]]/Table1[[#This Row],[Sale]]</f>
        <v>0.11999991156155758</v>
      </c>
      <c r="J1466" s="5">
        <f t="shared" si="44"/>
        <v>2004</v>
      </c>
      <c r="K1466" s="5">
        <f>MONTH(Table1[[#This Row],[Date]])</f>
        <v>9</v>
      </c>
      <c r="L1466" s="5">
        <f>DAY(Table1[[#This Row],[Date]])</f>
        <v>6</v>
      </c>
      <c r="M1466" s="5" t="str">
        <f t="shared" si="45"/>
        <v>Sep</v>
      </c>
    </row>
    <row r="1467" spans="1:13" x14ac:dyDescent="0.25">
      <c r="A1467" s="2">
        <v>38856</v>
      </c>
      <c r="B1467" t="s">
        <v>17</v>
      </c>
      <c r="C1467" t="s">
        <v>12</v>
      </c>
      <c r="D1467" t="s">
        <v>13</v>
      </c>
      <c r="E1467" t="s">
        <v>20</v>
      </c>
      <c r="F1467" s="3">
        <v>1798.3</v>
      </c>
      <c r="G1467" s="3">
        <v>3100.52</v>
      </c>
      <c r="H1467" s="3">
        <f>Table1[[#This Row],[Sale]]-Table1[[#This Row],[Cost]]</f>
        <v>1302.22</v>
      </c>
      <c r="I1467" s="4">
        <f>Table1[[#This Row],[Profit]]/Table1[[#This Row],[Sale]]</f>
        <v>0.4200005160424703</v>
      </c>
      <c r="J1467" s="5">
        <f t="shared" si="44"/>
        <v>2006</v>
      </c>
      <c r="K1467" s="5">
        <f>MONTH(Table1[[#This Row],[Date]])</f>
        <v>5</v>
      </c>
      <c r="L1467" s="5">
        <f>DAY(Table1[[#This Row],[Date]])</f>
        <v>19</v>
      </c>
      <c r="M1467" s="5" t="str">
        <f t="shared" si="45"/>
        <v>May</v>
      </c>
    </row>
    <row r="1468" spans="1:13" x14ac:dyDescent="0.25">
      <c r="A1468" s="2">
        <v>38429</v>
      </c>
      <c r="B1468" t="s">
        <v>17</v>
      </c>
      <c r="C1468" t="s">
        <v>12</v>
      </c>
      <c r="D1468" t="s">
        <v>13</v>
      </c>
      <c r="E1468" t="s">
        <v>25</v>
      </c>
      <c r="F1468" s="3">
        <v>249.38</v>
      </c>
      <c r="G1468" s="3">
        <v>366.74</v>
      </c>
      <c r="H1468" s="3">
        <f>Table1[[#This Row],[Sale]]-Table1[[#This Row],[Cost]]</f>
        <v>117.36000000000001</v>
      </c>
      <c r="I1468" s="4">
        <f>Table1[[#This Row],[Profit]]/Table1[[#This Row],[Sale]]</f>
        <v>0.32000872552762177</v>
      </c>
      <c r="J1468" s="5">
        <f t="shared" si="44"/>
        <v>2005</v>
      </c>
      <c r="K1468" s="5">
        <f>MONTH(Table1[[#This Row],[Date]])</f>
        <v>3</v>
      </c>
      <c r="L1468" s="5">
        <f>DAY(Table1[[#This Row],[Date]])</f>
        <v>18</v>
      </c>
      <c r="M1468" s="5" t="str">
        <f t="shared" si="45"/>
        <v>Mar</v>
      </c>
    </row>
    <row r="1469" spans="1:13" x14ac:dyDescent="0.25">
      <c r="A1469" s="2">
        <v>38418</v>
      </c>
      <c r="B1469" t="s">
        <v>26</v>
      </c>
      <c r="C1469" t="s">
        <v>27</v>
      </c>
      <c r="D1469" t="s">
        <v>16</v>
      </c>
      <c r="E1469" t="s">
        <v>24</v>
      </c>
      <c r="F1469" s="3">
        <v>4769.93</v>
      </c>
      <c r="G1469" s="3">
        <v>8224.01</v>
      </c>
      <c r="H1469" s="3">
        <f>Table1[[#This Row],[Sale]]-Table1[[#This Row],[Cost]]</f>
        <v>3454.08</v>
      </c>
      <c r="I1469" s="4">
        <f>Table1[[#This Row],[Profit]]/Table1[[#This Row],[Sale]]</f>
        <v>0.41999948930023184</v>
      </c>
      <c r="J1469" s="5">
        <f t="shared" si="44"/>
        <v>2005</v>
      </c>
      <c r="K1469" s="5">
        <f>MONTH(Table1[[#This Row],[Date]])</f>
        <v>3</v>
      </c>
      <c r="L1469" s="5">
        <f>DAY(Table1[[#This Row],[Date]])</f>
        <v>7</v>
      </c>
      <c r="M1469" s="5" t="str">
        <f t="shared" si="45"/>
        <v>Mar</v>
      </c>
    </row>
    <row r="1470" spans="1:13" x14ac:dyDescent="0.25">
      <c r="A1470" s="2">
        <v>38617</v>
      </c>
      <c r="B1470" t="s">
        <v>17</v>
      </c>
      <c r="C1470" t="s">
        <v>27</v>
      </c>
      <c r="D1470" t="s">
        <v>19</v>
      </c>
      <c r="E1470" t="s">
        <v>14</v>
      </c>
      <c r="F1470" s="3">
        <v>7160.5</v>
      </c>
      <c r="G1470" s="3">
        <v>8136.93</v>
      </c>
      <c r="H1470" s="3">
        <f>Table1[[#This Row],[Sale]]-Table1[[#This Row],[Cost]]</f>
        <v>976.43000000000029</v>
      </c>
      <c r="I1470" s="4">
        <f>Table1[[#This Row],[Profit]]/Table1[[#This Row],[Sale]]</f>
        <v>0.11999980336564285</v>
      </c>
      <c r="J1470" s="5">
        <f t="shared" si="44"/>
        <v>2005</v>
      </c>
      <c r="K1470" s="5">
        <f>MONTH(Table1[[#This Row],[Date]])</f>
        <v>9</v>
      </c>
      <c r="L1470" s="5">
        <f>DAY(Table1[[#This Row],[Date]])</f>
        <v>22</v>
      </c>
      <c r="M1470" s="5" t="str">
        <f t="shared" si="45"/>
        <v>Sep</v>
      </c>
    </row>
    <row r="1471" spans="1:13" x14ac:dyDescent="0.25">
      <c r="A1471" s="2">
        <v>38506</v>
      </c>
      <c r="B1471" t="s">
        <v>11</v>
      </c>
      <c r="C1471" t="s">
        <v>23</v>
      </c>
      <c r="D1471" t="s">
        <v>16</v>
      </c>
      <c r="E1471" t="s">
        <v>14</v>
      </c>
      <c r="F1471" s="3">
        <v>6306.47</v>
      </c>
      <c r="G1471" s="3">
        <v>8408.6299999999992</v>
      </c>
      <c r="H1471" s="3">
        <f>Table1[[#This Row],[Sale]]-Table1[[#This Row],[Cost]]</f>
        <v>2102.1599999999989</v>
      </c>
      <c r="I1471" s="4">
        <f>Table1[[#This Row],[Profit]]/Table1[[#This Row],[Sale]]</f>
        <v>0.25000029731359319</v>
      </c>
      <c r="J1471" s="5">
        <f t="shared" si="44"/>
        <v>2005</v>
      </c>
      <c r="K1471" s="5">
        <f>MONTH(Table1[[#This Row],[Date]])</f>
        <v>6</v>
      </c>
      <c r="L1471" s="5">
        <f>DAY(Table1[[#This Row],[Date]])</f>
        <v>3</v>
      </c>
      <c r="M1471" s="5" t="str">
        <f t="shared" si="45"/>
        <v>Jun</v>
      </c>
    </row>
    <row r="1472" spans="1:13" x14ac:dyDescent="0.25">
      <c r="A1472" s="2">
        <v>38276</v>
      </c>
      <c r="B1472" t="s">
        <v>22</v>
      </c>
      <c r="C1472" t="s">
        <v>23</v>
      </c>
      <c r="D1472" t="s">
        <v>16</v>
      </c>
      <c r="E1472" t="s">
        <v>24</v>
      </c>
      <c r="F1472" s="3">
        <v>4250.16</v>
      </c>
      <c r="G1472" s="3">
        <v>7327.87</v>
      </c>
      <c r="H1472" s="3">
        <f>Table1[[#This Row],[Sale]]-Table1[[#This Row],[Cost]]</f>
        <v>3077.71</v>
      </c>
      <c r="I1472" s="4">
        <f>Table1[[#This Row],[Profit]]/Table1[[#This Row],[Sale]]</f>
        <v>0.42000062774039387</v>
      </c>
      <c r="J1472" s="5">
        <f t="shared" si="44"/>
        <v>2004</v>
      </c>
      <c r="K1472" s="5">
        <f>MONTH(Table1[[#This Row],[Date]])</f>
        <v>10</v>
      </c>
      <c r="L1472" s="5">
        <f>DAY(Table1[[#This Row],[Date]])</f>
        <v>16</v>
      </c>
      <c r="M1472" s="5" t="str">
        <f t="shared" si="45"/>
        <v>Oct</v>
      </c>
    </row>
    <row r="1473" spans="1:13" x14ac:dyDescent="0.25">
      <c r="A1473" s="2">
        <v>38705</v>
      </c>
      <c r="B1473" t="s">
        <v>26</v>
      </c>
      <c r="C1473" t="s">
        <v>18</v>
      </c>
      <c r="D1473" t="s">
        <v>19</v>
      </c>
      <c r="E1473" t="s">
        <v>24</v>
      </c>
      <c r="F1473" s="3">
        <v>1081.32</v>
      </c>
      <c r="G1473" s="3">
        <v>1966.03</v>
      </c>
      <c r="H1473" s="3">
        <f>Table1[[#This Row],[Sale]]-Table1[[#This Row],[Cost]]</f>
        <v>884.71</v>
      </c>
      <c r="I1473" s="4">
        <f>Table1[[#This Row],[Profit]]/Table1[[#This Row],[Sale]]</f>
        <v>0.44999821976266896</v>
      </c>
      <c r="J1473" s="5">
        <f t="shared" si="44"/>
        <v>2005</v>
      </c>
      <c r="K1473" s="5">
        <f>MONTH(Table1[[#This Row],[Date]])</f>
        <v>12</v>
      </c>
      <c r="L1473" s="5">
        <f>DAY(Table1[[#This Row],[Date]])</f>
        <v>19</v>
      </c>
      <c r="M1473" s="5" t="str">
        <f t="shared" si="45"/>
        <v>Dec</v>
      </c>
    </row>
    <row r="1474" spans="1:13" x14ac:dyDescent="0.25">
      <c r="A1474" s="2">
        <v>38348</v>
      </c>
      <c r="B1474" t="s">
        <v>17</v>
      </c>
      <c r="C1474" t="s">
        <v>27</v>
      </c>
      <c r="D1474" t="s">
        <v>28</v>
      </c>
      <c r="E1474" t="s">
        <v>24</v>
      </c>
      <c r="F1474" s="3">
        <v>3396.25</v>
      </c>
      <c r="G1474" s="3">
        <v>9179.0499999999993</v>
      </c>
      <c r="H1474" s="3">
        <f>Table1[[#This Row],[Sale]]-Table1[[#This Row],[Cost]]</f>
        <v>5782.7999999999993</v>
      </c>
      <c r="I1474" s="4">
        <f>Table1[[#This Row],[Profit]]/Table1[[#This Row],[Sale]]</f>
        <v>0.62999983658439596</v>
      </c>
      <c r="J1474" s="5">
        <f t="shared" ref="J1474:J1537" si="46">YEAR(A:A)</f>
        <v>2004</v>
      </c>
      <c r="K1474" s="5">
        <f>MONTH(Table1[[#This Row],[Date]])</f>
        <v>12</v>
      </c>
      <c r="L1474" s="5">
        <f>DAY(Table1[[#This Row],[Date]])</f>
        <v>27</v>
      </c>
      <c r="M1474" s="5" t="str">
        <f t="shared" ref="M1474:M1537" si="47">CHOOSE(K1474,"Jan", "Feb", "Mar", "Apr", "May", "Jun", "Jul", "Aug", "Sep", "Oct", "Nov", "Dec")</f>
        <v>Dec</v>
      </c>
    </row>
    <row r="1475" spans="1:13" x14ac:dyDescent="0.25">
      <c r="A1475" s="2">
        <v>38477</v>
      </c>
      <c r="B1475" t="s">
        <v>22</v>
      </c>
      <c r="C1475" t="s">
        <v>29</v>
      </c>
      <c r="D1475" t="s">
        <v>19</v>
      </c>
      <c r="E1475" t="s">
        <v>24</v>
      </c>
      <c r="F1475" s="3">
        <v>5754.94</v>
      </c>
      <c r="G1475" s="3">
        <v>9754.1299999999992</v>
      </c>
      <c r="H1475" s="3">
        <f>Table1[[#This Row],[Sale]]-Table1[[#This Row],[Cost]]</f>
        <v>3999.1899999999996</v>
      </c>
      <c r="I1475" s="4">
        <f>Table1[[#This Row],[Profit]]/Table1[[#This Row],[Sale]]</f>
        <v>0.40999966168176966</v>
      </c>
      <c r="J1475" s="5">
        <f t="shared" si="46"/>
        <v>2005</v>
      </c>
      <c r="K1475" s="5">
        <f>MONTH(Table1[[#This Row],[Date]])</f>
        <v>5</v>
      </c>
      <c r="L1475" s="5">
        <f>DAY(Table1[[#This Row],[Date]])</f>
        <v>5</v>
      </c>
      <c r="M1475" s="5" t="str">
        <f t="shared" si="47"/>
        <v>May</v>
      </c>
    </row>
    <row r="1476" spans="1:13" x14ac:dyDescent="0.25">
      <c r="A1476" s="2">
        <v>38359</v>
      </c>
      <c r="B1476" t="s">
        <v>11</v>
      </c>
      <c r="C1476" t="s">
        <v>27</v>
      </c>
      <c r="D1476" t="s">
        <v>13</v>
      </c>
      <c r="E1476" t="s">
        <v>20</v>
      </c>
      <c r="F1476" s="3">
        <v>3894.43</v>
      </c>
      <c r="G1476" s="3">
        <v>6600.73</v>
      </c>
      <c r="H1476" s="3">
        <f>Table1[[#This Row],[Sale]]-Table1[[#This Row],[Cost]]</f>
        <v>2706.2999999999997</v>
      </c>
      <c r="I1476" s="4">
        <f>Table1[[#This Row],[Profit]]/Table1[[#This Row],[Sale]]</f>
        <v>0.41000010604887638</v>
      </c>
      <c r="J1476" s="5">
        <f t="shared" si="46"/>
        <v>2005</v>
      </c>
      <c r="K1476" s="5">
        <f>MONTH(Table1[[#This Row],[Date]])</f>
        <v>1</v>
      </c>
      <c r="L1476" s="5">
        <f>DAY(Table1[[#This Row],[Date]])</f>
        <v>7</v>
      </c>
      <c r="M1476" s="5" t="str">
        <f t="shared" si="47"/>
        <v>Jan</v>
      </c>
    </row>
    <row r="1477" spans="1:13" x14ac:dyDescent="0.25">
      <c r="A1477" s="2">
        <v>38838</v>
      </c>
      <c r="B1477" t="s">
        <v>17</v>
      </c>
      <c r="C1477" t="s">
        <v>27</v>
      </c>
      <c r="D1477" t="s">
        <v>16</v>
      </c>
      <c r="E1477" t="s">
        <v>24</v>
      </c>
      <c r="F1477" s="3">
        <v>6605.5</v>
      </c>
      <c r="G1477" s="3">
        <v>8807.33</v>
      </c>
      <c r="H1477" s="3">
        <f>Table1[[#This Row],[Sale]]-Table1[[#This Row],[Cost]]</f>
        <v>2201.83</v>
      </c>
      <c r="I1477" s="4">
        <f>Table1[[#This Row],[Profit]]/Table1[[#This Row],[Sale]]</f>
        <v>0.24999971614552877</v>
      </c>
      <c r="J1477" s="5">
        <f t="shared" si="46"/>
        <v>2006</v>
      </c>
      <c r="K1477" s="5">
        <f>MONTH(Table1[[#This Row],[Date]])</f>
        <v>5</v>
      </c>
      <c r="L1477" s="5">
        <f>DAY(Table1[[#This Row],[Date]])</f>
        <v>1</v>
      </c>
      <c r="M1477" s="5" t="str">
        <f t="shared" si="47"/>
        <v>May</v>
      </c>
    </row>
    <row r="1478" spans="1:13" x14ac:dyDescent="0.25">
      <c r="A1478" s="2">
        <v>38684</v>
      </c>
      <c r="B1478" t="s">
        <v>17</v>
      </c>
      <c r="C1478" t="s">
        <v>27</v>
      </c>
      <c r="D1478" t="s">
        <v>19</v>
      </c>
      <c r="E1478" t="s">
        <v>20</v>
      </c>
      <c r="F1478" s="3">
        <v>150.74</v>
      </c>
      <c r="G1478" s="3">
        <v>274.07</v>
      </c>
      <c r="H1478" s="3">
        <f>Table1[[#This Row],[Sale]]-Table1[[#This Row],[Cost]]</f>
        <v>123.32999999999998</v>
      </c>
      <c r="I1478" s="4">
        <f>Table1[[#This Row],[Profit]]/Table1[[#This Row],[Sale]]</f>
        <v>0.44999452694567077</v>
      </c>
      <c r="J1478" s="5">
        <f t="shared" si="46"/>
        <v>2005</v>
      </c>
      <c r="K1478" s="5">
        <f>MONTH(Table1[[#This Row],[Date]])</f>
        <v>11</v>
      </c>
      <c r="L1478" s="5">
        <f>DAY(Table1[[#This Row],[Date]])</f>
        <v>28</v>
      </c>
      <c r="M1478" s="5" t="str">
        <f t="shared" si="47"/>
        <v>Nov</v>
      </c>
    </row>
    <row r="1479" spans="1:13" x14ac:dyDescent="0.25">
      <c r="A1479" s="2">
        <v>38472</v>
      </c>
      <c r="B1479" t="s">
        <v>21</v>
      </c>
      <c r="C1479" t="s">
        <v>27</v>
      </c>
      <c r="D1479" t="s">
        <v>28</v>
      </c>
      <c r="E1479" t="s">
        <v>20</v>
      </c>
      <c r="F1479" s="3">
        <v>5032.5600000000004</v>
      </c>
      <c r="G1479" s="3">
        <v>5382.42</v>
      </c>
      <c r="H1479" s="3">
        <f>Table1[[#This Row],[Sale]]-Table1[[#This Row],[Cost]]</f>
        <v>349.85999999999967</v>
      </c>
      <c r="I1479" s="4">
        <f>Table1[[#This Row],[Profit]]/Table1[[#This Row],[Sale]]</f>
        <v>6.5000501633094343E-2</v>
      </c>
      <c r="J1479" s="5">
        <f t="shared" si="46"/>
        <v>2005</v>
      </c>
      <c r="K1479" s="5">
        <f>MONTH(Table1[[#This Row],[Date]])</f>
        <v>4</v>
      </c>
      <c r="L1479" s="5">
        <f>DAY(Table1[[#This Row],[Date]])</f>
        <v>30</v>
      </c>
      <c r="M1479" s="5" t="str">
        <f t="shared" si="47"/>
        <v>Apr</v>
      </c>
    </row>
    <row r="1480" spans="1:13" x14ac:dyDescent="0.25">
      <c r="A1480" s="2">
        <v>38227</v>
      </c>
      <c r="B1480" t="s">
        <v>15</v>
      </c>
      <c r="C1480" t="s">
        <v>12</v>
      </c>
      <c r="D1480" t="s">
        <v>28</v>
      </c>
      <c r="E1480" t="s">
        <v>24</v>
      </c>
      <c r="F1480" s="3">
        <v>7898.92</v>
      </c>
      <c r="G1480" s="3">
        <v>8976.0400000000009</v>
      </c>
      <c r="H1480" s="3">
        <f>Table1[[#This Row],[Sale]]-Table1[[#This Row],[Cost]]</f>
        <v>1077.1200000000008</v>
      </c>
      <c r="I1480" s="4">
        <f>Table1[[#This Row],[Profit]]/Table1[[#This Row],[Sale]]</f>
        <v>0.11999946524302484</v>
      </c>
      <c r="J1480" s="5">
        <f t="shared" si="46"/>
        <v>2004</v>
      </c>
      <c r="K1480" s="5">
        <f>MONTH(Table1[[#This Row],[Date]])</f>
        <v>8</v>
      </c>
      <c r="L1480" s="5">
        <f>DAY(Table1[[#This Row],[Date]])</f>
        <v>28</v>
      </c>
      <c r="M1480" s="5" t="str">
        <f t="shared" si="47"/>
        <v>Aug</v>
      </c>
    </row>
    <row r="1481" spans="1:13" x14ac:dyDescent="0.25">
      <c r="A1481" s="2">
        <v>38698</v>
      </c>
      <c r="B1481" t="s">
        <v>21</v>
      </c>
      <c r="C1481" t="s">
        <v>12</v>
      </c>
      <c r="D1481" t="s">
        <v>13</v>
      </c>
      <c r="E1481" t="s">
        <v>20</v>
      </c>
      <c r="F1481" s="3">
        <v>92.28</v>
      </c>
      <c r="G1481" s="3">
        <v>135.69999999999999</v>
      </c>
      <c r="H1481" s="3">
        <f>Table1[[#This Row],[Sale]]-Table1[[#This Row],[Cost]]</f>
        <v>43.419999999999987</v>
      </c>
      <c r="I1481" s="4">
        <f>Table1[[#This Row],[Profit]]/Table1[[#This Row],[Sale]]</f>
        <v>0.3199705232129697</v>
      </c>
      <c r="J1481" s="5">
        <f t="shared" si="46"/>
        <v>2005</v>
      </c>
      <c r="K1481" s="5">
        <f>MONTH(Table1[[#This Row],[Date]])</f>
        <v>12</v>
      </c>
      <c r="L1481" s="5">
        <f>DAY(Table1[[#This Row],[Date]])</f>
        <v>12</v>
      </c>
      <c r="M1481" s="5" t="str">
        <f t="shared" si="47"/>
        <v>Dec</v>
      </c>
    </row>
    <row r="1482" spans="1:13" x14ac:dyDescent="0.25">
      <c r="A1482" s="2">
        <v>38310</v>
      </c>
      <c r="B1482" t="s">
        <v>17</v>
      </c>
      <c r="C1482" t="s">
        <v>27</v>
      </c>
      <c r="D1482" t="s">
        <v>13</v>
      </c>
      <c r="E1482" t="s">
        <v>24</v>
      </c>
      <c r="F1482" s="3">
        <v>1795.57</v>
      </c>
      <c r="G1482" s="3">
        <v>4852.8999999999996</v>
      </c>
      <c r="H1482" s="3">
        <f>Table1[[#This Row],[Sale]]-Table1[[#This Row],[Cost]]</f>
        <v>3057.33</v>
      </c>
      <c r="I1482" s="4">
        <f>Table1[[#This Row],[Profit]]/Table1[[#This Row],[Sale]]</f>
        <v>0.63000061818706343</v>
      </c>
      <c r="J1482" s="5">
        <f t="shared" si="46"/>
        <v>2004</v>
      </c>
      <c r="K1482" s="5">
        <f>MONTH(Table1[[#This Row],[Date]])</f>
        <v>11</v>
      </c>
      <c r="L1482" s="5">
        <f>DAY(Table1[[#This Row],[Date]])</f>
        <v>19</v>
      </c>
      <c r="M1482" s="5" t="str">
        <f t="shared" si="47"/>
        <v>Nov</v>
      </c>
    </row>
    <row r="1483" spans="1:13" x14ac:dyDescent="0.25">
      <c r="A1483" s="2">
        <v>38471</v>
      </c>
      <c r="B1483" t="s">
        <v>22</v>
      </c>
      <c r="C1483" t="s">
        <v>29</v>
      </c>
      <c r="D1483" t="s">
        <v>13</v>
      </c>
      <c r="E1483" t="s">
        <v>25</v>
      </c>
      <c r="F1483" s="3">
        <v>2646.46</v>
      </c>
      <c r="G1483" s="3">
        <v>6154.56</v>
      </c>
      <c r="H1483" s="3">
        <f>Table1[[#This Row],[Sale]]-Table1[[#This Row],[Cost]]</f>
        <v>3508.1000000000004</v>
      </c>
      <c r="I1483" s="4">
        <f>Table1[[#This Row],[Profit]]/Table1[[#This Row],[Sale]]</f>
        <v>0.57000012998492178</v>
      </c>
      <c r="J1483" s="5">
        <f t="shared" si="46"/>
        <v>2005</v>
      </c>
      <c r="K1483" s="5">
        <f>MONTH(Table1[[#This Row],[Date]])</f>
        <v>4</v>
      </c>
      <c r="L1483" s="5">
        <f>DAY(Table1[[#This Row],[Date]])</f>
        <v>29</v>
      </c>
      <c r="M1483" s="5" t="str">
        <f t="shared" si="47"/>
        <v>Apr</v>
      </c>
    </row>
    <row r="1484" spans="1:13" x14ac:dyDescent="0.25">
      <c r="A1484" s="2">
        <v>38537</v>
      </c>
      <c r="B1484" t="s">
        <v>17</v>
      </c>
      <c r="C1484" t="s">
        <v>12</v>
      </c>
      <c r="D1484" t="s">
        <v>19</v>
      </c>
      <c r="E1484" t="s">
        <v>25</v>
      </c>
      <c r="F1484" s="3">
        <v>3442.43</v>
      </c>
      <c r="G1484" s="3">
        <v>5834.62</v>
      </c>
      <c r="H1484" s="3">
        <f>Table1[[#This Row],[Sale]]-Table1[[#This Row],[Cost]]</f>
        <v>2392.19</v>
      </c>
      <c r="I1484" s="4">
        <f>Table1[[#This Row],[Profit]]/Table1[[#This Row],[Sale]]</f>
        <v>0.4099992801587764</v>
      </c>
      <c r="J1484" s="5">
        <f t="shared" si="46"/>
        <v>2005</v>
      </c>
      <c r="K1484" s="5">
        <f>MONTH(Table1[[#This Row],[Date]])</f>
        <v>7</v>
      </c>
      <c r="L1484" s="5">
        <f>DAY(Table1[[#This Row],[Date]])</f>
        <v>4</v>
      </c>
      <c r="M1484" s="5" t="str">
        <f t="shared" si="47"/>
        <v>Jul</v>
      </c>
    </row>
    <row r="1485" spans="1:13" x14ac:dyDescent="0.25">
      <c r="A1485" s="2">
        <v>38155</v>
      </c>
      <c r="B1485" t="s">
        <v>26</v>
      </c>
      <c r="C1485" t="s">
        <v>12</v>
      </c>
      <c r="D1485" t="s">
        <v>13</v>
      </c>
      <c r="E1485" t="s">
        <v>14</v>
      </c>
      <c r="F1485" s="3">
        <v>998.03</v>
      </c>
      <c r="G1485" s="3">
        <v>1691.57</v>
      </c>
      <c r="H1485" s="3">
        <f>Table1[[#This Row],[Sale]]-Table1[[#This Row],[Cost]]</f>
        <v>693.54</v>
      </c>
      <c r="I1485" s="4">
        <f>Table1[[#This Row],[Profit]]/Table1[[#This Row],[Sale]]</f>
        <v>0.4099978126828922</v>
      </c>
      <c r="J1485" s="5">
        <f t="shared" si="46"/>
        <v>2004</v>
      </c>
      <c r="K1485" s="5">
        <f>MONTH(Table1[[#This Row],[Date]])</f>
        <v>6</v>
      </c>
      <c r="L1485" s="5">
        <f>DAY(Table1[[#This Row],[Date]])</f>
        <v>17</v>
      </c>
      <c r="M1485" s="5" t="str">
        <f t="shared" si="47"/>
        <v>Jun</v>
      </c>
    </row>
    <row r="1486" spans="1:13" x14ac:dyDescent="0.25">
      <c r="A1486" s="2">
        <v>38343</v>
      </c>
      <c r="B1486" t="s">
        <v>22</v>
      </c>
      <c r="C1486" t="s">
        <v>29</v>
      </c>
      <c r="D1486" t="s">
        <v>16</v>
      </c>
      <c r="E1486" t="s">
        <v>25</v>
      </c>
      <c r="F1486" s="3">
        <v>3799.3</v>
      </c>
      <c r="G1486" s="3">
        <v>4317.3900000000003</v>
      </c>
      <c r="H1486" s="3">
        <f>Table1[[#This Row],[Sale]]-Table1[[#This Row],[Cost]]</f>
        <v>518.09000000000015</v>
      </c>
      <c r="I1486" s="4">
        <f>Table1[[#This Row],[Profit]]/Table1[[#This Row],[Sale]]</f>
        <v>0.12000074118854218</v>
      </c>
      <c r="J1486" s="5">
        <f t="shared" si="46"/>
        <v>2004</v>
      </c>
      <c r="K1486" s="5">
        <f>MONTH(Table1[[#This Row],[Date]])</f>
        <v>12</v>
      </c>
      <c r="L1486" s="5">
        <f>DAY(Table1[[#This Row],[Date]])</f>
        <v>22</v>
      </c>
      <c r="M1486" s="5" t="str">
        <f t="shared" si="47"/>
        <v>Dec</v>
      </c>
    </row>
    <row r="1487" spans="1:13" x14ac:dyDescent="0.25">
      <c r="A1487" s="2">
        <v>38721</v>
      </c>
      <c r="B1487" t="s">
        <v>22</v>
      </c>
      <c r="C1487" t="s">
        <v>29</v>
      </c>
      <c r="D1487" t="s">
        <v>19</v>
      </c>
      <c r="E1487" t="s">
        <v>20</v>
      </c>
      <c r="F1487" s="3">
        <v>4158.17</v>
      </c>
      <c r="G1487" s="3">
        <v>5544.23</v>
      </c>
      <c r="H1487" s="3">
        <f>Table1[[#This Row],[Sale]]-Table1[[#This Row],[Cost]]</f>
        <v>1386.0599999999995</v>
      </c>
      <c r="I1487" s="4">
        <f>Table1[[#This Row],[Profit]]/Table1[[#This Row],[Sale]]</f>
        <v>0.25000045091924389</v>
      </c>
      <c r="J1487" s="5">
        <f t="shared" si="46"/>
        <v>2006</v>
      </c>
      <c r="K1487" s="5">
        <f>MONTH(Table1[[#This Row],[Date]])</f>
        <v>1</v>
      </c>
      <c r="L1487" s="5">
        <f>DAY(Table1[[#This Row],[Date]])</f>
        <v>4</v>
      </c>
      <c r="M1487" s="5" t="str">
        <f t="shared" si="47"/>
        <v>Jan</v>
      </c>
    </row>
    <row r="1488" spans="1:13" x14ac:dyDescent="0.25">
      <c r="A1488" s="2">
        <v>38504</v>
      </c>
      <c r="B1488" t="s">
        <v>22</v>
      </c>
      <c r="C1488" t="s">
        <v>12</v>
      </c>
      <c r="D1488" t="s">
        <v>19</v>
      </c>
      <c r="E1488" t="s">
        <v>20</v>
      </c>
      <c r="F1488" s="3">
        <v>1205.93</v>
      </c>
      <c r="G1488" s="3">
        <v>1773.42</v>
      </c>
      <c r="H1488" s="3">
        <f>Table1[[#This Row],[Sale]]-Table1[[#This Row],[Cost]]</f>
        <v>567.49</v>
      </c>
      <c r="I1488" s="4">
        <f>Table1[[#This Row],[Profit]]/Table1[[#This Row],[Sale]]</f>
        <v>0.31999751891824835</v>
      </c>
      <c r="J1488" s="5">
        <f t="shared" si="46"/>
        <v>2005</v>
      </c>
      <c r="K1488" s="5">
        <f>MONTH(Table1[[#This Row],[Date]])</f>
        <v>6</v>
      </c>
      <c r="L1488" s="5">
        <f>DAY(Table1[[#This Row],[Date]])</f>
        <v>1</v>
      </c>
      <c r="M1488" s="5" t="str">
        <f t="shared" si="47"/>
        <v>Jun</v>
      </c>
    </row>
    <row r="1489" spans="1:13" x14ac:dyDescent="0.25">
      <c r="A1489" s="2">
        <v>38420</v>
      </c>
      <c r="B1489" t="s">
        <v>15</v>
      </c>
      <c r="C1489" t="s">
        <v>23</v>
      </c>
      <c r="D1489" t="s">
        <v>28</v>
      </c>
      <c r="E1489" t="s">
        <v>25</v>
      </c>
      <c r="F1489" s="3">
        <v>7634.9</v>
      </c>
      <c r="G1489" s="3">
        <v>8165.67</v>
      </c>
      <c r="H1489" s="3">
        <f>Table1[[#This Row],[Sale]]-Table1[[#This Row],[Cost]]</f>
        <v>530.77000000000044</v>
      </c>
      <c r="I1489" s="4">
        <f>Table1[[#This Row],[Profit]]/Table1[[#This Row],[Sale]]</f>
        <v>6.5000177572691581E-2</v>
      </c>
      <c r="J1489" s="5">
        <f t="shared" si="46"/>
        <v>2005</v>
      </c>
      <c r="K1489" s="5">
        <f>MONTH(Table1[[#This Row],[Date]])</f>
        <v>3</v>
      </c>
      <c r="L1489" s="5">
        <f>DAY(Table1[[#This Row],[Date]])</f>
        <v>9</v>
      </c>
      <c r="M1489" s="5" t="str">
        <f t="shared" si="47"/>
        <v>Mar</v>
      </c>
    </row>
    <row r="1490" spans="1:13" x14ac:dyDescent="0.25">
      <c r="A1490" s="2">
        <v>38864</v>
      </c>
      <c r="B1490" t="s">
        <v>21</v>
      </c>
      <c r="C1490" t="s">
        <v>12</v>
      </c>
      <c r="D1490" t="s">
        <v>16</v>
      </c>
      <c r="E1490" t="s">
        <v>14</v>
      </c>
      <c r="F1490" s="3">
        <v>2289.25</v>
      </c>
      <c r="G1490" s="3">
        <v>4162.28</v>
      </c>
      <c r="H1490" s="3">
        <f>Table1[[#This Row],[Sale]]-Table1[[#This Row],[Cost]]</f>
        <v>1873.0299999999997</v>
      </c>
      <c r="I1490" s="4">
        <f>Table1[[#This Row],[Profit]]/Table1[[#This Row],[Sale]]</f>
        <v>0.45000096101175313</v>
      </c>
      <c r="J1490" s="5">
        <f t="shared" si="46"/>
        <v>2006</v>
      </c>
      <c r="K1490" s="5">
        <f>MONTH(Table1[[#This Row],[Date]])</f>
        <v>5</v>
      </c>
      <c r="L1490" s="5">
        <f>DAY(Table1[[#This Row],[Date]])</f>
        <v>27</v>
      </c>
      <c r="M1490" s="5" t="str">
        <f t="shared" si="47"/>
        <v>May</v>
      </c>
    </row>
    <row r="1491" spans="1:13" x14ac:dyDescent="0.25">
      <c r="A1491" s="2">
        <v>38442</v>
      </c>
      <c r="B1491" t="s">
        <v>21</v>
      </c>
      <c r="C1491" t="s">
        <v>12</v>
      </c>
      <c r="D1491" t="s">
        <v>13</v>
      </c>
      <c r="E1491" t="s">
        <v>20</v>
      </c>
      <c r="F1491" s="3">
        <v>2944.1</v>
      </c>
      <c r="G1491" s="3">
        <v>4990</v>
      </c>
      <c r="H1491" s="3">
        <f>Table1[[#This Row],[Sale]]-Table1[[#This Row],[Cost]]</f>
        <v>2045.9</v>
      </c>
      <c r="I1491" s="4">
        <f>Table1[[#This Row],[Profit]]/Table1[[#This Row],[Sale]]</f>
        <v>0.41000000000000003</v>
      </c>
      <c r="J1491" s="5">
        <f t="shared" si="46"/>
        <v>2005</v>
      </c>
      <c r="K1491" s="5">
        <f>MONTH(Table1[[#This Row],[Date]])</f>
        <v>3</v>
      </c>
      <c r="L1491" s="5">
        <f>DAY(Table1[[#This Row],[Date]])</f>
        <v>31</v>
      </c>
      <c r="M1491" s="5" t="str">
        <f t="shared" si="47"/>
        <v>Mar</v>
      </c>
    </row>
    <row r="1492" spans="1:13" x14ac:dyDescent="0.25">
      <c r="A1492" s="2">
        <v>38374</v>
      </c>
      <c r="B1492" t="s">
        <v>26</v>
      </c>
      <c r="C1492" t="s">
        <v>27</v>
      </c>
      <c r="D1492" t="s">
        <v>28</v>
      </c>
      <c r="E1492" t="s">
        <v>20</v>
      </c>
      <c r="F1492" s="3">
        <v>2132.9299999999998</v>
      </c>
      <c r="G1492" s="3">
        <v>2281.21</v>
      </c>
      <c r="H1492" s="3">
        <f>Table1[[#This Row],[Sale]]-Table1[[#This Row],[Cost]]</f>
        <v>148.2800000000002</v>
      </c>
      <c r="I1492" s="4">
        <f>Table1[[#This Row],[Profit]]/Table1[[#This Row],[Sale]]</f>
        <v>6.5000591791198617E-2</v>
      </c>
      <c r="J1492" s="5">
        <f t="shared" si="46"/>
        <v>2005</v>
      </c>
      <c r="K1492" s="5">
        <f>MONTH(Table1[[#This Row],[Date]])</f>
        <v>1</v>
      </c>
      <c r="L1492" s="5">
        <f>DAY(Table1[[#This Row],[Date]])</f>
        <v>22</v>
      </c>
      <c r="M1492" s="5" t="str">
        <f t="shared" si="47"/>
        <v>Jan</v>
      </c>
    </row>
    <row r="1493" spans="1:13" x14ac:dyDescent="0.25">
      <c r="A1493" s="2">
        <v>38786</v>
      </c>
      <c r="B1493" t="s">
        <v>22</v>
      </c>
      <c r="C1493" t="s">
        <v>12</v>
      </c>
      <c r="D1493" t="s">
        <v>19</v>
      </c>
      <c r="E1493" t="s">
        <v>14</v>
      </c>
      <c r="F1493" s="3">
        <v>4378.34</v>
      </c>
      <c r="G1493" s="3">
        <v>4682.72</v>
      </c>
      <c r="H1493" s="3">
        <f>Table1[[#This Row],[Sale]]-Table1[[#This Row],[Cost]]</f>
        <v>304.38000000000011</v>
      </c>
      <c r="I1493" s="4">
        <f>Table1[[#This Row],[Profit]]/Table1[[#This Row],[Sale]]</f>
        <v>6.5000683363515235E-2</v>
      </c>
      <c r="J1493" s="5">
        <f t="shared" si="46"/>
        <v>2006</v>
      </c>
      <c r="K1493" s="5">
        <f>MONTH(Table1[[#This Row],[Date]])</f>
        <v>3</v>
      </c>
      <c r="L1493" s="5">
        <f>DAY(Table1[[#This Row],[Date]])</f>
        <v>10</v>
      </c>
      <c r="M1493" s="5" t="str">
        <f t="shared" si="47"/>
        <v>Mar</v>
      </c>
    </row>
    <row r="1494" spans="1:13" x14ac:dyDescent="0.25">
      <c r="A1494" s="2">
        <v>38449</v>
      </c>
      <c r="B1494" t="s">
        <v>21</v>
      </c>
      <c r="C1494" t="s">
        <v>29</v>
      </c>
      <c r="D1494" t="s">
        <v>19</v>
      </c>
      <c r="E1494" t="s">
        <v>14</v>
      </c>
      <c r="F1494" s="3">
        <v>865.99</v>
      </c>
      <c r="G1494" s="3">
        <v>1924.43</v>
      </c>
      <c r="H1494" s="3">
        <f>Table1[[#This Row],[Sale]]-Table1[[#This Row],[Cost]]</f>
        <v>1058.44</v>
      </c>
      <c r="I1494" s="4">
        <f>Table1[[#This Row],[Profit]]/Table1[[#This Row],[Sale]]</f>
        <v>0.55000181872034837</v>
      </c>
      <c r="J1494" s="5">
        <f t="shared" si="46"/>
        <v>2005</v>
      </c>
      <c r="K1494" s="5">
        <f>MONTH(Table1[[#This Row],[Date]])</f>
        <v>4</v>
      </c>
      <c r="L1494" s="5">
        <f>DAY(Table1[[#This Row],[Date]])</f>
        <v>7</v>
      </c>
      <c r="M1494" s="5" t="str">
        <f t="shared" si="47"/>
        <v>Apr</v>
      </c>
    </row>
    <row r="1495" spans="1:13" x14ac:dyDescent="0.25">
      <c r="A1495" s="2">
        <v>38725</v>
      </c>
      <c r="B1495" t="s">
        <v>15</v>
      </c>
      <c r="C1495" t="s">
        <v>12</v>
      </c>
      <c r="D1495" t="s">
        <v>19</v>
      </c>
      <c r="E1495" t="s">
        <v>24</v>
      </c>
      <c r="F1495" s="3">
        <v>2173.2199999999998</v>
      </c>
      <c r="G1495" s="3">
        <v>3683.42</v>
      </c>
      <c r="H1495" s="3">
        <f>Table1[[#This Row],[Sale]]-Table1[[#This Row],[Cost]]</f>
        <v>1510.2000000000003</v>
      </c>
      <c r="I1495" s="4">
        <f>Table1[[#This Row],[Profit]]/Table1[[#This Row],[Sale]]</f>
        <v>0.40999940272898561</v>
      </c>
      <c r="J1495" s="5">
        <f t="shared" si="46"/>
        <v>2006</v>
      </c>
      <c r="K1495" s="5">
        <f>MONTH(Table1[[#This Row],[Date]])</f>
        <v>1</v>
      </c>
      <c r="L1495" s="5">
        <f>DAY(Table1[[#This Row],[Date]])</f>
        <v>8</v>
      </c>
      <c r="M1495" s="5" t="str">
        <f t="shared" si="47"/>
        <v>Jan</v>
      </c>
    </row>
    <row r="1496" spans="1:13" x14ac:dyDescent="0.25">
      <c r="A1496" s="2">
        <v>38381</v>
      </c>
      <c r="B1496" t="s">
        <v>17</v>
      </c>
      <c r="C1496" t="s">
        <v>12</v>
      </c>
      <c r="D1496" t="s">
        <v>13</v>
      </c>
      <c r="E1496" t="s">
        <v>25</v>
      </c>
      <c r="F1496" s="3">
        <v>969.04</v>
      </c>
      <c r="G1496" s="3">
        <v>2253.5700000000002</v>
      </c>
      <c r="H1496" s="3">
        <f>Table1[[#This Row],[Sale]]-Table1[[#This Row],[Cost]]</f>
        <v>1284.5300000000002</v>
      </c>
      <c r="I1496" s="4">
        <f>Table1[[#This Row],[Profit]]/Table1[[#This Row],[Sale]]</f>
        <v>0.56999782567215573</v>
      </c>
      <c r="J1496" s="5">
        <f t="shared" si="46"/>
        <v>2005</v>
      </c>
      <c r="K1496" s="5">
        <f>MONTH(Table1[[#This Row],[Date]])</f>
        <v>1</v>
      </c>
      <c r="L1496" s="5">
        <f>DAY(Table1[[#This Row],[Date]])</f>
        <v>29</v>
      </c>
      <c r="M1496" s="5" t="str">
        <f t="shared" si="47"/>
        <v>Jan</v>
      </c>
    </row>
    <row r="1497" spans="1:13" x14ac:dyDescent="0.25">
      <c r="A1497" s="2">
        <v>38596</v>
      </c>
      <c r="B1497" t="s">
        <v>22</v>
      </c>
      <c r="C1497" t="s">
        <v>29</v>
      </c>
      <c r="D1497" t="s">
        <v>19</v>
      </c>
      <c r="E1497" t="s">
        <v>25</v>
      </c>
      <c r="F1497" s="3">
        <v>2968.88</v>
      </c>
      <c r="G1497" s="3">
        <v>5118.76</v>
      </c>
      <c r="H1497" s="3">
        <f>Table1[[#This Row],[Sale]]-Table1[[#This Row],[Cost]]</f>
        <v>2149.88</v>
      </c>
      <c r="I1497" s="4">
        <f>Table1[[#This Row],[Profit]]/Table1[[#This Row],[Sale]]</f>
        <v>0.42000015628785098</v>
      </c>
      <c r="J1497" s="5">
        <f t="shared" si="46"/>
        <v>2005</v>
      </c>
      <c r="K1497" s="5">
        <f>MONTH(Table1[[#This Row],[Date]])</f>
        <v>9</v>
      </c>
      <c r="L1497" s="5">
        <f>DAY(Table1[[#This Row],[Date]])</f>
        <v>1</v>
      </c>
      <c r="M1497" s="5" t="str">
        <f t="shared" si="47"/>
        <v>Sep</v>
      </c>
    </row>
    <row r="1498" spans="1:13" x14ac:dyDescent="0.25">
      <c r="A1498" s="2">
        <v>38240</v>
      </c>
      <c r="B1498" t="s">
        <v>26</v>
      </c>
      <c r="C1498" t="s">
        <v>29</v>
      </c>
      <c r="D1498" t="s">
        <v>28</v>
      </c>
      <c r="E1498" t="s">
        <v>24</v>
      </c>
      <c r="F1498" s="3">
        <v>1017.93</v>
      </c>
      <c r="G1498" s="3">
        <v>1088.69</v>
      </c>
      <c r="H1498" s="3">
        <f>Table1[[#This Row],[Sale]]-Table1[[#This Row],[Cost]]</f>
        <v>70.760000000000105</v>
      </c>
      <c r="I1498" s="4">
        <f>Table1[[#This Row],[Profit]]/Table1[[#This Row],[Sale]]</f>
        <v>6.4995545104667166E-2</v>
      </c>
      <c r="J1498" s="5">
        <f t="shared" si="46"/>
        <v>2004</v>
      </c>
      <c r="K1498" s="5">
        <f>MONTH(Table1[[#This Row],[Date]])</f>
        <v>9</v>
      </c>
      <c r="L1498" s="5">
        <f>DAY(Table1[[#This Row],[Date]])</f>
        <v>10</v>
      </c>
      <c r="M1498" s="5" t="str">
        <f t="shared" si="47"/>
        <v>Sep</v>
      </c>
    </row>
    <row r="1499" spans="1:13" x14ac:dyDescent="0.25">
      <c r="A1499" s="2">
        <v>38254</v>
      </c>
      <c r="B1499" t="s">
        <v>15</v>
      </c>
      <c r="C1499" t="s">
        <v>18</v>
      </c>
      <c r="D1499" t="s">
        <v>13</v>
      </c>
      <c r="E1499" t="s">
        <v>24</v>
      </c>
      <c r="F1499" s="3">
        <v>756.89</v>
      </c>
      <c r="G1499" s="3">
        <v>860.1</v>
      </c>
      <c r="H1499" s="3">
        <f>Table1[[#This Row],[Sale]]-Table1[[#This Row],[Cost]]</f>
        <v>103.21000000000004</v>
      </c>
      <c r="I1499" s="4">
        <f>Table1[[#This Row],[Profit]]/Table1[[#This Row],[Sale]]</f>
        <v>0.1199976746889897</v>
      </c>
      <c r="J1499" s="5">
        <f t="shared" si="46"/>
        <v>2004</v>
      </c>
      <c r="K1499" s="5">
        <f>MONTH(Table1[[#This Row],[Date]])</f>
        <v>9</v>
      </c>
      <c r="L1499" s="5">
        <f>DAY(Table1[[#This Row],[Date]])</f>
        <v>24</v>
      </c>
      <c r="M1499" s="5" t="str">
        <f t="shared" si="47"/>
        <v>Sep</v>
      </c>
    </row>
    <row r="1500" spans="1:13" x14ac:dyDescent="0.25">
      <c r="A1500" s="2">
        <v>38290</v>
      </c>
      <c r="B1500" t="s">
        <v>21</v>
      </c>
      <c r="C1500" t="s">
        <v>23</v>
      </c>
      <c r="D1500" t="s">
        <v>28</v>
      </c>
      <c r="E1500" t="s">
        <v>14</v>
      </c>
      <c r="F1500" s="3">
        <v>5628.18</v>
      </c>
      <c r="G1500" s="3">
        <v>9539.2800000000007</v>
      </c>
      <c r="H1500" s="3">
        <f>Table1[[#This Row],[Sale]]-Table1[[#This Row],[Cost]]</f>
        <v>3911.1000000000004</v>
      </c>
      <c r="I1500" s="4">
        <f>Table1[[#This Row],[Profit]]/Table1[[#This Row],[Sale]]</f>
        <v>0.40999949681736986</v>
      </c>
      <c r="J1500" s="5">
        <f t="shared" si="46"/>
        <v>2004</v>
      </c>
      <c r="K1500" s="5">
        <f>MONTH(Table1[[#This Row],[Date]])</f>
        <v>10</v>
      </c>
      <c r="L1500" s="5">
        <f>DAY(Table1[[#This Row],[Date]])</f>
        <v>30</v>
      </c>
      <c r="M1500" s="5" t="str">
        <f t="shared" si="47"/>
        <v>Oct</v>
      </c>
    </row>
    <row r="1501" spans="1:13" x14ac:dyDescent="0.25">
      <c r="A1501" s="2">
        <v>38726</v>
      </c>
      <c r="B1501" t="s">
        <v>22</v>
      </c>
      <c r="C1501" t="s">
        <v>29</v>
      </c>
      <c r="D1501" t="s">
        <v>13</v>
      </c>
      <c r="E1501" t="s">
        <v>25</v>
      </c>
      <c r="F1501" s="3">
        <v>725.55</v>
      </c>
      <c r="G1501" s="3">
        <v>1229.75</v>
      </c>
      <c r="H1501" s="3">
        <f>Table1[[#This Row],[Sale]]-Table1[[#This Row],[Cost]]</f>
        <v>504.20000000000005</v>
      </c>
      <c r="I1501" s="4">
        <f>Table1[[#This Row],[Profit]]/Table1[[#This Row],[Sale]]</f>
        <v>0.41000203293352311</v>
      </c>
      <c r="J1501" s="5">
        <f t="shared" si="46"/>
        <v>2006</v>
      </c>
      <c r="K1501" s="5">
        <f>MONTH(Table1[[#This Row],[Date]])</f>
        <v>1</v>
      </c>
      <c r="L1501" s="5">
        <f>DAY(Table1[[#This Row],[Date]])</f>
        <v>9</v>
      </c>
      <c r="M1501" s="5" t="str">
        <f t="shared" si="47"/>
        <v>Jan</v>
      </c>
    </row>
    <row r="1502" spans="1:13" x14ac:dyDescent="0.25">
      <c r="A1502" s="2">
        <v>38301</v>
      </c>
      <c r="B1502" t="s">
        <v>15</v>
      </c>
      <c r="C1502" t="s">
        <v>29</v>
      </c>
      <c r="D1502" t="s">
        <v>16</v>
      </c>
      <c r="E1502" t="s">
        <v>20</v>
      </c>
      <c r="F1502" s="3">
        <v>335.88</v>
      </c>
      <c r="G1502" s="3">
        <v>781.12</v>
      </c>
      <c r="H1502" s="3">
        <f>Table1[[#This Row],[Sale]]-Table1[[#This Row],[Cost]]</f>
        <v>445.24</v>
      </c>
      <c r="I1502" s="4">
        <f>Table1[[#This Row],[Profit]]/Table1[[#This Row],[Sale]]</f>
        <v>0.57000204834084389</v>
      </c>
      <c r="J1502" s="5">
        <f t="shared" si="46"/>
        <v>2004</v>
      </c>
      <c r="K1502" s="5">
        <f>MONTH(Table1[[#This Row],[Date]])</f>
        <v>11</v>
      </c>
      <c r="L1502" s="5">
        <f>DAY(Table1[[#This Row],[Date]])</f>
        <v>10</v>
      </c>
      <c r="M1502" s="5" t="str">
        <f t="shared" si="47"/>
        <v>Nov</v>
      </c>
    </row>
    <row r="1503" spans="1:13" x14ac:dyDescent="0.25">
      <c r="A1503" s="2">
        <v>38195</v>
      </c>
      <c r="B1503" t="s">
        <v>15</v>
      </c>
      <c r="C1503" t="s">
        <v>27</v>
      </c>
      <c r="D1503" t="s">
        <v>28</v>
      </c>
      <c r="E1503" t="s">
        <v>25</v>
      </c>
      <c r="F1503" s="3">
        <v>245.5</v>
      </c>
      <c r="G1503" s="3">
        <v>663.52</v>
      </c>
      <c r="H1503" s="3">
        <f>Table1[[#This Row],[Sale]]-Table1[[#This Row],[Cost]]</f>
        <v>418.02</v>
      </c>
      <c r="I1503" s="4">
        <f>Table1[[#This Row],[Profit]]/Table1[[#This Row],[Sale]]</f>
        <v>0.63000361707258257</v>
      </c>
      <c r="J1503" s="5">
        <f t="shared" si="46"/>
        <v>2004</v>
      </c>
      <c r="K1503" s="5">
        <f>MONTH(Table1[[#This Row],[Date]])</f>
        <v>7</v>
      </c>
      <c r="L1503" s="5">
        <f>DAY(Table1[[#This Row],[Date]])</f>
        <v>27</v>
      </c>
      <c r="M1503" s="5" t="str">
        <f t="shared" si="47"/>
        <v>Jul</v>
      </c>
    </row>
    <row r="1504" spans="1:13" x14ac:dyDescent="0.25">
      <c r="A1504" s="2">
        <v>38589</v>
      </c>
      <c r="B1504" t="s">
        <v>11</v>
      </c>
      <c r="C1504" t="s">
        <v>29</v>
      </c>
      <c r="D1504" t="s">
        <v>16</v>
      </c>
      <c r="E1504" t="s">
        <v>14</v>
      </c>
      <c r="F1504" s="3">
        <v>8240.2800000000007</v>
      </c>
      <c r="G1504" s="3">
        <v>9363.9500000000007</v>
      </c>
      <c r="H1504" s="3">
        <f>Table1[[#This Row],[Sale]]-Table1[[#This Row],[Cost]]</f>
        <v>1123.67</v>
      </c>
      <c r="I1504" s="4">
        <f>Table1[[#This Row],[Profit]]/Table1[[#This Row],[Sale]]</f>
        <v>0.11999957282984211</v>
      </c>
      <c r="J1504" s="5">
        <f t="shared" si="46"/>
        <v>2005</v>
      </c>
      <c r="K1504" s="5">
        <f>MONTH(Table1[[#This Row],[Date]])</f>
        <v>8</v>
      </c>
      <c r="L1504" s="5">
        <f>DAY(Table1[[#This Row],[Date]])</f>
        <v>25</v>
      </c>
      <c r="M1504" s="5" t="str">
        <f t="shared" si="47"/>
        <v>Aug</v>
      </c>
    </row>
    <row r="1505" spans="1:13" x14ac:dyDescent="0.25">
      <c r="A1505" s="2">
        <v>38662</v>
      </c>
      <c r="B1505" t="s">
        <v>22</v>
      </c>
      <c r="C1505" t="s">
        <v>27</v>
      </c>
      <c r="D1505" t="s">
        <v>13</v>
      </c>
      <c r="E1505" t="s">
        <v>24</v>
      </c>
      <c r="F1505" s="3">
        <v>3919.15</v>
      </c>
      <c r="G1505" s="3">
        <v>5763.45</v>
      </c>
      <c r="H1505" s="3">
        <f>Table1[[#This Row],[Sale]]-Table1[[#This Row],[Cost]]</f>
        <v>1844.2999999999997</v>
      </c>
      <c r="I1505" s="4">
        <f>Table1[[#This Row],[Profit]]/Table1[[#This Row],[Sale]]</f>
        <v>0.31999930597124981</v>
      </c>
      <c r="J1505" s="5">
        <f t="shared" si="46"/>
        <v>2005</v>
      </c>
      <c r="K1505" s="5">
        <f>MONTH(Table1[[#This Row],[Date]])</f>
        <v>11</v>
      </c>
      <c r="L1505" s="5">
        <f>DAY(Table1[[#This Row],[Date]])</f>
        <v>6</v>
      </c>
      <c r="M1505" s="5" t="str">
        <f t="shared" si="47"/>
        <v>Nov</v>
      </c>
    </row>
    <row r="1506" spans="1:13" x14ac:dyDescent="0.25">
      <c r="A1506" s="2">
        <v>38713</v>
      </c>
      <c r="B1506" t="s">
        <v>11</v>
      </c>
      <c r="C1506" t="s">
        <v>18</v>
      </c>
      <c r="D1506" t="s">
        <v>19</v>
      </c>
      <c r="E1506" t="s">
        <v>25</v>
      </c>
      <c r="F1506" s="3">
        <v>1270.93</v>
      </c>
      <c r="G1506" s="3">
        <v>3434.94</v>
      </c>
      <c r="H1506" s="3">
        <f>Table1[[#This Row],[Sale]]-Table1[[#This Row],[Cost]]</f>
        <v>2164.0100000000002</v>
      </c>
      <c r="I1506" s="4">
        <f>Table1[[#This Row],[Profit]]/Table1[[#This Row],[Sale]]</f>
        <v>0.62999935952301933</v>
      </c>
      <c r="J1506" s="5">
        <f t="shared" si="46"/>
        <v>2005</v>
      </c>
      <c r="K1506" s="5">
        <f>MONTH(Table1[[#This Row],[Date]])</f>
        <v>12</v>
      </c>
      <c r="L1506" s="5">
        <f>DAY(Table1[[#This Row],[Date]])</f>
        <v>27</v>
      </c>
      <c r="M1506" s="5" t="str">
        <f t="shared" si="47"/>
        <v>Dec</v>
      </c>
    </row>
    <row r="1507" spans="1:13" x14ac:dyDescent="0.25">
      <c r="A1507" s="2">
        <v>38736</v>
      </c>
      <c r="B1507" t="s">
        <v>26</v>
      </c>
      <c r="C1507" t="s">
        <v>12</v>
      </c>
      <c r="D1507" t="s">
        <v>16</v>
      </c>
      <c r="E1507" t="s">
        <v>14</v>
      </c>
      <c r="F1507" s="3">
        <v>3345.55</v>
      </c>
      <c r="G1507" s="3">
        <v>4919.93</v>
      </c>
      <c r="H1507" s="3">
        <f>Table1[[#This Row],[Sale]]-Table1[[#This Row],[Cost]]</f>
        <v>1574.38</v>
      </c>
      <c r="I1507" s="4">
        <f>Table1[[#This Row],[Profit]]/Table1[[#This Row],[Sale]]</f>
        <v>0.32000048781181845</v>
      </c>
      <c r="J1507" s="5">
        <f t="shared" si="46"/>
        <v>2006</v>
      </c>
      <c r="K1507" s="5">
        <f>MONTH(Table1[[#This Row],[Date]])</f>
        <v>1</v>
      </c>
      <c r="L1507" s="5">
        <f>DAY(Table1[[#This Row],[Date]])</f>
        <v>19</v>
      </c>
      <c r="M1507" s="5" t="str">
        <f t="shared" si="47"/>
        <v>Jan</v>
      </c>
    </row>
    <row r="1508" spans="1:13" x14ac:dyDescent="0.25">
      <c r="A1508" s="2">
        <v>38227</v>
      </c>
      <c r="B1508" t="s">
        <v>15</v>
      </c>
      <c r="C1508" t="s">
        <v>12</v>
      </c>
      <c r="D1508" t="s">
        <v>13</v>
      </c>
      <c r="E1508" t="s">
        <v>24</v>
      </c>
      <c r="F1508" s="3">
        <v>2021.74</v>
      </c>
      <c r="G1508" s="3">
        <v>2695.66</v>
      </c>
      <c r="H1508" s="3">
        <f>Table1[[#This Row],[Sale]]-Table1[[#This Row],[Cost]]</f>
        <v>673.91999999999985</v>
      </c>
      <c r="I1508" s="4">
        <f>Table1[[#This Row],[Profit]]/Table1[[#This Row],[Sale]]</f>
        <v>0.25000185483332465</v>
      </c>
      <c r="J1508" s="5">
        <f t="shared" si="46"/>
        <v>2004</v>
      </c>
      <c r="K1508" s="5">
        <f>MONTH(Table1[[#This Row],[Date]])</f>
        <v>8</v>
      </c>
      <c r="L1508" s="5">
        <f>DAY(Table1[[#This Row],[Date]])</f>
        <v>28</v>
      </c>
      <c r="M1508" s="5" t="str">
        <f t="shared" si="47"/>
        <v>Aug</v>
      </c>
    </row>
    <row r="1509" spans="1:13" x14ac:dyDescent="0.25">
      <c r="A1509" s="2">
        <v>38488</v>
      </c>
      <c r="B1509" t="s">
        <v>26</v>
      </c>
      <c r="C1509" t="s">
        <v>12</v>
      </c>
      <c r="D1509" t="s">
        <v>13</v>
      </c>
      <c r="E1509" t="s">
        <v>20</v>
      </c>
      <c r="F1509" s="3">
        <v>3632.23</v>
      </c>
      <c r="G1509" s="3">
        <v>3884.74</v>
      </c>
      <c r="H1509" s="3">
        <f>Table1[[#This Row],[Sale]]-Table1[[#This Row],[Cost]]</f>
        <v>252.50999999999976</v>
      </c>
      <c r="I1509" s="4">
        <f>Table1[[#This Row],[Profit]]/Table1[[#This Row],[Sale]]</f>
        <v>6.5000489093221106E-2</v>
      </c>
      <c r="J1509" s="5">
        <f t="shared" si="46"/>
        <v>2005</v>
      </c>
      <c r="K1509" s="5">
        <f>MONTH(Table1[[#This Row],[Date]])</f>
        <v>5</v>
      </c>
      <c r="L1509" s="5">
        <f>DAY(Table1[[#This Row],[Date]])</f>
        <v>16</v>
      </c>
      <c r="M1509" s="5" t="str">
        <f t="shared" si="47"/>
        <v>May</v>
      </c>
    </row>
    <row r="1510" spans="1:13" x14ac:dyDescent="0.25">
      <c r="A1510" s="2">
        <v>38596</v>
      </c>
      <c r="B1510" t="s">
        <v>21</v>
      </c>
      <c r="C1510" t="s">
        <v>23</v>
      </c>
      <c r="D1510" t="s">
        <v>19</v>
      </c>
      <c r="E1510" t="s">
        <v>24</v>
      </c>
      <c r="F1510" s="3">
        <v>747.47</v>
      </c>
      <c r="G1510" s="3">
        <v>1266.8900000000001</v>
      </c>
      <c r="H1510" s="3">
        <f>Table1[[#This Row],[Sale]]-Table1[[#This Row],[Cost]]</f>
        <v>519.42000000000007</v>
      </c>
      <c r="I1510" s="4">
        <f>Table1[[#This Row],[Profit]]/Table1[[#This Row],[Sale]]</f>
        <v>0.40999613226089088</v>
      </c>
      <c r="J1510" s="5">
        <f t="shared" si="46"/>
        <v>2005</v>
      </c>
      <c r="K1510" s="5">
        <f>MONTH(Table1[[#This Row],[Date]])</f>
        <v>9</v>
      </c>
      <c r="L1510" s="5">
        <f>DAY(Table1[[#This Row],[Date]])</f>
        <v>1</v>
      </c>
      <c r="M1510" s="5" t="str">
        <f t="shared" si="47"/>
        <v>Sep</v>
      </c>
    </row>
    <row r="1511" spans="1:13" x14ac:dyDescent="0.25">
      <c r="A1511" s="2">
        <v>38875</v>
      </c>
      <c r="B1511" t="s">
        <v>15</v>
      </c>
      <c r="C1511" t="s">
        <v>23</v>
      </c>
      <c r="D1511" t="s">
        <v>16</v>
      </c>
      <c r="E1511" t="s">
        <v>25</v>
      </c>
      <c r="F1511" s="3">
        <v>6353.36</v>
      </c>
      <c r="G1511" s="3">
        <v>9343.18</v>
      </c>
      <c r="H1511" s="3">
        <f>Table1[[#This Row],[Sale]]-Table1[[#This Row],[Cost]]</f>
        <v>2989.8200000000006</v>
      </c>
      <c r="I1511" s="4">
        <f>Table1[[#This Row],[Profit]]/Table1[[#This Row],[Sale]]</f>
        <v>0.3200002568718574</v>
      </c>
      <c r="J1511" s="5">
        <f t="shared" si="46"/>
        <v>2006</v>
      </c>
      <c r="K1511" s="5">
        <f>MONTH(Table1[[#This Row],[Date]])</f>
        <v>6</v>
      </c>
      <c r="L1511" s="5">
        <f>DAY(Table1[[#This Row],[Date]])</f>
        <v>7</v>
      </c>
      <c r="M1511" s="5" t="str">
        <f t="shared" si="47"/>
        <v>Jun</v>
      </c>
    </row>
    <row r="1512" spans="1:13" x14ac:dyDescent="0.25">
      <c r="A1512" s="2">
        <v>38779</v>
      </c>
      <c r="B1512" t="s">
        <v>15</v>
      </c>
      <c r="C1512" t="s">
        <v>12</v>
      </c>
      <c r="D1512" t="s">
        <v>16</v>
      </c>
      <c r="E1512" t="s">
        <v>20</v>
      </c>
      <c r="F1512" s="3">
        <v>5971.78</v>
      </c>
      <c r="G1512" s="3">
        <v>7962.38</v>
      </c>
      <c r="H1512" s="3">
        <f>Table1[[#This Row],[Sale]]-Table1[[#This Row],[Cost]]</f>
        <v>1990.6000000000004</v>
      </c>
      <c r="I1512" s="4">
        <f>Table1[[#This Row],[Profit]]/Table1[[#This Row],[Sale]]</f>
        <v>0.25000062795294881</v>
      </c>
      <c r="J1512" s="5">
        <f t="shared" si="46"/>
        <v>2006</v>
      </c>
      <c r="K1512" s="5">
        <f>MONTH(Table1[[#This Row],[Date]])</f>
        <v>3</v>
      </c>
      <c r="L1512" s="5">
        <f>DAY(Table1[[#This Row],[Date]])</f>
        <v>3</v>
      </c>
      <c r="M1512" s="5" t="str">
        <f t="shared" si="47"/>
        <v>Mar</v>
      </c>
    </row>
    <row r="1513" spans="1:13" x14ac:dyDescent="0.25">
      <c r="A1513" s="2">
        <v>38669</v>
      </c>
      <c r="B1513" t="s">
        <v>15</v>
      </c>
      <c r="C1513" t="s">
        <v>27</v>
      </c>
      <c r="D1513" t="s">
        <v>28</v>
      </c>
      <c r="E1513" t="s">
        <v>24</v>
      </c>
      <c r="F1513" s="3">
        <v>176.19</v>
      </c>
      <c r="G1513" s="3">
        <v>303.77</v>
      </c>
      <c r="H1513" s="3">
        <f>Table1[[#This Row],[Sale]]-Table1[[#This Row],[Cost]]</f>
        <v>127.57999999999998</v>
      </c>
      <c r="I1513" s="4">
        <f>Table1[[#This Row],[Profit]]/Table1[[#This Row],[Sale]]</f>
        <v>0.41998880732132859</v>
      </c>
      <c r="J1513" s="5">
        <f t="shared" si="46"/>
        <v>2005</v>
      </c>
      <c r="K1513" s="5">
        <f>MONTH(Table1[[#This Row],[Date]])</f>
        <v>11</v>
      </c>
      <c r="L1513" s="5">
        <f>DAY(Table1[[#This Row],[Date]])</f>
        <v>13</v>
      </c>
      <c r="M1513" s="5" t="str">
        <f t="shared" si="47"/>
        <v>Nov</v>
      </c>
    </row>
    <row r="1514" spans="1:13" x14ac:dyDescent="0.25">
      <c r="A1514" s="2">
        <v>38562</v>
      </c>
      <c r="B1514" t="s">
        <v>15</v>
      </c>
      <c r="C1514" t="s">
        <v>27</v>
      </c>
      <c r="D1514" t="s">
        <v>13</v>
      </c>
      <c r="E1514" t="s">
        <v>20</v>
      </c>
      <c r="F1514" s="3">
        <v>966.49</v>
      </c>
      <c r="G1514" s="3">
        <v>1757.26</v>
      </c>
      <c r="H1514" s="3">
        <f>Table1[[#This Row],[Sale]]-Table1[[#This Row],[Cost]]</f>
        <v>790.77</v>
      </c>
      <c r="I1514" s="4">
        <f>Table1[[#This Row],[Profit]]/Table1[[#This Row],[Sale]]</f>
        <v>0.4500017072032596</v>
      </c>
      <c r="J1514" s="5">
        <f t="shared" si="46"/>
        <v>2005</v>
      </c>
      <c r="K1514" s="5">
        <f>MONTH(Table1[[#This Row],[Date]])</f>
        <v>7</v>
      </c>
      <c r="L1514" s="5">
        <f>DAY(Table1[[#This Row],[Date]])</f>
        <v>29</v>
      </c>
      <c r="M1514" s="5" t="str">
        <f t="shared" si="47"/>
        <v>Jul</v>
      </c>
    </row>
    <row r="1515" spans="1:13" x14ac:dyDescent="0.25">
      <c r="A1515" s="2">
        <v>38778</v>
      </c>
      <c r="B1515" t="s">
        <v>21</v>
      </c>
      <c r="C1515" t="s">
        <v>27</v>
      </c>
      <c r="D1515" t="s">
        <v>28</v>
      </c>
      <c r="E1515" t="s">
        <v>14</v>
      </c>
      <c r="F1515" s="3">
        <v>3827.04</v>
      </c>
      <c r="G1515" s="3">
        <v>8504.5300000000007</v>
      </c>
      <c r="H1515" s="3">
        <f>Table1[[#This Row],[Sale]]-Table1[[#This Row],[Cost]]</f>
        <v>4677.4900000000007</v>
      </c>
      <c r="I1515" s="4">
        <f>Table1[[#This Row],[Profit]]/Table1[[#This Row],[Sale]]</f>
        <v>0.54999982362341016</v>
      </c>
      <c r="J1515" s="5">
        <f t="shared" si="46"/>
        <v>2006</v>
      </c>
      <c r="K1515" s="5">
        <f>MONTH(Table1[[#This Row],[Date]])</f>
        <v>3</v>
      </c>
      <c r="L1515" s="5">
        <f>DAY(Table1[[#This Row],[Date]])</f>
        <v>2</v>
      </c>
      <c r="M1515" s="5" t="str">
        <f t="shared" si="47"/>
        <v>Mar</v>
      </c>
    </row>
    <row r="1516" spans="1:13" x14ac:dyDescent="0.25">
      <c r="A1516" s="2">
        <v>38342</v>
      </c>
      <c r="B1516" t="s">
        <v>17</v>
      </c>
      <c r="C1516" t="s">
        <v>29</v>
      </c>
      <c r="D1516" t="s">
        <v>13</v>
      </c>
      <c r="E1516" t="s">
        <v>25</v>
      </c>
      <c r="F1516" s="3">
        <v>1246.31</v>
      </c>
      <c r="G1516" s="3">
        <v>2266.0100000000002</v>
      </c>
      <c r="H1516" s="3">
        <f>Table1[[#This Row],[Sale]]-Table1[[#This Row],[Cost]]</f>
        <v>1019.7000000000003</v>
      </c>
      <c r="I1516" s="4">
        <f>Table1[[#This Row],[Profit]]/Table1[[#This Row],[Sale]]</f>
        <v>0.44999801413056439</v>
      </c>
      <c r="J1516" s="5">
        <f t="shared" si="46"/>
        <v>2004</v>
      </c>
      <c r="K1516" s="5">
        <f>MONTH(Table1[[#This Row],[Date]])</f>
        <v>12</v>
      </c>
      <c r="L1516" s="5">
        <f>DAY(Table1[[#This Row],[Date]])</f>
        <v>21</v>
      </c>
      <c r="M1516" s="5" t="str">
        <f t="shared" si="47"/>
        <v>Dec</v>
      </c>
    </row>
    <row r="1517" spans="1:13" x14ac:dyDescent="0.25">
      <c r="A1517" s="2">
        <v>38475</v>
      </c>
      <c r="B1517" t="s">
        <v>15</v>
      </c>
      <c r="C1517" t="s">
        <v>18</v>
      </c>
      <c r="D1517" t="s">
        <v>28</v>
      </c>
      <c r="E1517" t="s">
        <v>24</v>
      </c>
      <c r="F1517" s="3">
        <v>531.59</v>
      </c>
      <c r="G1517" s="3">
        <v>781.75</v>
      </c>
      <c r="H1517" s="3">
        <f>Table1[[#This Row],[Sale]]-Table1[[#This Row],[Cost]]</f>
        <v>250.15999999999997</v>
      </c>
      <c r="I1517" s="4">
        <f>Table1[[#This Row],[Profit]]/Table1[[#This Row],[Sale]]</f>
        <v>0.31999999999999995</v>
      </c>
      <c r="J1517" s="5">
        <f t="shared" si="46"/>
        <v>2005</v>
      </c>
      <c r="K1517" s="5">
        <f>MONTH(Table1[[#This Row],[Date]])</f>
        <v>5</v>
      </c>
      <c r="L1517" s="5">
        <f>DAY(Table1[[#This Row],[Date]])</f>
        <v>3</v>
      </c>
      <c r="M1517" s="5" t="str">
        <f t="shared" si="47"/>
        <v>May</v>
      </c>
    </row>
    <row r="1518" spans="1:13" x14ac:dyDescent="0.25">
      <c r="A1518" s="2">
        <v>38202</v>
      </c>
      <c r="B1518" t="s">
        <v>21</v>
      </c>
      <c r="C1518" t="s">
        <v>18</v>
      </c>
      <c r="D1518" t="s">
        <v>28</v>
      </c>
      <c r="E1518" t="s">
        <v>20</v>
      </c>
      <c r="F1518" s="3">
        <v>8930.01</v>
      </c>
      <c r="G1518" s="3">
        <v>9550.81</v>
      </c>
      <c r="H1518" s="3">
        <f>Table1[[#This Row],[Sale]]-Table1[[#This Row],[Cost]]</f>
        <v>620.79999999999927</v>
      </c>
      <c r="I1518" s="4">
        <f>Table1[[#This Row],[Profit]]/Table1[[#This Row],[Sale]]</f>
        <v>6.4999722536622478E-2</v>
      </c>
      <c r="J1518" s="5">
        <f t="shared" si="46"/>
        <v>2004</v>
      </c>
      <c r="K1518" s="5">
        <f>MONTH(Table1[[#This Row],[Date]])</f>
        <v>8</v>
      </c>
      <c r="L1518" s="5">
        <f>DAY(Table1[[#This Row],[Date]])</f>
        <v>3</v>
      </c>
      <c r="M1518" s="5" t="str">
        <f t="shared" si="47"/>
        <v>Aug</v>
      </c>
    </row>
    <row r="1519" spans="1:13" x14ac:dyDescent="0.25">
      <c r="A1519" s="2">
        <v>38505</v>
      </c>
      <c r="B1519" t="s">
        <v>22</v>
      </c>
      <c r="C1519" t="s">
        <v>18</v>
      </c>
      <c r="D1519" t="s">
        <v>28</v>
      </c>
      <c r="E1519" t="s">
        <v>24</v>
      </c>
      <c r="F1519" s="3">
        <v>6662.52</v>
      </c>
      <c r="G1519" s="3">
        <v>9797.83</v>
      </c>
      <c r="H1519" s="3">
        <f>Table1[[#This Row],[Sale]]-Table1[[#This Row],[Cost]]</f>
        <v>3135.3099999999995</v>
      </c>
      <c r="I1519" s="4">
        <f>Table1[[#This Row],[Profit]]/Table1[[#This Row],[Sale]]</f>
        <v>0.32000044907903069</v>
      </c>
      <c r="J1519" s="5">
        <f t="shared" si="46"/>
        <v>2005</v>
      </c>
      <c r="K1519" s="5">
        <f>MONTH(Table1[[#This Row],[Date]])</f>
        <v>6</v>
      </c>
      <c r="L1519" s="5">
        <f>DAY(Table1[[#This Row],[Date]])</f>
        <v>2</v>
      </c>
      <c r="M1519" s="5" t="str">
        <f t="shared" si="47"/>
        <v>Jun</v>
      </c>
    </row>
    <row r="1520" spans="1:13" x14ac:dyDescent="0.25">
      <c r="A1520" s="2">
        <v>38690</v>
      </c>
      <c r="B1520" t="s">
        <v>17</v>
      </c>
      <c r="C1520" t="s">
        <v>29</v>
      </c>
      <c r="D1520" t="s">
        <v>19</v>
      </c>
      <c r="E1520" t="s">
        <v>25</v>
      </c>
      <c r="F1520" s="3">
        <v>2348.6</v>
      </c>
      <c r="G1520" s="3">
        <v>3980.67</v>
      </c>
      <c r="H1520" s="3">
        <f>Table1[[#This Row],[Sale]]-Table1[[#This Row],[Cost]]</f>
        <v>1632.0700000000002</v>
      </c>
      <c r="I1520" s="4">
        <f>Table1[[#This Row],[Profit]]/Table1[[#This Row],[Sale]]</f>
        <v>0.40999881929423942</v>
      </c>
      <c r="J1520" s="5">
        <f t="shared" si="46"/>
        <v>2005</v>
      </c>
      <c r="K1520" s="5">
        <f>MONTH(Table1[[#This Row],[Date]])</f>
        <v>12</v>
      </c>
      <c r="L1520" s="5">
        <f>DAY(Table1[[#This Row],[Date]])</f>
        <v>4</v>
      </c>
      <c r="M1520" s="5" t="str">
        <f t="shared" si="47"/>
        <v>Dec</v>
      </c>
    </row>
    <row r="1521" spans="1:13" x14ac:dyDescent="0.25">
      <c r="A1521" s="2">
        <v>38267</v>
      </c>
      <c r="B1521" t="s">
        <v>15</v>
      </c>
      <c r="C1521" t="s">
        <v>29</v>
      </c>
      <c r="D1521" t="s">
        <v>16</v>
      </c>
      <c r="E1521" t="s">
        <v>25</v>
      </c>
      <c r="F1521" s="3">
        <v>5417.68</v>
      </c>
      <c r="G1521" s="3">
        <v>9340.83</v>
      </c>
      <c r="H1521" s="3">
        <f>Table1[[#This Row],[Sale]]-Table1[[#This Row],[Cost]]</f>
        <v>3923.1499999999996</v>
      </c>
      <c r="I1521" s="4">
        <f>Table1[[#This Row],[Profit]]/Table1[[#This Row],[Sale]]</f>
        <v>0.42000014987961454</v>
      </c>
      <c r="J1521" s="5">
        <f t="shared" si="46"/>
        <v>2004</v>
      </c>
      <c r="K1521" s="5">
        <f>MONTH(Table1[[#This Row],[Date]])</f>
        <v>10</v>
      </c>
      <c r="L1521" s="5">
        <f>DAY(Table1[[#This Row],[Date]])</f>
        <v>7</v>
      </c>
      <c r="M1521" s="5" t="str">
        <f t="shared" si="47"/>
        <v>Oct</v>
      </c>
    </row>
    <row r="1522" spans="1:13" x14ac:dyDescent="0.25">
      <c r="A1522" s="2">
        <v>38436</v>
      </c>
      <c r="B1522" t="s">
        <v>26</v>
      </c>
      <c r="C1522" t="s">
        <v>12</v>
      </c>
      <c r="D1522" t="s">
        <v>19</v>
      </c>
      <c r="E1522" t="s">
        <v>25</v>
      </c>
      <c r="F1522" s="3">
        <v>3382.69</v>
      </c>
      <c r="G1522" s="3">
        <v>4974.55</v>
      </c>
      <c r="H1522" s="3">
        <f>Table1[[#This Row],[Sale]]-Table1[[#This Row],[Cost]]</f>
        <v>1591.8600000000001</v>
      </c>
      <c r="I1522" s="4">
        <f>Table1[[#This Row],[Profit]]/Table1[[#This Row],[Sale]]</f>
        <v>0.32000080409283255</v>
      </c>
      <c r="J1522" s="5">
        <f t="shared" si="46"/>
        <v>2005</v>
      </c>
      <c r="K1522" s="5">
        <f>MONTH(Table1[[#This Row],[Date]])</f>
        <v>3</v>
      </c>
      <c r="L1522" s="5">
        <f>DAY(Table1[[#This Row],[Date]])</f>
        <v>25</v>
      </c>
      <c r="M1522" s="5" t="str">
        <f t="shared" si="47"/>
        <v>Mar</v>
      </c>
    </row>
    <row r="1523" spans="1:13" x14ac:dyDescent="0.25">
      <c r="A1523" s="2">
        <v>38758</v>
      </c>
      <c r="B1523" t="s">
        <v>15</v>
      </c>
      <c r="C1523" t="s">
        <v>27</v>
      </c>
      <c r="D1523" t="s">
        <v>13</v>
      </c>
      <c r="E1523" t="s">
        <v>24</v>
      </c>
      <c r="F1523" s="3">
        <v>1022.85</v>
      </c>
      <c r="G1523" s="3">
        <v>2273</v>
      </c>
      <c r="H1523" s="3">
        <f>Table1[[#This Row],[Sale]]-Table1[[#This Row],[Cost]]</f>
        <v>1250.1500000000001</v>
      </c>
      <c r="I1523" s="4">
        <f>Table1[[#This Row],[Profit]]/Table1[[#This Row],[Sale]]</f>
        <v>0.55000000000000004</v>
      </c>
      <c r="J1523" s="5">
        <f t="shared" si="46"/>
        <v>2006</v>
      </c>
      <c r="K1523" s="5">
        <f>MONTH(Table1[[#This Row],[Date]])</f>
        <v>2</v>
      </c>
      <c r="L1523" s="5">
        <f>DAY(Table1[[#This Row],[Date]])</f>
        <v>10</v>
      </c>
      <c r="M1523" s="5" t="str">
        <f t="shared" si="47"/>
        <v>Feb</v>
      </c>
    </row>
    <row r="1524" spans="1:13" x14ac:dyDescent="0.25">
      <c r="A1524" s="2">
        <v>38375</v>
      </c>
      <c r="B1524" t="s">
        <v>21</v>
      </c>
      <c r="C1524" t="s">
        <v>18</v>
      </c>
      <c r="D1524" t="s">
        <v>19</v>
      </c>
      <c r="E1524" t="s">
        <v>20</v>
      </c>
      <c r="F1524" s="3">
        <v>3702.88</v>
      </c>
      <c r="G1524" s="3">
        <v>8228.6200000000008</v>
      </c>
      <c r="H1524" s="3">
        <f>Table1[[#This Row],[Sale]]-Table1[[#This Row],[Cost]]</f>
        <v>4525.7400000000007</v>
      </c>
      <c r="I1524" s="4">
        <f>Table1[[#This Row],[Profit]]/Table1[[#This Row],[Sale]]</f>
        <v>0.54999987847293963</v>
      </c>
      <c r="J1524" s="5">
        <f t="shared" si="46"/>
        <v>2005</v>
      </c>
      <c r="K1524" s="5">
        <f>MONTH(Table1[[#This Row],[Date]])</f>
        <v>1</v>
      </c>
      <c r="L1524" s="5">
        <f>DAY(Table1[[#This Row],[Date]])</f>
        <v>23</v>
      </c>
      <c r="M1524" s="5" t="str">
        <f t="shared" si="47"/>
        <v>Jan</v>
      </c>
    </row>
    <row r="1525" spans="1:13" x14ac:dyDescent="0.25">
      <c r="A1525" s="2">
        <v>38715</v>
      </c>
      <c r="B1525" t="s">
        <v>17</v>
      </c>
      <c r="C1525" t="s">
        <v>29</v>
      </c>
      <c r="D1525" t="s">
        <v>19</v>
      </c>
      <c r="E1525" t="s">
        <v>24</v>
      </c>
      <c r="F1525" s="3">
        <v>3249.64</v>
      </c>
      <c r="G1525" s="3">
        <v>4332.8599999999997</v>
      </c>
      <c r="H1525" s="3">
        <f>Table1[[#This Row],[Sale]]-Table1[[#This Row],[Cost]]</f>
        <v>1083.2199999999998</v>
      </c>
      <c r="I1525" s="4">
        <f>Table1[[#This Row],[Profit]]/Table1[[#This Row],[Sale]]</f>
        <v>0.25000115397220307</v>
      </c>
      <c r="J1525" s="5">
        <f t="shared" si="46"/>
        <v>2005</v>
      </c>
      <c r="K1525" s="5">
        <f>MONTH(Table1[[#This Row],[Date]])</f>
        <v>12</v>
      </c>
      <c r="L1525" s="5">
        <f>DAY(Table1[[#This Row],[Date]])</f>
        <v>29</v>
      </c>
      <c r="M1525" s="5" t="str">
        <f t="shared" si="47"/>
        <v>Dec</v>
      </c>
    </row>
    <row r="1526" spans="1:13" x14ac:dyDescent="0.25">
      <c r="A1526" s="2">
        <v>38649</v>
      </c>
      <c r="B1526" t="s">
        <v>22</v>
      </c>
      <c r="C1526" t="s">
        <v>18</v>
      </c>
      <c r="D1526" t="s">
        <v>19</v>
      </c>
      <c r="E1526" t="s">
        <v>24</v>
      </c>
      <c r="F1526" s="3">
        <v>7137.56</v>
      </c>
      <c r="G1526" s="3">
        <v>9516.74</v>
      </c>
      <c r="H1526" s="3">
        <f>Table1[[#This Row],[Sale]]-Table1[[#This Row],[Cost]]</f>
        <v>2379.1799999999994</v>
      </c>
      <c r="I1526" s="4">
        <f>Table1[[#This Row],[Profit]]/Table1[[#This Row],[Sale]]</f>
        <v>0.24999947461000294</v>
      </c>
      <c r="J1526" s="5">
        <f t="shared" si="46"/>
        <v>2005</v>
      </c>
      <c r="K1526" s="5">
        <f>MONTH(Table1[[#This Row],[Date]])</f>
        <v>10</v>
      </c>
      <c r="L1526" s="5">
        <f>DAY(Table1[[#This Row],[Date]])</f>
        <v>24</v>
      </c>
      <c r="M1526" s="5" t="str">
        <f t="shared" si="47"/>
        <v>Oct</v>
      </c>
    </row>
    <row r="1527" spans="1:13" x14ac:dyDescent="0.25">
      <c r="A1527" s="2">
        <v>38856</v>
      </c>
      <c r="B1527" t="s">
        <v>21</v>
      </c>
      <c r="C1527" t="s">
        <v>23</v>
      </c>
      <c r="D1527" t="s">
        <v>13</v>
      </c>
      <c r="E1527" t="s">
        <v>24</v>
      </c>
      <c r="F1527" s="3">
        <v>1530.54</v>
      </c>
      <c r="G1527" s="3">
        <v>3401.21</v>
      </c>
      <c r="H1527" s="3">
        <f>Table1[[#This Row],[Sale]]-Table1[[#This Row],[Cost]]</f>
        <v>1870.67</v>
      </c>
      <c r="I1527" s="4">
        <f>Table1[[#This Row],[Profit]]/Table1[[#This Row],[Sale]]</f>
        <v>0.55000132305855853</v>
      </c>
      <c r="J1527" s="5">
        <f t="shared" si="46"/>
        <v>2006</v>
      </c>
      <c r="K1527" s="5">
        <f>MONTH(Table1[[#This Row],[Date]])</f>
        <v>5</v>
      </c>
      <c r="L1527" s="5">
        <f>DAY(Table1[[#This Row],[Date]])</f>
        <v>19</v>
      </c>
      <c r="M1527" s="5" t="str">
        <f t="shared" si="47"/>
        <v>May</v>
      </c>
    </row>
    <row r="1528" spans="1:13" x14ac:dyDescent="0.25">
      <c r="A1528" s="2">
        <v>38539</v>
      </c>
      <c r="B1528" t="s">
        <v>21</v>
      </c>
      <c r="C1528" t="s">
        <v>12</v>
      </c>
      <c r="D1528" t="s">
        <v>28</v>
      </c>
      <c r="E1528" t="s">
        <v>24</v>
      </c>
      <c r="F1528" s="3">
        <v>8824.4</v>
      </c>
      <c r="G1528" s="3">
        <v>9437.86</v>
      </c>
      <c r="H1528" s="3">
        <f>Table1[[#This Row],[Sale]]-Table1[[#This Row],[Cost]]</f>
        <v>613.46000000000095</v>
      </c>
      <c r="I1528" s="4">
        <f>Table1[[#This Row],[Profit]]/Table1[[#This Row],[Sale]]</f>
        <v>6.4999904639399281E-2</v>
      </c>
      <c r="J1528" s="5">
        <f t="shared" si="46"/>
        <v>2005</v>
      </c>
      <c r="K1528" s="5">
        <f>MONTH(Table1[[#This Row],[Date]])</f>
        <v>7</v>
      </c>
      <c r="L1528" s="5">
        <f>DAY(Table1[[#This Row],[Date]])</f>
        <v>6</v>
      </c>
      <c r="M1528" s="5" t="str">
        <f t="shared" si="47"/>
        <v>Jul</v>
      </c>
    </row>
    <row r="1529" spans="1:13" x14ac:dyDescent="0.25">
      <c r="A1529" s="2">
        <v>38706</v>
      </c>
      <c r="B1529" t="s">
        <v>26</v>
      </c>
      <c r="C1529" t="s">
        <v>23</v>
      </c>
      <c r="D1529" t="s">
        <v>28</v>
      </c>
      <c r="E1529" t="s">
        <v>24</v>
      </c>
      <c r="F1529" s="3">
        <v>2696.92</v>
      </c>
      <c r="G1529" s="3">
        <v>5993.16</v>
      </c>
      <c r="H1529" s="3">
        <f>Table1[[#This Row],[Sale]]-Table1[[#This Row],[Cost]]</f>
        <v>3296.24</v>
      </c>
      <c r="I1529" s="4">
        <f>Table1[[#This Row],[Profit]]/Table1[[#This Row],[Sale]]</f>
        <v>0.550000333713767</v>
      </c>
      <c r="J1529" s="5">
        <f t="shared" si="46"/>
        <v>2005</v>
      </c>
      <c r="K1529" s="5">
        <f>MONTH(Table1[[#This Row],[Date]])</f>
        <v>12</v>
      </c>
      <c r="L1529" s="5">
        <f>DAY(Table1[[#This Row],[Date]])</f>
        <v>20</v>
      </c>
      <c r="M1529" s="5" t="str">
        <f t="shared" si="47"/>
        <v>Dec</v>
      </c>
    </row>
    <row r="1530" spans="1:13" x14ac:dyDescent="0.25">
      <c r="A1530" s="2">
        <v>38212</v>
      </c>
      <c r="B1530" t="s">
        <v>22</v>
      </c>
      <c r="C1530" t="s">
        <v>23</v>
      </c>
      <c r="D1530" t="s">
        <v>19</v>
      </c>
      <c r="E1530" t="s">
        <v>20</v>
      </c>
      <c r="F1530" s="3">
        <v>1054.76</v>
      </c>
      <c r="G1530" s="3">
        <v>2452.94</v>
      </c>
      <c r="H1530" s="3">
        <f>Table1[[#This Row],[Sale]]-Table1[[#This Row],[Cost]]</f>
        <v>1398.18</v>
      </c>
      <c r="I1530" s="4">
        <f>Table1[[#This Row],[Profit]]/Table1[[#This Row],[Sale]]</f>
        <v>0.57000171223103702</v>
      </c>
      <c r="J1530" s="5">
        <f t="shared" si="46"/>
        <v>2004</v>
      </c>
      <c r="K1530" s="5">
        <f>MONTH(Table1[[#This Row],[Date]])</f>
        <v>8</v>
      </c>
      <c r="L1530" s="5">
        <f>DAY(Table1[[#This Row],[Date]])</f>
        <v>13</v>
      </c>
      <c r="M1530" s="5" t="str">
        <f t="shared" si="47"/>
        <v>Aug</v>
      </c>
    </row>
    <row r="1531" spans="1:13" x14ac:dyDescent="0.25">
      <c r="A1531" s="2">
        <v>38577</v>
      </c>
      <c r="B1531" t="s">
        <v>11</v>
      </c>
      <c r="C1531" t="s">
        <v>27</v>
      </c>
      <c r="D1531" t="s">
        <v>28</v>
      </c>
      <c r="E1531" t="s">
        <v>24</v>
      </c>
      <c r="F1531" s="3">
        <v>2645.06</v>
      </c>
      <c r="G1531" s="3">
        <v>5877.92</v>
      </c>
      <c r="H1531" s="3">
        <f>Table1[[#This Row],[Sale]]-Table1[[#This Row],[Cost]]</f>
        <v>3232.86</v>
      </c>
      <c r="I1531" s="4">
        <f>Table1[[#This Row],[Profit]]/Table1[[#This Row],[Sale]]</f>
        <v>0.55000068051283446</v>
      </c>
      <c r="J1531" s="5">
        <f t="shared" si="46"/>
        <v>2005</v>
      </c>
      <c r="K1531" s="5">
        <f>MONTH(Table1[[#This Row],[Date]])</f>
        <v>8</v>
      </c>
      <c r="L1531" s="5">
        <f>DAY(Table1[[#This Row],[Date]])</f>
        <v>13</v>
      </c>
      <c r="M1531" s="5" t="str">
        <f t="shared" si="47"/>
        <v>Aug</v>
      </c>
    </row>
    <row r="1532" spans="1:13" x14ac:dyDescent="0.25">
      <c r="A1532" s="2">
        <v>38236</v>
      </c>
      <c r="B1532" t="s">
        <v>21</v>
      </c>
      <c r="C1532" t="s">
        <v>12</v>
      </c>
      <c r="D1532" t="s">
        <v>16</v>
      </c>
      <c r="E1532" t="s">
        <v>14</v>
      </c>
      <c r="F1532" s="3">
        <v>5481.77</v>
      </c>
      <c r="G1532" s="3">
        <v>6229.28</v>
      </c>
      <c r="H1532" s="3">
        <f>Table1[[#This Row],[Sale]]-Table1[[#This Row],[Cost]]</f>
        <v>747.50999999999931</v>
      </c>
      <c r="I1532" s="4">
        <f>Table1[[#This Row],[Profit]]/Table1[[#This Row],[Sale]]</f>
        <v>0.11999942208409307</v>
      </c>
      <c r="J1532" s="5">
        <f t="shared" si="46"/>
        <v>2004</v>
      </c>
      <c r="K1532" s="5">
        <f>MONTH(Table1[[#This Row],[Date]])</f>
        <v>9</v>
      </c>
      <c r="L1532" s="5">
        <f>DAY(Table1[[#This Row],[Date]])</f>
        <v>6</v>
      </c>
      <c r="M1532" s="5" t="str">
        <f t="shared" si="47"/>
        <v>Sep</v>
      </c>
    </row>
    <row r="1533" spans="1:13" x14ac:dyDescent="0.25">
      <c r="A1533" s="2">
        <v>38228</v>
      </c>
      <c r="B1533" t="s">
        <v>15</v>
      </c>
      <c r="C1533" t="s">
        <v>12</v>
      </c>
      <c r="D1533" t="s">
        <v>28</v>
      </c>
      <c r="E1533" t="s">
        <v>14</v>
      </c>
      <c r="F1533" s="3">
        <v>1775.84</v>
      </c>
      <c r="G1533" s="3">
        <v>4129.8500000000004</v>
      </c>
      <c r="H1533" s="3">
        <f>Table1[[#This Row],[Sale]]-Table1[[#This Row],[Cost]]</f>
        <v>2354.0100000000002</v>
      </c>
      <c r="I1533" s="4">
        <f>Table1[[#This Row],[Profit]]/Table1[[#This Row],[Sale]]</f>
        <v>0.56999891037204742</v>
      </c>
      <c r="J1533" s="5">
        <f t="shared" si="46"/>
        <v>2004</v>
      </c>
      <c r="K1533" s="5">
        <f>MONTH(Table1[[#This Row],[Date]])</f>
        <v>8</v>
      </c>
      <c r="L1533" s="5">
        <f>DAY(Table1[[#This Row],[Date]])</f>
        <v>29</v>
      </c>
      <c r="M1533" s="5" t="str">
        <f t="shared" si="47"/>
        <v>Aug</v>
      </c>
    </row>
    <row r="1534" spans="1:13" x14ac:dyDescent="0.25">
      <c r="A1534" s="2">
        <v>38553</v>
      </c>
      <c r="B1534" t="s">
        <v>26</v>
      </c>
      <c r="C1534" t="s">
        <v>18</v>
      </c>
      <c r="D1534" t="s">
        <v>13</v>
      </c>
      <c r="E1534" t="s">
        <v>14</v>
      </c>
      <c r="F1534" s="3">
        <v>2051.0500000000002</v>
      </c>
      <c r="G1534" s="3">
        <v>4769.8900000000003</v>
      </c>
      <c r="H1534" s="3">
        <f>Table1[[#This Row],[Sale]]-Table1[[#This Row],[Cost]]</f>
        <v>2718.84</v>
      </c>
      <c r="I1534" s="4">
        <f>Table1[[#This Row],[Profit]]/Table1[[#This Row],[Sale]]</f>
        <v>0.57000056605078941</v>
      </c>
      <c r="J1534" s="5">
        <f t="shared" si="46"/>
        <v>2005</v>
      </c>
      <c r="K1534" s="5">
        <f>MONTH(Table1[[#This Row],[Date]])</f>
        <v>7</v>
      </c>
      <c r="L1534" s="5">
        <f>DAY(Table1[[#This Row],[Date]])</f>
        <v>20</v>
      </c>
      <c r="M1534" s="5" t="str">
        <f t="shared" si="47"/>
        <v>Jul</v>
      </c>
    </row>
    <row r="1535" spans="1:13" x14ac:dyDescent="0.25">
      <c r="A1535" s="2">
        <v>38604</v>
      </c>
      <c r="B1535" t="s">
        <v>17</v>
      </c>
      <c r="C1535" t="s">
        <v>12</v>
      </c>
      <c r="D1535" t="s">
        <v>19</v>
      </c>
      <c r="E1535" t="s">
        <v>24</v>
      </c>
      <c r="F1535" s="3">
        <v>6992.64</v>
      </c>
      <c r="G1535" s="3">
        <v>7946.18</v>
      </c>
      <c r="H1535" s="3">
        <f>Table1[[#This Row],[Sale]]-Table1[[#This Row],[Cost]]</f>
        <v>953.54</v>
      </c>
      <c r="I1535" s="4">
        <f>Table1[[#This Row],[Profit]]/Table1[[#This Row],[Sale]]</f>
        <v>0.11999979864538683</v>
      </c>
      <c r="J1535" s="5">
        <f t="shared" si="46"/>
        <v>2005</v>
      </c>
      <c r="K1535" s="5">
        <f>MONTH(Table1[[#This Row],[Date]])</f>
        <v>9</v>
      </c>
      <c r="L1535" s="5">
        <f>DAY(Table1[[#This Row],[Date]])</f>
        <v>9</v>
      </c>
      <c r="M1535" s="5" t="str">
        <f t="shared" si="47"/>
        <v>Sep</v>
      </c>
    </row>
    <row r="1536" spans="1:13" x14ac:dyDescent="0.25">
      <c r="A1536" s="2">
        <v>38768</v>
      </c>
      <c r="B1536" t="s">
        <v>21</v>
      </c>
      <c r="C1536" t="s">
        <v>18</v>
      </c>
      <c r="D1536" t="s">
        <v>13</v>
      </c>
      <c r="E1536" t="s">
        <v>25</v>
      </c>
      <c r="F1536" s="3">
        <v>2423.79</v>
      </c>
      <c r="G1536" s="3">
        <v>5386.2</v>
      </c>
      <c r="H1536" s="3">
        <f>Table1[[#This Row],[Sale]]-Table1[[#This Row],[Cost]]</f>
        <v>2962.41</v>
      </c>
      <c r="I1536" s="4">
        <f>Table1[[#This Row],[Profit]]/Table1[[#This Row],[Sale]]</f>
        <v>0.55000000000000004</v>
      </c>
      <c r="J1536" s="5">
        <f t="shared" si="46"/>
        <v>2006</v>
      </c>
      <c r="K1536" s="5">
        <f>MONTH(Table1[[#This Row],[Date]])</f>
        <v>2</v>
      </c>
      <c r="L1536" s="5">
        <f>DAY(Table1[[#This Row],[Date]])</f>
        <v>20</v>
      </c>
      <c r="M1536" s="5" t="str">
        <f t="shared" si="47"/>
        <v>Feb</v>
      </c>
    </row>
    <row r="1537" spans="1:13" x14ac:dyDescent="0.25">
      <c r="A1537" s="2">
        <v>38176</v>
      </c>
      <c r="B1537" t="s">
        <v>11</v>
      </c>
      <c r="C1537" t="s">
        <v>18</v>
      </c>
      <c r="D1537" t="s">
        <v>28</v>
      </c>
      <c r="E1537" t="s">
        <v>24</v>
      </c>
      <c r="F1537" s="3">
        <v>3734.64</v>
      </c>
      <c r="G1537" s="3">
        <v>4979.5200000000004</v>
      </c>
      <c r="H1537" s="3">
        <f>Table1[[#This Row],[Sale]]-Table1[[#This Row],[Cost]]</f>
        <v>1244.8800000000006</v>
      </c>
      <c r="I1537" s="4">
        <f>Table1[[#This Row],[Profit]]/Table1[[#This Row],[Sale]]</f>
        <v>0.25000000000000011</v>
      </c>
      <c r="J1537" s="5">
        <f t="shared" si="46"/>
        <v>2004</v>
      </c>
      <c r="K1537" s="5">
        <f>MONTH(Table1[[#This Row],[Date]])</f>
        <v>7</v>
      </c>
      <c r="L1537" s="5">
        <f>DAY(Table1[[#This Row],[Date]])</f>
        <v>8</v>
      </c>
      <c r="M1537" s="5" t="str">
        <f t="shared" si="47"/>
        <v>Jul</v>
      </c>
    </row>
    <row r="1538" spans="1:13" x14ac:dyDescent="0.25">
      <c r="A1538" s="2">
        <v>38484</v>
      </c>
      <c r="B1538" t="s">
        <v>22</v>
      </c>
      <c r="C1538" t="s">
        <v>29</v>
      </c>
      <c r="D1538" t="s">
        <v>28</v>
      </c>
      <c r="E1538" t="s">
        <v>24</v>
      </c>
      <c r="F1538" s="3">
        <v>4937.53</v>
      </c>
      <c r="G1538" s="3">
        <v>7261.08</v>
      </c>
      <c r="H1538" s="3">
        <f>Table1[[#This Row],[Sale]]-Table1[[#This Row],[Cost]]</f>
        <v>2323.5500000000002</v>
      </c>
      <c r="I1538" s="4">
        <f>Table1[[#This Row],[Profit]]/Table1[[#This Row],[Sale]]</f>
        <v>0.3200006059704617</v>
      </c>
      <c r="J1538" s="5">
        <f t="shared" ref="J1538:J1601" si="48">YEAR(A:A)</f>
        <v>2005</v>
      </c>
      <c r="K1538" s="5">
        <f>MONTH(Table1[[#This Row],[Date]])</f>
        <v>5</v>
      </c>
      <c r="L1538" s="5">
        <f>DAY(Table1[[#This Row],[Date]])</f>
        <v>12</v>
      </c>
      <c r="M1538" s="5" t="str">
        <f t="shared" ref="M1538:M1601" si="49">CHOOSE(K1538,"Jan", "Feb", "Mar", "Apr", "May", "Jun", "Jul", "Aug", "Sep", "Oct", "Nov", "Dec")</f>
        <v>May</v>
      </c>
    </row>
    <row r="1539" spans="1:13" x14ac:dyDescent="0.25">
      <c r="A1539" s="2">
        <v>38172</v>
      </c>
      <c r="B1539" t="s">
        <v>15</v>
      </c>
      <c r="C1539" t="s">
        <v>27</v>
      </c>
      <c r="D1539" t="s">
        <v>13</v>
      </c>
      <c r="E1539" t="s">
        <v>14</v>
      </c>
      <c r="F1539" s="3">
        <v>8787.6299999999992</v>
      </c>
      <c r="G1539" s="3">
        <v>9985.94</v>
      </c>
      <c r="H1539" s="3">
        <f>Table1[[#This Row],[Sale]]-Table1[[#This Row],[Cost]]</f>
        <v>1198.3100000000013</v>
      </c>
      <c r="I1539" s="4">
        <f>Table1[[#This Row],[Profit]]/Table1[[#This Row],[Sale]]</f>
        <v>0.11999971960576583</v>
      </c>
      <c r="J1539" s="5">
        <f t="shared" si="48"/>
        <v>2004</v>
      </c>
      <c r="K1539" s="5">
        <f>MONTH(Table1[[#This Row],[Date]])</f>
        <v>7</v>
      </c>
      <c r="L1539" s="5">
        <f>DAY(Table1[[#This Row],[Date]])</f>
        <v>4</v>
      </c>
      <c r="M1539" s="5" t="str">
        <f t="shared" si="49"/>
        <v>Jul</v>
      </c>
    </row>
    <row r="1540" spans="1:13" x14ac:dyDescent="0.25">
      <c r="A1540" s="2">
        <v>38784</v>
      </c>
      <c r="B1540" t="s">
        <v>22</v>
      </c>
      <c r="C1540" t="s">
        <v>18</v>
      </c>
      <c r="D1540" t="s">
        <v>28</v>
      </c>
      <c r="E1540" t="s">
        <v>14</v>
      </c>
      <c r="F1540" s="3">
        <v>975.74</v>
      </c>
      <c r="G1540" s="3">
        <v>1774.07</v>
      </c>
      <c r="H1540" s="3">
        <f>Table1[[#This Row],[Sale]]-Table1[[#This Row],[Cost]]</f>
        <v>798.32999999999993</v>
      </c>
      <c r="I1540" s="4">
        <f>Table1[[#This Row],[Profit]]/Table1[[#This Row],[Sale]]</f>
        <v>0.44999915448657601</v>
      </c>
      <c r="J1540" s="5">
        <f t="shared" si="48"/>
        <v>2006</v>
      </c>
      <c r="K1540" s="5">
        <f>MONTH(Table1[[#This Row],[Date]])</f>
        <v>3</v>
      </c>
      <c r="L1540" s="5">
        <f>DAY(Table1[[#This Row],[Date]])</f>
        <v>8</v>
      </c>
      <c r="M1540" s="5" t="str">
        <f t="shared" si="49"/>
        <v>Mar</v>
      </c>
    </row>
    <row r="1541" spans="1:13" x14ac:dyDescent="0.25">
      <c r="A1541" s="2">
        <v>38380</v>
      </c>
      <c r="B1541" t="s">
        <v>26</v>
      </c>
      <c r="C1541" t="s">
        <v>12</v>
      </c>
      <c r="D1541" t="s">
        <v>28</v>
      </c>
      <c r="E1541" t="s">
        <v>20</v>
      </c>
      <c r="F1541" s="3">
        <v>4035.88</v>
      </c>
      <c r="G1541" s="3">
        <v>6958.42</v>
      </c>
      <c r="H1541" s="3">
        <f>Table1[[#This Row],[Sale]]-Table1[[#This Row],[Cost]]</f>
        <v>2922.54</v>
      </c>
      <c r="I1541" s="4">
        <f>Table1[[#This Row],[Profit]]/Table1[[#This Row],[Sale]]</f>
        <v>0.42000051735882571</v>
      </c>
      <c r="J1541" s="5">
        <f t="shared" si="48"/>
        <v>2005</v>
      </c>
      <c r="K1541" s="5">
        <f>MONTH(Table1[[#This Row],[Date]])</f>
        <v>1</v>
      </c>
      <c r="L1541" s="5">
        <f>DAY(Table1[[#This Row],[Date]])</f>
        <v>28</v>
      </c>
      <c r="M1541" s="5" t="str">
        <f t="shared" si="49"/>
        <v>Jan</v>
      </c>
    </row>
    <row r="1542" spans="1:13" x14ac:dyDescent="0.25">
      <c r="A1542" s="2">
        <v>38464</v>
      </c>
      <c r="B1542" t="s">
        <v>17</v>
      </c>
      <c r="C1542" t="s">
        <v>23</v>
      </c>
      <c r="D1542" t="s">
        <v>19</v>
      </c>
      <c r="E1542" t="s">
        <v>24</v>
      </c>
      <c r="F1542" s="3">
        <v>3210.66</v>
      </c>
      <c r="G1542" s="3">
        <v>7466.65</v>
      </c>
      <c r="H1542" s="3">
        <f>Table1[[#This Row],[Sale]]-Table1[[#This Row],[Cost]]</f>
        <v>4255.99</v>
      </c>
      <c r="I1542" s="4">
        <f>Table1[[#This Row],[Profit]]/Table1[[#This Row],[Sale]]</f>
        <v>0.56999993303556484</v>
      </c>
      <c r="J1542" s="5">
        <f t="shared" si="48"/>
        <v>2005</v>
      </c>
      <c r="K1542" s="5">
        <f>MONTH(Table1[[#This Row],[Date]])</f>
        <v>4</v>
      </c>
      <c r="L1542" s="5">
        <f>DAY(Table1[[#This Row],[Date]])</f>
        <v>22</v>
      </c>
      <c r="M1542" s="5" t="str">
        <f t="shared" si="49"/>
        <v>Apr</v>
      </c>
    </row>
    <row r="1543" spans="1:13" x14ac:dyDescent="0.25">
      <c r="A1543" s="2">
        <v>38788</v>
      </c>
      <c r="B1543" t="s">
        <v>17</v>
      </c>
      <c r="C1543" t="s">
        <v>27</v>
      </c>
      <c r="D1543" t="s">
        <v>19</v>
      </c>
      <c r="E1543" t="s">
        <v>25</v>
      </c>
      <c r="F1543" s="3">
        <v>3499.59</v>
      </c>
      <c r="G1543" s="3">
        <v>6033.77</v>
      </c>
      <c r="H1543" s="3">
        <f>Table1[[#This Row],[Sale]]-Table1[[#This Row],[Cost]]</f>
        <v>2534.1800000000003</v>
      </c>
      <c r="I1543" s="4">
        <f>Table1[[#This Row],[Profit]]/Table1[[#This Row],[Sale]]</f>
        <v>0.41999943650487176</v>
      </c>
      <c r="J1543" s="5">
        <f t="shared" si="48"/>
        <v>2006</v>
      </c>
      <c r="K1543" s="5">
        <f>MONTH(Table1[[#This Row],[Date]])</f>
        <v>3</v>
      </c>
      <c r="L1543" s="5">
        <f>DAY(Table1[[#This Row],[Date]])</f>
        <v>12</v>
      </c>
      <c r="M1543" s="5" t="str">
        <f t="shared" si="49"/>
        <v>Mar</v>
      </c>
    </row>
    <row r="1544" spans="1:13" x14ac:dyDescent="0.25">
      <c r="A1544" s="2">
        <v>38474</v>
      </c>
      <c r="B1544" t="s">
        <v>11</v>
      </c>
      <c r="C1544" t="s">
        <v>12</v>
      </c>
      <c r="D1544" t="s">
        <v>28</v>
      </c>
      <c r="E1544" t="s">
        <v>24</v>
      </c>
      <c r="F1544" s="3">
        <v>1628.98</v>
      </c>
      <c r="G1544" s="3">
        <v>4402.6499999999996</v>
      </c>
      <c r="H1544" s="3">
        <f>Table1[[#This Row],[Sale]]-Table1[[#This Row],[Cost]]</f>
        <v>2773.6699999999996</v>
      </c>
      <c r="I1544" s="4">
        <f>Table1[[#This Row],[Profit]]/Table1[[#This Row],[Sale]]</f>
        <v>0.6300001135679647</v>
      </c>
      <c r="J1544" s="5">
        <f t="shared" si="48"/>
        <v>2005</v>
      </c>
      <c r="K1544" s="5">
        <f>MONTH(Table1[[#This Row],[Date]])</f>
        <v>5</v>
      </c>
      <c r="L1544" s="5">
        <f>DAY(Table1[[#This Row],[Date]])</f>
        <v>2</v>
      </c>
      <c r="M1544" s="5" t="str">
        <f t="shared" si="49"/>
        <v>May</v>
      </c>
    </row>
    <row r="1545" spans="1:13" x14ac:dyDescent="0.25">
      <c r="A1545" s="2">
        <v>38741</v>
      </c>
      <c r="B1545" t="s">
        <v>11</v>
      </c>
      <c r="C1545" t="s">
        <v>12</v>
      </c>
      <c r="D1545" t="s">
        <v>16</v>
      </c>
      <c r="E1545" t="s">
        <v>25</v>
      </c>
      <c r="F1545" s="3">
        <v>1149.0899999999999</v>
      </c>
      <c r="G1545" s="3">
        <v>2672.3</v>
      </c>
      <c r="H1545" s="3">
        <f>Table1[[#This Row],[Sale]]-Table1[[#This Row],[Cost]]</f>
        <v>1523.2100000000003</v>
      </c>
      <c r="I1545" s="4">
        <f>Table1[[#This Row],[Profit]]/Table1[[#This Row],[Sale]]</f>
        <v>0.56999962579051755</v>
      </c>
      <c r="J1545" s="5">
        <f t="shared" si="48"/>
        <v>2006</v>
      </c>
      <c r="K1545" s="5">
        <f>MONTH(Table1[[#This Row],[Date]])</f>
        <v>1</v>
      </c>
      <c r="L1545" s="5">
        <f>DAY(Table1[[#This Row],[Date]])</f>
        <v>24</v>
      </c>
      <c r="M1545" s="5" t="str">
        <f t="shared" si="49"/>
        <v>Jan</v>
      </c>
    </row>
    <row r="1546" spans="1:13" x14ac:dyDescent="0.25">
      <c r="A1546" s="2">
        <v>38399</v>
      </c>
      <c r="B1546" t="s">
        <v>22</v>
      </c>
      <c r="C1546" t="s">
        <v>23</v>
      </c>
      <c r="D1546" t="s">
        <v>13</v>
      </c>
      <c r="E1546" t="s">
        <v>14</v>
      </c>
      <c r="F1546" s="3">
        <v>1982.48</v>
      </c>
      <c r="G1546" s="3">
        <v>2252.8200000000002</v>
      </c>
      <c r="H1546" s="3">
        <f>Table1[[#This Row],[Sale]]-Table1[[#This Row],[Cost]]</f>
        <v>270.34000000000015</v>
      </c>
      <c r="I1546" s="4">
        <f>Table1[[#This Row],[Profit]]/Table1[[#This Row],[Sale]]</f>
        <v>0.12000071022096756</v>
      </c>
      <c r="J1546" s="5">
        <f t="shared" si="48"/>
        <v>2005</v>
      </c>
      <c r="K1546" s="5">
        <f>MONTH(Table1[[#This Row],[Date]])</f>
        <v>2</v>
      </c>
      <c r="L1546" s="5">
        <f>DAY(Table1[[#This Row],[Date]])</f>
        <v>16</v>
      </c>
      <c r="M1546" s="5" t="str">
        <f t="shared" si="49"/>
        <v>Feb</v>
      </c>
    </row>
    <row r="1547" spans="1:13" x14ac:dyDescent="0.25">
      <c r="A1547" s="2">
        <v>38422</v>
      </c>
      <c r="B1547" t="s">
        <v>26</v>
      </c>
      <c r="C1547" t="s">
        <v>18</v>
      </c>
      <c r="D1547" t="s">
        <v>19</v>
      </c>
      <c r="E1547" t="s">
        <v>24</v>
      </c>
      <c r="F1547" s="3">
        <v>2597.27</v>
      </c>
      <c r="G1547" s="3">
        <v>4478.05</v>
      </c>
      <c r="H1547" s="3">
        <f>Table1[[#This Row],[Sale]]-Table1[[#This Row],[Cost]]</f>
        <v>1880.7800000000002</v>
      </c>
      <c r="I1547" s="4">
        <f>Table1[[#This Row],[Profit]]/Table1[[#This Row],[Sale]]</f>
        <v>0.41999977668851401</v>
      </c>
      <c r="J1547" s="5">
        <f t="shared" si="48"/>
        <v>2005</v>
      </c>
      <c r="K1547" s="5">
        <f>MONTH(Table1[[#This Row],[Date]])</f>
        <v>3</v>
      </c>
      <c r="L1547" s="5">
        <f>DAY(Table1[[#This Row],[Date]])</f>
        <v>11</v>
      </c>
      <c r="M1547" s="5" t="str">
        <f t="shared" si="49"/>
        <v>Mar</v>
      </c>
    </row>
    <row r="1548" spans="1:13" x14ac:dyDescent="0.25">
      <c r="A1548" s="2">
        <v>38165</v>
      </c>
      <c r="B1548" t="s">
        <v>22</v>
      </c>
      <c r="C1548" t="s">
        <v>29</v>
      </c>
      <c r="D1548" t="s">
        <v>13</v>
      </c>
      <c r="E1548" t="s">
        <v>24</v>
      </c>
      <c r="F1548" s="3">
        <v>3785.5</v>
      </c>
      <c r="G1548" s="3">
        <v>8803.48</v>
      </c>
      <c r="H1548" s="3">
        <f>Table1[[#This Row],[Sale]]-Table1[[#This Row],[Cost]]</f>
        <v>5017.9799999999996</v>
      </c>
      <c r="I1548" s="4">
        <f>Table1[[#This Row],[Profit]]/Table1[[#This Row],[Sale]]</f>
        <v>0.56999959107080378</v>
      </c>
      <c r="J1548" s="5">
        <f t="shared" si="48"/>
        <v>2004</v>
      </c>
      <c r="K1548" s="5">
        <f>MONTH(Table1[[#This Row],[Date]])</f>
        <v>6</v>
      </c>
      <c r="L1548" s="5">
        <f>DAY(Table1[[#This Row],[Date]])</f>
        <v>27</v>
      </c>
      <c r="M1548" s="5" t="str">
        <f t="shared" si="49"/>
        <v>Jun</v>
      </c>
    </row>
    <row r="1549" spans="1:13" x14ac:dyDescent="0.25">
      <c r="A1549" s="2">
        <v>38621</v>
      </c>
      <c r="B1549" t="s">
        <v>22</v>
      </c>
      <c r="C1549" t="s">
        <v>12</v>
      </c>
      <c r="D1549" t="s">
        <v>16</v>
      </c>
      <c r="E1549" t="s">
        <v>20</v>
      </c>
      <c r="F1549" s="3">
        <v>5590.28</v>
      </c>
      <c r="G1549" s="3">
        <v>7453.7</v>
      </c>
      <c r="H1549" s="3">
        <f>Table1[[#This Row],[Sale]]-Table1[[#This Row],[Cost]]</f>
        <v>1863.42</v>
      </c>
      <c r="I1549" s="4">
        <f>Table1[[#This Row],[Profit]]/Table1[[#This Row],[Sale]]</f>
        <v>0.24999932919221327</v>
      </c>
      <c r="J1549" s="5">
        <f t="shared" si="48"/>
        <v>2005</v>
      </c>
      <c r="K1549" s="5">
        <f>MONTH(Table1[[#This Row],[Date]])</f>
        <v>9</v>
      </c>
      <c r="L1549" s="5">
        <f>DAY(Table1[[#This Row],[Date]])</f>
        <v>26</v>
      </c>
      <c r="M1549" s="5" t="str">
        <f t="shared" si="49"/>
        <v>Sep</v>
      </c>
    </row>
    <row r="1550" spans="1:13" x14ac:dyDescent="0.25">
      <c r="A1550" s="2">
        <v>38161</v>
      </c>
      <c r="B1550" t="s">
        <v>21</v>
      </c>
      <c r="C1550" t="s">
        <v>12</v>
      </c>
      <c r="D1550" t="s">
        <v>13</v>
      </c>
      <c r="E1550" t="s">
        <v>24</v>
      </c>
      <c r="F1550" s="3">
        <v>1197.6300000000001</v>
      </c>
      <c r="G1550" s="3">
        <v>1280.8900000000001</v>
      </c>
      <c r="H1550" s="3">
        <f>Table1[[#This Row],[Sale]]-Table1[[#This Row],[Cost]]</f>
        <v>83.259999999999991</v>
      </c>
      <c r="I1550" s="4">
        <f>Table1[[#This Row],[Profit]]/Table1[[#This Row],[Sale]]</f>
        <v>6.5001678520403769E-2</v>
      </c>
      <c r="J1550" s="5">
        <f t="shared" si="48"/>
        <v>2004</v>
      </c>
      <c r="K1550" s="5">
        <f>MONTH(Table1[[#This Row],[Date]])</f>
        <v>6</v>
      </c>
      <c r="L1550" s="5">
        <f>DAY(Table1[[#This Row],[Date]])</f>
        <v>23</v>
      </c>
      <c r="M1550" s="5" t="str">
        <f t="shared" si="49"/>
        <v>Jun</v>
      </c>
    </row>
    <row r="1551" spans="1:13" x14ac:dyDescent="0.25">
      <c r="A1551" s="2">
        <v>38851</v>
      </c>
      <c r="B1551" t="s">
        <v>21</v>
      </c>
      <c r="C1551" t="s">
        <v>18</v>
      </c>
      <c r="D1551" t="s">
        <v>16</v>
      </c>
      <c r="E1551" t="s">
        <v>25</v>
      </c>
      <c r="F1551" s="3">
        <v>692.47</v>
      </c>
      <c r="G1551" s="3">
        <v>923.29</v>
      </c>
      <c r="H1551" s="3">
        <f>Table1[[#This Row],[Sale]]-Table1[[#This Row],[Cost]]</f>
        <v>230.81999999999994</v>
      </c>
      <c r="I1551" s="4">
        <f>Table1[[#This Row],[Profit]]/Table1[[#This Row],[Sale]]</f>
        <v>0.24999729229169593</v>
      </c>
      <c r="J1551" s="5">
        <f t="shared" si="48"/>
        <v>2006</v>
      </c>
      <c r="K1551" s="5">
        <f>MONTH(Table1[[#This Row],[Date]])</f>
        <v>5</v>
      </c>
      <c r="L1551" s="5">
        <f>DAY(Table1[[#This Row],[Date]])</f>
        <v>14</v>
      </c>
      <c r="M1551" s="5" t="str">
        <f t="shared" si="49"/>
        <v>May</v>
      </c>
    </row>
    <row r="1552" spans="1:13" x14ac:dyDescent="0.25">
      <c r="A1552" s="2">
        <v>38782</v>
      </c>
      <c r="B1552" t="s">
        <v>21</v>
      </c>
      <c r="C1552" t="s">
        <v>18</v>
      </c>
      <c r="D1552" t="s">
        <v>13</v>
      </c>
      <c r="E1552" t="s">
        <v>25</v>
      </c>
      <c r="F1552" s="3">
        <v>7657.33</v>
      </c>
      <c r="G1552" s="3">
        <v>8189.66</v>
      </c>
      <c r="H1552" s="3">
        <f>Table1[[#This Row],[Sale]]-Table1[[#This Row],[Cost]]</f>
        <v>532.32999999999993</v>
      </c>
      <c r="I1552" s="4">
        <f>Table1[[#This Row],[Profit]]/Table1[[#This Row],[Sale]]</f>
        <v>6.5000256420901473E-2</v>
      </c>
      <c r="J1552" s="5">
        <f t="shared" si="48"/>
        <v>2006</v>
      </c>
      <c r="K1552" s="5">
        <f>MONTH(Table1[[#This Row],[Date]])</f>
        <v>3</v>
      </c>
      <c r="L1552" s="5">
        <f>DAY(Table1[[#This Row],[Date]])</f>
        <v>6</v>
      </c>
      <c r="M1552" s="5" t="str">
        <f t="shared" si="49"/>
        <v>Mar</v>
      </c>
    </row>
    <row r="1553" spans="1:13" x14ac:dyDescent="0.25">
      <c r="A1553" s="2">
        <v>38541</v>
      </c>
      <c r="B1553" t="s">
        <v>15</v>
      </c>
      <c r="C1553" t="s">
        <v>12</v>
      </c>
      <c r="D1553" t="s">
        <v>13</v>
      </c>
      <c r="E1553" t="s">
        <v>24</v>
      </c>
      <c r="F1553" s="3">
        <v>365.06</v>
      </c>
      <c r="G1553" s="3">
        <v>663.74</v>
      </c>
      <c r="H1553" s="3">
        <f>Table1[[#This Row],[Sale]]-Table1[[#This Row],[Cost]]</f>
        <v>298.68</v>
      </c>
      <c r="I1553" s="4">
        <f>Table1[[#This Row],[Profit]]/Table1[[#This Row],[Sale]]</f>
        <v>0.44999548015789315</v>
      </c>
      <c r="J1553" s="5">
        <f t="shared" si="48"/>
        <v>2005</v>
      </c>
      <c r="K1553" s="5">
        <f>MONTH(Table1[[#This Row],[Date]])</f>
        <v>7</v>
      </c>
      <c r="L1553" s="5">
        <f>DAY(Table1[[#This Row],[Date]])</f>
        <v>8</v>
      </c>
      <c r="M1553" s="5" t="str">
        <f t="shared" si="49"/>
        <v>Jul</v>
      </c>
    </row>
    <row r="1554" spans="1:13" x14ac:dyDescent="0.25">
      <c r="A1554" s="2">
        <v>38758</v>
      </c>
      <c r="B1554" t="s">
        <v>15</v>
      </c>
      <c r="C1554" t="s">
        <v>18</v>
      </c>
      <c r="D1554" t="s">
        <v>13</v>
      </c>
      <c r="E1554" t="s">
        <v>14</v>
      </c>
      <c r="F1554" s="3">
        <v>521.66999999999996</v>
      </c>
      <c r="G1554" s="3">
        <v>592.80999999999995</v>
      </c>
      <c r="H1554" s="3">
        <f>Table1[[#This Row],[Sale]]-Table1[[#This Row],[Cost]]</f>
        <v>71.139999999999986</v>
      </c>
      <c r="I1554" s="4">
        <f>Table1[[#This Row],[Profit]]/Table1[[#This Row],[Sale]]</f>
        <v>0.12000472326715135</v>
      </c>
      <c r="J1554" s="5">
        <f t="shared" si="48"/>
        <v>2006</v>
      </c>
      <c r="K1554" s="5">
        <f>MONTH(Table1[[#This Row],[Date]])</f>
        <v>2</v>
      </c>
      <c r="L1554" s="5">
        <f>DAY(Table1[[#This Row],[Date]])</f>
        <v>10</v>
      </c>
      <c r="M1554" s="5" t="str">
        <f t="shared" si="49"/>
        <v>Feb</v>
      </c>
    </row>
    <row r="1555" spans="1:13" x14ac:dyDescent="0.25">
      <c r="A1555" s="2">
        <v>38176</v>
      </c>
      <c r="B1555" t="s">
        <v>15</v>
      </c>
      <c r="C1555" t="s">
        <v>27</v>
      </c>
      <c r="D1555" t="s">
        <v>16</v>
      </c>
      <c r="E1555" t="s">
        <v>14</v>
      </c>
      <c r="F1555" s="3">
        <v>3110.48</v>
      </c>
      <c r="G1555" s="3">
        <v>4147.3</v>
      </c>
      <c r="H1555" s="3">
        <f>Table1[[#This Row],[Sale]]-Table1[[#This Row],[Cost]]</f>
        <v>1036.8200000000002</v>
      </c>
      <c r="I1555" s="4">
        <f>Table1[[#This Row],[Profit]]/Table1[[#This Row],[Sale]]</f>
        <v>0.24999879439635428</v>
      </c>
      <c r="J1555" s="5">
        <f t="shared" si="48"/>
        <v>2004</v>
      </c>
      <c r="K1555" s="5">
        <f>MONTH(Table1[[#This Row],[Date]])</f>
        <v>7</v>
      </c>
      <c r="L1555" s="5">
        <f>DAY(Table1[[#This Row],[Date]])</f>
        <v>8</v>
      </c>
      <c r="M1555" s="5" t="str">
        <f t="shared" si="49"/>
        <v>Jul</v>
      </c>
    </row>
    <row r="1556" spans="1:13" x14ac:dyDescent="0.25">
      <c r="A1556" s="2">
        <v>38589</v>
      </c>
      <c r="B1556" t="s">
        <v>22</v>
      </c>
      <c r="C1556" t="s">
        <v>23</v>
      </c>
      <c r="D1556" t="s">
        <v>13</v>
      </c>
      <c r="E1556" t="s">
        <v>25</v>
      </c>
      <c r="F1556" s="3">
        <v>274.97000000000003</v>
      </c>
      <c r="G1556" s="3">
        <v>611.04</v>
      </c>
      <c r="H1556" s="3">
        <f>Table1[[#This Row],[Sale]]-Table1[[#This Row],[Cost]]</f>
        <v>336.06999999999994</v>
      </c>
      <c r="I1556" s="4">
        <f>Table1[[#This Row],[Profit]]/Table1[[#This Row],[Sale]]</f>
        <v>0.54999672689185641</v>
      </c>
      <c r="J1556" s="5">
        <f t="shared" si="48"/>
        <v>2005</v>
      </c>
      <c r="K1556" s="5">
        <f>MONTH(Table1[[#This Row],[Date]])</f>
        <v>8</v>
      </c>
      <c r="L1556" s="5">
        <f>DAY(Table1[[#This Row],[Date]])</f>
        <v>25</v>
      </c>
      <c r="M1556" s="5" t="str">
        <f t="shared" si="49"/>
        <v>Aug</v>
      </c>
    </row>
    <row r="1557" spans="1:13" x14ac:dyDescent="0.25">
      <c r="A1557" s="2">
        <v>38548</v>
      </c>
      <c r="B1557" t="s">
        <v>22</v>
      </c>
      <c r="C1557" t="s">
        <v>29</v>
      </c>
      <c r="D1557" t="s">
        <v>16</v>
      </c>
      <c r="E1557" t="s">
        <v>20</v>
      </c>
      <c r="F1557" s="3">
        <v>2844.68</v>
      </c>
      <c r="G1557" s="3">
        <v>3232.59</v>
      </c>
      <c r="H1557" s="3">
        <f>Table1[[#This Row],[Sale]]-Table1[[#This Row],[Cost]]</f>
        <v>387.91000000000031</v>
      </c>
      <c r="I1557" s="4">
        <f>Table1[[#This Row],[Profit]]/Table1[[#This Row],[Sale]]</f>
        <v>0.11999975252042488</v>
      </c>
      <c r="J1557" s="5">
        <f t="shared" si="48"/>
        <v>2005</v>
      </c>
      <c r="K1557" s="5">
        <f>MONTH(Table1[[#This Row],[Date]])</f>
        <v>7</v>
      </c>
      <c r="L1557" s="5">
        <f>DAY(Table1[[#This Row],[Date]])</f>
        <v>15</v>
      </c>
      <c r="M1557" s="5" t="str">
        <f t="shared" si="49"/>
        <v>Jul</v>
      </c>
    </row>
    <row r="1558" spans="1:13" x14ac:dyDescent="0.25">
      <c r="A1558" s="2">
        <v>38202</v>
      </c>
      <c r="B1558" t="s">
        <v>21</v>
      </c>
      <c r="C1558" t="s">
        <v>27</v>
      </c>
      <c r="D1558" t="s">
        <v>28</v>
      </c>
      <c r="E1558" t="s">
        <v>14</v>
      </c>
      <c r="F1558" s="3">
        <v>1271.6300000000001</v>
      </c>
      <c r="G1558" s="3">
        <v>2825.85</v>
      </c>
      <c r="H1558" s="3">
        <f>Table1[[#This Row],[Sale]]-Table1[[#This Row],[Cost]]</f>
        <v>1554.2199999999998</v>
      </c>
      <c r="I1558" s="4">
        <f>Table1[[#This Row],[Profit]]/Table1[[#This Row],[Sale]]</f>
        <v>0.55000088468956243</v>
      </c>
      <c r="J1558" s="5">
        <f t="shared" si="48"/>
        <v>2004</v>
      </c>
      <c r="K1558" s="5">
        <f>MONTH(Table1[[#This Row],[Date]])</f>
        <v>8</v>
      </c>
      <c r="L1558" s="5">
        <f>DAY(Table1[[#This Row],[Date]])</f>
        <v>3</v>
      </c>
      <c r="M1558" s="5" t="str">
        <f t="shared" si="49"/>
        <v>Aug</v>
      </c>
    </row>
    <row r="1559" spans="1:13" x14ac:dyDescent="0.25">
      <c r="A1559" s="2">
        <v>38576</v>
      </c>
      <c r="B1559" t="s">
        <v>21</v>
      </c>
      <c r="C1559" t="s">
        <v>23</v>
      </c>
      <c r="D1559" t="s">
        <v>16</v>
      </c>
      <c r="E1559" t="s">
        <v>24</v>
      </c>
      <c r="F1559" s="3">
        <v>661.54</v>
      </c>
      <c r="G1559" s="3">
        <v>882.06</v>
      </c>
      <c r="H1559" s="3">
        <f>Table1[[#This Row],[Sale]]-Table1[[#This Row],[Cost]]</f>
        <v>220.51999999999998</v>
      </c>
      <c r="I1559" s="4">
        <f>Table1[[#This Row],[Profit]]/Table1[[#This Row],[Sale]]</f>
        <v>0.25000566854862483</v>
      </c>
      <c r="J1559" s="5">
        <f t="shared" si="48"/>
        <v>2005</v>
      </c>
      <c r="K1559" s="5">
        <f>MONTH(Table1[[#This Row],[Date]])</f>
        <v>8</v>
      </c>
      <c r="L1559" s="5">
        <f>DAY(Table1[[#This Row],[Date]])</f>
        <v>12</v>
      </c>
      <c r="M1559" s="5" t="str">
        <f t="shared" si="49"/>
        <v>Aug</v>
      </c>
    </row>
    <row r="1560" spans="1:13" x14ac:dyDescent="0.25">
      <c r="A1560" s="2">
        <v>38589</v>
      </c>
      <c r="B1560" t="s">
        <v>26</v>
      </c>
      <c r="C1560" t="s">
        <v>27</v>
      </c>
      <c r="D1560" t="s">
        <v>13</v>
      </c>
      <c r="E1560" t="s">
        <v>20</v>
      </c>
      <c r="F1560" s="3">
        <v>2050.4499999999998</v>
      </c>
      <c r="G1560" s="3">
        <v>3535.25</v>
      </c>
      <c r="H1560" s="3">
        <f>Table1[[#This Row],[Sale]]-Table1[[#This Row],[Cost]]</f>
        <v>1484.8000000000002</v>
      </c>
      <c r="I1560" s="4">
        <f>Table1[[#This Row],[Profit]]/Table1[[#This Row],[Sale]]</f>
        <v>0.41999858567286619</v>
      </c>
      <c r="J1560" s="5">
        <f t="shared" si="48"/>
        <v>2005</v>
      </c>
      <c r="K1560" s="5">
        <f>MONTH(Table1[[#This Row],[Date]])</f>
        <v>8</v>
      </c>
      <c r="L1560" s="5">
        <f>DAY(Table1[[#This Row],[Date]])</f>
        <v>25</v>
      </c>
      <c r="M1560" s="5" t="str">
        <f t="shared" si="49"/>
        <v>Aug</v>
      </c>
    </row>
    <row r="1561" spans="1:13" x14ac:dyDescent="0.25">
      <c r="A1561" s="2">
        <v>38714</v>
      </c>
      <c r="B1561" t="s">
        <v>17</v>
      </c>
      <c r="C1561" t="s">
        <v>29</v>
      </c>
      <c r="D1561" t="s">
        <v>16</v>
      </c>
      <c r="E1561" t="s">
        <v>14</v>
      </c>
      <c r="F1561" s="3">
        <v>1774.54</v>
      </c>
      <c r="G1561" s="3">
        <v>3007.69</v>
      </c>
      <c r="H1561" s="3">
        <f>Table1[[#This Row],[Sale]]-Table1[[#This Row],[Cost]]</f>
        <v>1233.1500000000001</v>
      </c>
      <c r="I1561" s="4">
        <f>Table1[[#This Row],[Profit]]/Table1[[#This Row],[Sale]]</f>
        <v>0.40999903580488684</v>
      </c>
      <c r="J1561" s="5">
        <f t="shared" si="48"/>
        <v>2005</v>
      </c>
      <c r="K1561" s="5">
        <f>MONTH(Table1[[#This Row],[Date]])</f>
        <v>12</v>
      </c>
      <c r="L1561" s="5">
        <f>DAY(Table1[[#This Row],[Date]])</f>
        <v>28</v>
      </c>
      <c r="M1561" s="5" t="str">
        <f t="shared" si="49"/>
        <v>Dec</v>
      </c>
    </row>
    <row r="1562" spans="1:13" x14ac:dyDescent="0.25">
      <c r="A1562" s="2">
        <v>38384</v>
      </c>
      <c r="B1562" t="s">
        <v>11</v>
      </c>
      <c r="C1562" t="s">
        <v>23</v>
      </c>
      <c r="D1562" t="s">
        <v>19</v>
      </c>
      <c r="E1562" t="s">
        <v>24</v>
      </c>
      <c r="F1562" s="3">
        <v>1760.2</v>
      </c>
      <c r="G1562" s="3">
        <v>1882.57</v>
      </c>
      <c r="H1562" s="3">
        <f>Table1[[#This Row],[Sale]]-Table1[[#This Row],[Cost]]</f>
        <v>122.36999999999989</v>
      </c>
      <c r="I1562" s="4">
        <f>Table1[[#This Row],[Profit]]/Table1[[#This Row],[Sale]]</f>
        <v>6.500156700680447E-2</v>
      </c>
      <c r="J1562" s="5">
        <f t="shared" si="48"/>
        <v>2005</v>
      </c>
      <c r="K1562" s="5">
        <f>MONTH(Table1[[#This Row],[Date]])</f>
        <v>2</v>
      </c>
      <c r="L1562" s="5">
        <f>DAY(Table1[[#This Row],[Date]])</f>
        <v>1</v>
      </c>
      <c r="M1562" s="5" t="str">
        <f t="shared" si="49"/>
        <v>Feb</v>
      </c>
    </row>
    <row r="1563" spans="1:13" x14ac:dyDescent="0.25">
      <c r="A1563" s="2">
        <v>38527</v>
      </c>
      <c r="B1563" t="s">
        <v>26</v>
      </c>
      <c r="C1563" t="s">
        <v>12</v>
      </c>
      <c r="D1563" t="s">
        <v>19</v>
      </c>
      <c r="E1563" t="s">
        <v>14</v>
      </c>
      <c r="F1563" s="3">
        <v>555.74</v>
      </c>
      <c r="G1563" s="3">
        <v>941.93</v>
      </c>
      <c r="H1563" s="3">
        <f>Table1[[#This Row],[Sale]]-Table1[[#This Row],[Cost]]</f>
        <v>386.18999999999994</v>
      </c>
      <c r="I1563" s="4">
        <f>Table1[[#This Row],[Profit]]/Table1[[#This Row],[Sale]]</f>
        <v>0.40999861985497854</v>
      </c>
      <c r="J1563" s="5">
        <f t="shared" si="48"/>
        <v>2005</v>
      </c>
      <c r="K1563" s="5">
        <f>MONTH(Table1[[#This Row],[Date]])</f>
        <v>6</v>
      </c>
      <c r="L1563" s="5">
        <f>DAY(Table1[[#This Row],[Date]])</f>
        <v>24</v>
      </c>
      <c r="M1563" s="5" t="str">
        <f t="shared" si="49"/>
        <v>Jun</v>
      </c>
    </row>
    <row r="1564" spans="1:13" x14ac:dyDescent="0.25">
      <c r="A1564" s="2">
        <v>38855</v>
      </c>
      <c r="B1564" t="s">
        <v>26</v>
      </c>
      <c r="C1564" t="s">
        <v>18</v>
      </c>
      <c r="D1564" t="s">
        <v>28</v>
      </c>
      <c r="E1564" t="s">
        <v>24</v>
      </c>
      <c r="F1564" s="3">
        <v>8649.2800000000007</v>
      </c>
      <c r="G1564" s="3">
        <v>9250.57</v>
      </c>
      <c r="H1564" s="3">
        <f>Table1[[#This Row],[Sale]]-Table1[[#This Row],[Cost]]</f>
        <v>601.28999999999905</v>
      </c>
      <c r="I1564" s="4">
        <f>Table1[[#This Row],[Profit]]/Table1[[#This Row],[Sale]]</f>
        <v>6.5000318899267731E-2</v>
      </c>
      <c r="J1564" s="5">
        <f t="shared" si="48"/>
        <v>2006</v>
      </c>
      <c r="K1564" s="5">
        <f>MONTH(Table1[[#This Row],[Date]])</f>
        <v>5</v>
      </c>
      <c r="L1564" s="5">
        <f>DAY(Table1[[#This Row],[Date]])</f>
        <v>18</v>
      </c>
      <c r="M1564" s="5" t="str">
        <f t="shared" si="49"/>
        <v>May</v>
      </c>
    </row>
    <row r="1565" spans="1:13" x14ac:dyDescent="0.25">
      <c r="A1565" s="2">
        <v>38736</v>
      </c>
      <c r="B1565" t="s">
        <v>11</v>
      </c>
      <c r="C1565" t="s">
        <v>27</v>
      </c>
      <c r="D1565" t="s">
        <v>16</v>
      </c>
      <c r="E1565" t="s">
        <v>25</v>
      </c>
      <c r="F1565" s="3">
        <v>913.62</v>
      </c>
      <c r="G1565" s="3">
        <v>2469.2399999999998</v>
      </c>
      <c r="H1565" s="3">
        <f>Table1[[#This Row],[Sale]]-Table1[[#This Row],[Cost]]</f>
        <v>1555.62</v>
      </c>
      <c r="I1565" s="4">
        <f>Table1[[#This Row],[Profit]]/Table1[[#This Row],[Sale]]</f>
        <v>0.62999951402050836</v>
      </c>
      <c r="J1565" s="5">
        <f t="shared" si="48"/>
        <v>2006</v>
      </c>
      <c r="K1565" s="5">
        <f>MONTH(Table1[[#This Row],[Date]])</f>
        <v>1</v>
      </c>
      <c r="L1565" s="5">
        <f>DAY(Table1[[#This Row],[Date]])</f>
        <v>19</v>
      </c>
      <c r="M1565" s="5" t="str">
        <f t="shared" si="49"/>
        <v>Jan</v>
      </c>
    </row>
    <row r="1566" spans="1:13" x14ac:dyDescent="0.25">
      <c r="A1566" s="2">
        <v>38409</v>
      </c>
      <c r="B1566" t="s">
        <v>15</v>
      </c>
      <c r="C1566" t="s">
        <v>23</v>
      </c>
      <c r="D1566" t="s">
        <v>13</v>
      </c>
      <c r="E1566" t="s">
        <v>20</v>
      </c>
      <c r="F1566" s="3">
        <v>3176.73</v>
      </c>
      <c r="G1566" s="3">
        <v>4235.6400000000003</v>
      </c>
      <c r="H1566" s="3">
        <f>Table1[[#This Row],[Sale]]-Table1[[#This Row],[Cost]]</f>
        <v>1058.9100000000003</v>
      </c>
      <c r="I1566" s="4">
        <f>Table1[[#This Row],[Profit]]/Table1[[#This Row],[Sale]]</f>
        <v>0.25000000000000006</v>
      </c>
      <c r="J1566" s="5">
        <f t="shared" si="48"/>
        <v>2005</v>
      </c>
      <c r="K1566" s="5">
        <f>MONTH(Table1[[#This Row],[Date]])</f>
        <v>2</v>
      </c>
      <c r="L1566" s="5">
        <f>DAY(Table1[[#This Row],[Date]])</f>
        <v>26</v>
      </c>
      <c r="M1566" s="5" t="str">
        <f t="shared" si="49"/>
        <v>Feb</v>
      </c>
    </row>
    <row r="1567" spans="1:13" x14ac:dyDescent="0.25">
      <c r="A1567" s="2">
        <v>38345</v>
      </c>
      <c r="B1567" t="s">
        <v>22</v>
      </c>
      <c r="C1567" t="s">
        <v>23</v>
      </c>
      <c r="D1567" t="s">
        <v>19</v>
      </c>
      <c r="E1567" t="s">
        <v>20</v>
      </c>
      <c r="F1567" s="3">
        <v>435.4</v>
      </c>
      <c r="G1567" s="3">
        <v>1012.56</v>
      </c>
      <c r="H1567" s="3">
        <f>Table1[[#This Row],[Sale]]-Table1[[#This Row],[Cost]]</f>
        <v>577.16</v>
      </c>
      <c r="I1567" s="4">
        <f>Table1[[#This Row],[Profit]]/Table1[[#This Row],[Sale]]</f>
        <v>0.5700007900766374</v>
      </c>
      <c r="J1567" s="5">
        <f t="shared" si="48"/>
        <v>2004</v>
      </c>
      <c r="K1567" s="5">
        <f>MONTH(Table1[[#This Row],[Date]])</f>
        <v>12</v>
      </c>
      <c r="L1567" s="5">
        <f>DAY(Table1[[#This Row],[Date]])</f>
        <v>24</v>
      </c>
      <c r="M1567" s="5" t="str">
        <f t="shared" si="49"/>
        <v>Dec</v>
      </c>
    </row>
    <row r="1568" spans="1:13" x14ac:dyDescent="0.25">
      <c r="A1568" s="2">
        <v>38505</v>
      </c>
      <c r="B1568" t="s">
        <v>21</v>
      </c>
      <c r="C1568" t="s">
        <v>27</v>
      </c>
      <c r="D1568" t="s">
        <v>28</v>
      </c>
      <c r="E1568" t="s">
        <v>25</v>
      </c>
      <c r="F1568" s="3">
        <v>6767.95</v>
      </c>
      <c r="G1568" s="3">
        <v>9023.93</v>
      </c>
      <c r="H1568" s="3">
        <f>Table1[[#This Row],[Sale]]-Table1[[#This Row],[Cost]]</f>
        <v>2255.9800000000005</v>
      </c>
      <c r="I1568" s="4">
        <f>Table1[[#This Row],[Profit]]/Table1[[#This Row],[Sale]]</f>
        <v>0.24999972295884393</v>
      </c>
      <c r="J1568" s="5">
        <f t="shared" si="48"/>
        <v>2005</v>
      </c>
      <c r="K1568" s="5">
        <f>MONTH(Table1[[#This Row],[Date]])</f>
        <v>6</v>
      </c>
      <c r="L1568" s="5">
        <f>DAY(Table1[[#This Row],[Date]])</f>
        <v>2</v>
      </c>
      <c r="M1568" s="5" t="str">
        <f t="shared" si="49"/>
        <v>Jun</v>
      </c>
    </row>
    <row r="1569" spans="1:13" x14ac:dyDescent="0.25">
      <c r="A1569" s="2">
        <v>38580</v>
      </c>
      <c r="B1569" t="s">
        <v>11</v>
      </c>
      <c r="C1569" t="s">
        <v>18</v>
      </c>
      <c r="D1569" t="s">
        <v>28</v>
      </c>
      <c r="E1569" t="s">
        <v>24</v>
      </c>
      <c r="F1569" s="3">
        <v>4670.83</v>
      </c>
      <c r="G1569" s="3">
        <v>6868.87</v>
      </c>
      <c r="H1569" s="3">
        <f>Table1[[#This Row],[Sale]]-Table1[[#This Row],[Cost]]</f>
        <v>2198.04</v>
      </c>
      <c r="I1569" s="4">
        <f>Table1[[#This Row],[Profit]]/Table1[[#This Row],[Sale]]</f>
        <v>0.32000023293496599</v>
      </c>
      <c r="J1569" s="5">
        <f t="shared" si="48"/>
        <v>2005</v>
      </c>
      <c r="K1569" s="5">
        <f>MONTH(Table1[[#This Row],[Date]])</f>
        <v>8</v>
      </c>
      <c r="L1569" s="5">
        <f>DAY(Table1[[#This Row],[Date]])</f>
        <v>16</v>
      </c>
      <c r="M1569" s="5" t="str">
        <f t="shared" si="49"/>
        <v>Aug</v>
      </c>
    </row>
    <row r="1570" spans="1:13" x14ac:dyDescent="0.25">
      <c r="A1570" s="2">
        <v>38168</v>
      </c>
      <c r="B1570" t="s">
        <v>11</v>
      </c>
      <c r="C1570" t="s">
        <v>27</v>
      </c>
      <c r="D1570" t="s">
        <v>28</v>
      </c>
      <c r="E1570" t="s">
        <v>25</v>
      </c>
      <c r="F1570" s="3">
        <v>2705.61</v>
      </c>
      <c r="G1570" s="3">
        <v>4919.29</v>
      </c>
      <c r="H1570" s="3">
        <f>Table1[[#This Row],[Sale]]-Table1[[#This Row],[Cost]]</f>
        <v>2213.6799999999998</v>
      </c>
      <c r="I1570" s="4">
        <f>Table1[[#This Row],[Profit]]/Table1[[#This Row],[Sale]]</f>
        <v>0.44999989835931603</v>
      </c>
      <c r="J1570" s="5">
        <f t="shared" si="48"/>
        <v>2004</v>
      </c>
      <c r="K1570" s="5">
        <f>MONTH(Table1[[#This Row],[Date]])</f>
        <v>6</v>
      </c>
      <c r="L1570" s="5">
        <f>DAY(Table1[[#This Row],[Date]])</f>
        <v>30</v>
      </c>
      <c r="M1570" s="5" t="str">
        <f t="shared" si="49"/>
        <v>Jun</v>
      </c>
    </row>
    <row r="1571" spans="1:13" x14ac:dyDescent="0.25">
      <c r="A1571" s="2">
        <v>38226</v>
      </c>
      <c r="B1571" t="s">
        <v>17</v>
      </c>
      <c r="C1571" t="s">
        <v>27</v>
      </c>
      <c r="D1571" t="s">
        <v>19</v>
      </c>
      <c r="E1571" t="s">
        <v>24</v>
      </c>
      <c r="F1571" s="3">
        <v>1441.14</v>
      </c>
      <c r="G1571" s="3">
        <v>2442.61</v>
      </c>
      <c r="H1571" s="3">
        <f>Table1[[#This Row],[Sale]]-Table1[[#This Row],[Cost]]</f>
        <v>1001.47</v>
      </c>
      <c r="I1571" s="4">
        <f>Table1[[#This Row],[Profit]]/Table1[[#This Row],[Sale]]</f>
        <v>0.4099999590601856</v>
      </c>
      <c r="J1571" s="5">
        <f t="shared" si="48"/>
        <v>2004</v>
      </c>
      <c r="K1571" s="5">
        <f>MONTH(Table1[[#This Row],[Date]])</f>
        <v>8</v>
      </c>
      <c r="L1571" s="5">
        <f>DAY(Table1[[#This Row],[Date]])</f>
        <v>27</v>
      </c>
      <c r="M1571" s="5" t="str">
        <f t="shared" si="49"/>
        <v>Aug</v>
      </c>
    </row>
    <row r="1572" spans="1:13" x14ac:dyDescent="0.25">
      <c r="A1572" s="2">
        <v>38363</v>
      </c>
      <c r="B1572" t="s">
        <v>11</v>
      </c>
      <c r="C1572" t="s">
        <v>27</v>
      </c>
      <c r="D1572" t="s">
        <v>19</v>
      </c>
      <c r="E1572" t="s">
        <v>24</v>
      </c>
      <c r="F1572" s="3">
        <v>6171.5</v>
      </c>
      <c r="G1572" s="3">
        <v>8228.66</v>
      </c>
      <c r="H1572" s="3">
        <f>Table1[[#This Row],[Sale]]-Table1[[#This Row],[Cost]]</f>
        <v>2057.16</v>
      </c>
      <c r="I1572" s="4">
        <f>Table1[[#This Row],[Profit]]/Table1[[#This Row],[Sale]]</f>
        <v>0.24999939236765159</v>
      </c>
      <c r="J1572" s="5">
        <f t="shared" si="48"/>
        <v>2005</v>
      </c>
      <c r="K1572" s="5">
        <f>MONTH(Table1[[#This Row],[Date]])</f>
        <v>1</v>
      </c>
      <c r="L1572" s="5">
        <f>DAY(Table1[[#This Row],[Date]])</f>
        <v>11</v>
      </c>
      <c r="M1572" s="5" t="str">
        <f t="shared" si="49"/>
        <v>Jan</v>
      </c>
    </row>
    <row r="1573" spans="1:13" x14ac:dyDescent="0.25">
      <c r="A1573" s="2">
        <v>38750</v>
      </c>
      <c r="B1573" t="s">
        <v>11</v>
      </c>
      <c r="C1573" t="s">
        <v>23</v>
      </c>
      <c r="D1573" t="s">
        <v>28</v>
      </c>
      <c r="E1573" t="s">
        <v>14</v>
      </c>
      <c r="F1573" s="3">
        <v>3025.76</v>
      </c>
      <c r="G1573" s="3">
        <v>3236.11</v>
      </c>
      <c r="H1573" s="3">
        <f>Table1[[#This Row],[Sale]]-Table1[[#This Row],[Cost]]</f>
        <v>210.34999999999991</v>
      </c>
      <c r="I1573" s="4">
        <f>Table1[[#This Row],[Profit]]/Table1[[#This Row],[Sale]]</f>
        <v>6.5000880686997636E-2</v>
      </c>
      <c r="J1573" s="5">
        <f t="shared" si="48"/>
        <v>2006</v>
      </c>
      <c r="K1573" s="5">
        <f>MONTH(Table1[[#This Row],[Date]])</f>
        <v>2</v>
      </c>
      <c r="L1573" s="5">
        <f>DAY(Table1[[#This Row],[Date]])</f>
        <v>2</v>
      </c>
      <c r="M1573" s="5" t="str">
        <f t="shared" si="49"/>
        <v>Feb</v>
      </c>
    </row>
    <row r="1574" spans="1:13" x14ac:dyDescent="0.25">
      <c r="A1574" s="2">
        <v>38607</v>
      </c>
      <c r="B1574" t="s">
        <v>17</v>
      </c>
      <c r="C1574" t="s">
        <v>27</v>
      </c>
      <c r="D1574" t="s">
        <v>19</v>
      </c>
      <c r="E1574" t="s">
        <v>20</v>
      </c>
      <c r="F1574" s="3">
        <v>2381.25</v>
      </c>
      <c r="G1574" s="3">
        <v>4329.54</v>
      </c>
      <c r="H1574" s="3">
        <f>Table1[[#This Row],[Sale]]-Table1[[#This Row],[Cost]]</f>
        <v>1948.29</v>
      </c>
      <c r="I1574" s="4">
        <f>Table1[[#This Row],[Profit]]/Table1[[#This Row],[Sale]]</f>
        <v>0.44999930708574121</v>
      </c>
      <c r="J1574" s="5">
        <f t="shared" si="48"/>
        <v>2005</v>
      </c>
      <c r="K1574" s="5">
        <f>MONTH(Table1[[#This Row],[Date]])</f>
        <v>9</v>
      </c>
      <c r="L1574" s="5">
        <f>DAY(Table1[[#This Row],[Date]])</f>
        <v>12</v>
      </c>
      <c r="M1574" s="5" t="str">
        <f t="shared" si="49"/>
        <v>Sep</v>
      </c>
    </row>
    <row r="1575" spans="1:13" x14ac:dyDescent="0.25">
      <c r="A1575" s="2">
        <v>38792</v>
      </c>
      <c r="B1575" t="s">
        <v>11</v>
      </c>
      <c r="C1575" t="s">
        <v>29</v>
      </c>
      <c r="D1575" t="s">
        <v>28</v>
      </c>
      <c r="E1575" t="s">
        <v>24</v>
      </c>
      <c r="F1575" s="3">
        <v>3494.46</v>
      </c>
      <c r="G1575" s="3">
        <v>7765.47</v>
      </c>
      <c r="H1575" s="3">
        <f>Table1[[#This Row],[Sale]]-Table1[[#This Row],[Cost]]</f>
        <v>4271.01</v>
      </c>
      <c r="I1575" s="4">
        <f>Table1[[#This Row],[Profit]]/Table1[[#This Row],[Sale]]</f>
        <v>0.55000019316280924</v>
      </c>
      <c r="J1575" s="5">
        <f t="shared" si="48"/>
        <v>2006</v>
      </c>
      <c r="K1575" s="5">
        <f>MONTH(Table1[[#This Row],[Date]])</f>
        <v>3</v>
      </c>
      <c r="L1575" s="5">
        <f>DAY(Table1[[#This Row],[Date]])</f>
        <v>16</v>
      </c>
      <c r="M1575" s="5" t="str">
        <f t="shared" si="49"/>
        <v>Mar</v>
      </c>
    </row>
    <row r="1576" spans="1:13" x14ac:dyDescent="0.25">
      <c r="A1576" s="2">
        <v>38856</v>
      </c>
      <c r="B1576" t="s">
        <v>11</v>
      </c>
      <c r="C1576" t="s">
        <v>23</v>
      </c>
      <c r="D1576" t="s">
        <v>13</v>
      </c>
      <c r="E1576" t="s">
        <v>24</v>
      </c>
      <c r="F1576" s="3">
        <v>1458.24</v>
      </c>
      <c r="G1576" s="3">
        <v>2651.35</v>
      </c>
      <c r="H1576" s="3">
        <f>Table1[[#This Row],[Sale]]-Table1[[#This Row],[Cost]]</f>
        <v>1193.1099999999999</v>
      </c>
      <c r="I1576" s="4">
        <f>Table1[[#This Row],[Profit]]/Table1[[#This Row],[Sale]]</f>
        <v>0.450000942915873</v>
      </c>
      <c r="J1576" s="5">
        <f t="shared" si="48"/>
        <v>2006</v>
      </c>
      <c r="K1576" s="5">
        <f>MONTH(Table1[[#This Row],[Date]])</f>
        <v>5</v>
      </c>
      <c r="L1576" s="5">
        <f>DAY(Table1[[#This Row],[Date]])</f>
        <v>19</v>
      </c>
      <c r="M1576" s="5" t="str">
        <f t="shared" si="49"/>
        <v>May</v>
      </c>
    </row>
    <row r="1577" spans="1:13" x14ac:dyDescent="0.25">
      <c r="A1577" s="2">
        <v>38369</v>
      </c>
      <c r="B1577" t="s">
        <v>11</v>
      </c>
      <c r="C1577" t="s">
        <v>27</v>
      </c>
      <c r="D1577" t="s">
        <v>13</v>
      </c>
      <c r="E1577" t="s">
        <v>24</v>
      </c>
      <c r="F1577" s="3">
        <v>3119.09</v>
      </c>
      <c r="G1577" s="3">
        <v>3335.92</v>
      </c>
      <c r="H1577" s="3">
        <f>Table1[[#This Row],[Sale]]-Table1[[#This Row],[Cost]]</f>
        <v>216.82999999999993</v>
      </c>
      <c r="I1577" s="4">
        <f>Table1[[#This Row],[Profit]]/Table1[[#This Row],[Sale]]</f>
        <v>6.4998561116573511E-2</v>
      </c>
      <c r="J1577" s="5">
        <f t="shared" si="48"/>
        <v>2005</v>
      </c>
      <c r="K1577" s="5">
        <f>MONTH(Table1[[#This Row],[Date]])</f>
        <v>1</v>
      </c>
      <c r="L1577" s="5">
        <f>DAY(Table1[[#This Row],[Date]])</f>
        <v>17</v>
      </c>
      <c r="M1577" s="5" t="str">
        <f t="shared" si="49"/>
        <v>Jan</v>
      </c>
    </row>
    <row r="1578" spans="1:13" x14ac:dyDescent="0.25">
      <c r="A1578" s="2">
        <v>38189</v>
      </c>
      <c r="B1578" t="s">
        <v>21</v>
      </c>
      <c r="C1578" t="s">
        <v>29</v>
      </c>
      <c r="D1578" t="s">
        <v>28</v>
      </c>
      <c r="E1578" t="s">
        <v>24</v>
      </c>
      <c r="F1578" s="3">
        <v>3119.56</v>
      </c>
      <c r="G1578" s="3">
        <v>7254.79</v>
      </c>
      <c r="H1578" s="3">
        <f>Table1[[#This Row],[Sale]]-Table1[[#This Row],[Cost]]</f>
        <v>4135.2299999999996</v>
      </c>
      <c r="I1578" s="4">
        <f>Table1[[#This Row],[Profit]]/Table1[[#This Row],[Sale]]</f>
        <v>0.56999995864801045</v>
      </c>
      <c r="J1578" s="5">
        <f t="shared" si="48"/>
        <v>2004</v>
      </c>
      <c r="K1578" s="5">
        <f>MONTH(Table1[[#This Row],[Date]])</f>
        <v>7</v>
      </c>
      <c r="L1578" s="5">
        <f>DAY(Table1[[#This Row],[Date]])</f>
        <v>21</v>
      </c>
      <c r="M1578" s="5" t="str">
        <f t="shared" si="49"/>
        <v>Jul</v>
      </c>
    </row>
    <row r="1579" spans="1:13" x14ac:dyDescent="0.25">
      <c r="A1579" s="2">
        <v>38768</v>
      </c>
      <c r="B1579" t="s">
        <v>22</v>
      </c>
      <c r="C1579" t="s">
        <v>29</v>
      </c>
      <c r="D1579" t="s">
        <v>13</v>
      </c>
      <c r="E1579" t="s">
        <v>24</v>
      </c>
      <c r="F1579" s="3">
        <v>3507.3</v>
      </c>
      <c r="G1579" s="3">
        <v>3985.57</v>
      </c>
      <c r="H1579" s="3">
        <f>Table1[[#This Row],[Sale]]-Table1[[#This Row],[Cost]]</f>
        <v>478.27</v>
      </c>
      <c r="I1579" s="4">
        <f>Table1[[#This Row],[Profit]]/Table1[[#This Row],[Sale]]</f>
        <v>0.12000040144822446</v>
      </c>
      <c r="J1579" s="5">
        <f t="shared" si="48"/>
        <v>2006</v>
      </c>
      <c r="K1579" s="5">
        <f>MONTH(Table1[[#This Row],[Date]])</f>
        <v>2</v>
      </c>
      <c r="L1579" s="5">
        <f>DAY(Table1[[#This Row],[Date]])</f>
        <v>20</v>
      </c>
      <c r="M1579" s="5" t="str">
        <f t="shared" si="49"/>
        <v>Feb</v>
      </c>
    </row>
    <row r="1580" spans="1:13" x14ac:dyDescent="0.25">
      <c r="A1580" s="2">
        <v>38513</v>
      </c>
      <c r="B1580" t="s">
        <v>22</v>
      </c>
      <c r="C1580" t="s">
        <v>18</v>
      </c>
      <c r="D1580" t="s">
        <v>13</v>
      </c>
      <c r="E1580" t="s">
        <v>20</v>
      </c>
      <c r="F1580" s="3">
        <v>1411.17</v>
      </c>
      <c r="G1580" s="3">
        <v>3281.8</v>
      </c>
      <c r="H1580" s="3">
        <f>Table1[[#This Row],[Sale]]-Table1[[#This Row],[Cost]]</f>
        <v>1870.63</v>
      </c>
      <c r="I1580" s="4">
        <f>Table1[[#This Row],[Profit]]/Table1[[#This Row],[Sale]]</f>
        <v>0.57000121884331767</v>
      </c>
      <c r="J1580" s="5">
        <f t="shared" si="48"/>
        <v>2005</v>
      </c>
      <c r="K1580" s="5">
        <f>MONTH(Table1[[#This Row],[Date]])</f>
        <v>6</v>
      </c>
      <c r="L1580" s="5">
        <f>DAY(Table1[[#This Row],[Date]])</f>
        <v>10</v>
      </c>
      <c r="M1580" s="5" t="str">
        <f t="shared" si="49"/>
        <v>Jun</v>
      </c>
    </row>
    <row r="1581" spans="1:13" x14ac:dyDescent="0.25">
      <c r="A1581" s="2">
        <v>38528</v>
      </c>
      <c r="B1581" t="s">
        <v>22</v>
      </c>
      <c r="C1581" t="s">
        <v>12</v>
      </c>
      <c r="D1581" t="s">
        <v>16</v>
      </c>
      <c r="E1581" t="s">
        <v>24</v>
      </c>
      <c r="F1581" s="3">
        <v>3633.5</v>
      </c>
      <c r="G1581" s="3">
        <v>6606.36</v>
      </c>
      <c r="H1581" s="3">
        <f>Table1[[#This Row],[Sale]]-Table1[[#This Row],[Cost]]</f>
        <v>2972.8599999999997</v>
      </c>
      <c r="I1581" s="4">
        <f>Table1[[#This Row],[Profit]]/Table1[[#This Row],[Sale]]</f>
        <v>0.44999969726142686</v>
      </c>
      <c r="J1581" s="5">
        <f t="shared" si="48"/>
        <v>2005</v>
      </c>
      <c r="K1581" s="5">
        <f>MONTH(Table1[[#This Row],[Date]])</f>
        <v>6</v>
      </c>
      <c r="L1581" s="5">
        <f>DAY(Table1[[#This Row],[Date]])</f>
        <v>25</v>
      </c>
      <c r="M1581" s="5" t="str">
        <f t="shared" si="49"/>
        <v>Jun</v>
      </c>
    </row>
    <row r="1582" spans="1:13" x14ac:dyDescent="0.25">
      <c r="A1582" s="2">
        <v>38348</v>
      </c>
      <c r="B1582" t="s">
        <v>26</v>
      </c>
      <c r="C1582" t="s">
        <v>12</v>
      </c>
      <c r="D1582" t="s">
        <v>28</v>
      </c>
      <c r="E1582" t="s">
        <v>14</v>
      </c>
      <c r="F1582" s="3">
        <v>5832.41</v>
      </c>
      <c r="G1582" s="3">
        <v>7776.55</v>
      </c>
      <c r="H1582" s="3">
        <f>Table1[[#This Row],[Sale]]-Table1[[#This Row],[Cost]]</f>
        <v>1944.1400000000003</v>
      </c>
      <c r="I1582" s="4">
        <f>Table1[[#This Row],[Profit]]/Table1[[#This Row],[Sale]]</f>
        <v>0.25000032147931928</v>
      </c>
      <c r="J1582" s="5">
        <f t="shared" si="48"/>
        <v>2004</v>
      </c>
      <c r="K1582" s="5">
        <f>MONTH(Table1[[#This Row],[Date]])</f>
        <v>12</v>
      </c>
      <c r="L1582" s="5">
        <f>DAY(Table1[[#This Row],[Date]])</f>
        <v>27</v>
      </c>
      <c r="M1582" s="5" t="str">
        <f t="shared" si="49"/>
        <v>Dec</v>
      </c>
    </row>
    <row r="1583" spans="1:13" x14ac:dyDescent="0.25">
      <c r="A1583" s="2">
        <v>38816</v>
      </c>
      <c r="B1583" t="s">
        <v>11</v>
      </c>
      <c r="C1583" t="s">
        <v>29</v>
      </c>
      <c r="D1583" t="s">
        <v>19</v>
      </c>
      <c r="E1583" t="s">
        <v>14</v>
      </c>
      <c r="F1583" s="3">
        <v>1126.71</v>
      </c>
      <c r="G1583" s="3">
        <v>2048.56</v>
      </c>
      <c r="H1583" s="3">
        <f>Table1[[#This Row],[Sale]]-Table1[[#This Row],[Cost]]</f>
        <v>921.84999999999991</v>
      </c>
      <c r="I1583" s="4">
        <f>Table1[[#This Row],[Profit]]/Table1[[#This Row],[Sale]]</f>
        <v>0.44999902370445577</v>
      </c>
      <c r="J1583" s="5">
        <f t="shared" si="48"/>
        <v>2006</v>
      </c>
      <c r="K1583" s="5">
        <f>MONTH(Table1[[#This Row],[Date]])</f>
        <v>4</v>
      </c>
      <c r="L1583" s="5">
        <f>DAY(Table1[[#This Row],[Date]])</f>
        <v>9</v>
      </c>
      <c r="M1583" s="5" t="str">
        <f t="shared" si="49"/>
        <v>Apr</v>
      </c>
    </row>
    <row r="1584" spans="1:13" x14ac:dyDescent="0.25">
      <c r="A1584" s="2">
        <v>38659</v>
      </c>
      <c r="B1584" t="s">
        <v>15</v>
      </c>
      <c r="C1584" t="s">
        <v>18</v>
      </c>
      <c r="D1584" t="s">
        <v>13</v>
      </c>
      <c r="E1584" t="s">
        <v>14</v>
      </c>
      <c r="F1584" s="3">
        <v>3516.6</v>
      </c>
      <c r="G1584" s="3">
        <v>6393.82</v>
      </c>
      <c r="H1584" s="3">
        <f>Table1[[#This Row],[Sale]]-Table1[[#This Row],[Cost]]</f>
        <v>2877.22</v>
      </c>
      <c r="I1584" s="4">
        <f>Table1[[#This Row],[Profit]]/Table1[[#This Row],[Sale]]</f>
        <v>0.45000015640102475</v>
      </c>
      <c r="J1584" s="5">
        <f t="shared" si="48"/>
        <v>2005</v>
      </c>
      <c r="K1584" s="5">
        <f>MONTH(Table1[[#This Row],[Date]])</f>
        <v>11</v>
      </c>
      <c r="L1584" s="5">
        <f>DAY(Table1[[#This Row],[Date]])</f>
        <v>3</v>
      </c>
      <c r="M1584" s="5" t="str">
        <f t="shared" si="49"/>
        <v>Nov</v>
      </c>
    </row>
    <row r="1585" spans="1:13" x14ac:dyDescent="0.25">
      <c r="A1585" s="2">
        <v>38873</v>
      </c>
      <c r="B1585" t="s">
        <v>22</v>
      </c>
      <c r="C1585" t="s">
        <v>29</v>
      </c>
      <c r="D1585" t="s">
        <v>19</v>
      </c>
      <c r="E1585" t="s">
        <v>20</v>
      </c>
      <c r="F1585" s="3">
        <v>1755.66</v>
      </c>
      <c r="G1585" s="3">
        <v>2581.85</v>
      </c>
      <c r="H1585" s="3">
        <f>Table1[[#This Row],[Sale]]-Table1[[#This Row],[Cost]]</f>
        <v>826.18999999999983</v>
      </c>
      <c r="I1585" s="4">
        <f>Table1[[#This Row],[Profit]]/Table1[[#This Row],[Sale]]</f>
        <v>0.3199992253616592</v>
      </c>
      <c r="J1585" s="5">
        <f t="shared" si="48"/>
        <v>2006</v>
      </c>
      <c r="K1585" s="5">
        <f>MONTH(Table1[[#This Row],[Date]])</f>
        <v>6</v>
      </c>
      <c r="L1585" s="5">
        <f>DAY(Table1[[#This Row],[Date]])</f>
        <v>5</v>
      </c>
      <c r="M1585" s="5" t="str">
        <f t="shared" si="49"/>
        <v>Jun</v>
      </c>
    </row>
    <row r="1586" spans="1:13" x14ac:dyDescent="0.25">
      <c r="A1586" s="2">
        <v>38248</v>
      </c>
      <c r="B1586" t="s">
        <v>11</v>
      </c>
      <c r="C1586" t="s">
        <v>12</v>
      </c>
      <c r="D1586" t="s">
        <v>28</v>
      </c>
      <c r="E1586" t="s">
        <v>24</v>
      </c>
      <c r="F1586" s="3">
        <v>50.73</v>
      </c>
      <c r="G1586" s="3">
        <v>74.599999999999994</v>
      </c>
      <c r="H1586" s="3">
        <f>Table1[[#This Row],[Sale]]-Table1[[#This Row],[Cost]]</f>
        <v>23.869999999999997</v>
      </c>
      <c r="I1586" s="4">
        <f>Table1[[#This Row],[Profit]]/Table1[[#This Row],[Sale]]</f>
        <v>0.31997319034852545</v>
      </c>
      <c r="J1586" s="5">
        <f t="shared" si="48"/>
        <v>2004</v>
      </c>
      <c r="K1586" s="5">
        <f>MONTH(Table1[[#This Row],[Date]])</f>
        <v>9</v>
      </c>
      <c r="L1586" s="5">
        <f>DAY(Table1[[#This Row],[Date]])</f>
        <v>18</v>
      </c>
      <c r="M1586" s="5" t="str">
        <f t="shared" si="49"/>
        <v>Sep</v>
      </c>
    </row>
    <row r="1587" spans="1:13" x14ac:dyDescent="0.25">
      <c r="A1587" s="2">
        <v>38437</v>
      </c>
      <c r="B1587" t="s">
        <v>21</v>
      </c>
      <c r="C1587" t="s">
        <v>29</v>
      </c>
      <c r="D1587" t="s">
        <v>28</v>
      </c>
      <c r="E1587" t="s">
        <v>14</v>
      </c>
      <c r="F1587" s="3">
        <v>1857.3</v>
      </c>
      <c r="G1587" s="3">
        <v>3202.25</v>
      </c>
      <c r="H1587" s="3">
        <f>Table1[[#This Row],[Sale]]-Table1[[#This Row],[Cost]]</f>
        <v>1344.95</v>
      </c>
      <c r="I1587" s="4">
        <f>Table1[[#This Row],[Profit]]/Table1[[#This Row],[Sale]]</f>
        <v>0.42000156140213912</v>
      </c>
      <c r="J1587" s="5">
        <f t="shared" si="48"/>
        <v>2005</v>
      </c>
      <c r="K1587" s="5">
        <f>MONTH(Table1[[#This Row],[Date]])</f>
        <v>3</v>
      </c>
      <c r="L1587" s="5">
        <f>DAY(Table1[[#This Row],[Date]])</f>
        <v>26</v>
      </c>
      <c r="M1587" s="5" t="str">
        <f t="shared" si="49"/>
        <v>Mar</v>
      </c>
    </row>
    <row r="1588" spans="1:13" x14ac:dyDescent="0.25">
      <c r="A1588" s="2">
        <v>38190</v>
      </c>
      <c r="B1588" t="s">
        <v>11</v>
      </c>
      <c r="C1588" t="s">
        <v>29</v>
      </c>
      <c r="D1588" t="s">
        <v>28</v>
      </c>
      <c r="E1588" t="s">
        <v>14</v>
      </c>
      <c r="F1588" s="3">
        <v>649.5</v>
      </c>
      <c r="G1588" s="3">
        <v>1180.9100000000001</v>
      </c>
      <c r="H1588" s="3">
        <f>Table1[[#This Row],[Sale]]-Table1[[#This Row],[Cost]]</f>
        <v>531.41000000000008</v>
      </c>
      <c r="I1588" s="4">
        <f>Table1[[#This Row],[Profit]]/Table1[[#This Row],[Sale]]</f>
        <v>0.45000042340229152</v>
      </c>
      <c r="J1588" s="5">
        <f t="shared" si="48"/>
        <v>2004</v>
      </c>
      <c r="K1588" s="5">
        <f>MONTH(Table1[[#This Row],[Date]])</f>
        <v>7</v>
      </c>
      <c r="L1588" s="5">
        <f>DAY(Table1[[#This Row],[Date]])</f>
        <v>22</v>
      </c>
      <c r="M1588" s="5" t="str">
        <f t="shared" si="49"/>
        <v>Jul</v>
      </c>
    </row>
    <row r="1589" spans="1:13" x14ac:dyDescent="0.25">
      <c r="A1589" s="2">
        <v>38638</v>
      </c>
      <c r="B1589" t="s">
        <v>15</v>
      </c>
      <c r="C1589" t="s">
        <v>12</v>
      </c>
      <c r="D1589" t="s">
        <v>16</v>
      </c>
      <c r="E1589" t="s">
        <v>25</v>
      </c>
      <c r="F1589" s="3">
        <v>2735.9</v>
      </c>
      <c r="G1589" s="3">
        <v>7394.32</v>
      </c>
      <c r="H1589" s="3">
        <f>Table1[[#This Row],[Sale]]-Table1[[#This Row],[Cost]]</f>
        <v>4658.42</v>
      </c>
      <c r="I1589" s="4">
        <f>Table1[[#This Row],[Profit]]/Table1[[#This Row],[Sale]]</f>
        <v>0.62999978361769582</v>
      </c>
      <c r="J1589" s="5">
        <f t="shared" si="48"/>
        <v>2005</v>
      </c>
      <c r="K1589" s="5">
        <f>MONTH(Table1[[#This Row],[Date]])</f>
        <v>10</v>
      </c>
      <c r="L1589" s="5">
        <f>DAY(Table1[[#This Row],[Date]])</f>
        <v>13</v>
      </c>
      <c r="M1589" s="5" t="str">
        <f t="shared" si="49"/>
        <v>Oct</v>
      </c>
    </row>
    <row r="1590" spans="1:13" x14ac:dyDescent="0.25">
      <c r="A1590" s="2">
        <v>38752</v>
      </c>
      <c r="B1590" t="s">
        <v>15</v>
      </c>
      <c r="C1590" t="s">
        <v>18</v>
      </c>
      <c r="D1590" t="s">
        <v>16</v>
      </c>
      <c r="E1590" t="s">
        <v>20</v>
      </c>
      <c r="F1590" s="3">
        <v>3381.49</v>
      </c>
      <c r="G1590" s="3">
        <v>9139.17</v>
      </c>
      <c r="H1590" s="3">
        <f>Table1[[#This Row],[Sale]]-Table1[[#This Row],[Cost]]</f>
        <v>5757.68</v>
      </c>
      <c r="I1590" s="4">
        <f>Table1[[#This Row],[Profit]]/Table1[[#This Row],[Sale]]</f>
        <v>0.63000031731546735</v>
      </c>
      <c r="J1590" s="5">
        <f t="shared" si="48"/>
        <v>2006</v>
      </c>
      <c r="K1590" s="5">
        <f>MONTH(Table1[[#This Row],[Date]])</f>
        <v>2</v>
      </c>
      <c r="L1590" s="5">
        <f>DAY(Table1[[#This Row],[Date]])</f>
        <v>4</v>
      </c>
      <c r="M1590" s="5" t="str">
        <f t="shared" si="49"/>
        <v>Feb</v>
      </c>
    </row>
    <row r="1591" spans="1:13" x14ac:dyDescent="0.25">
      <c r="A1591" s="2">
        <v>38794</v>
      </c>
      <c r="B1591" t="s">
        <v>17</v>
      </c>
      <c r="C1591" t="s">
        <v>27</v>
      </c>
      <c r="D1591" t="s">
        <v>16</v>
      </c>
      <c r="E1591" t="s">
        <v>20</v>
      </c>
      <c r="F1591" s="3">
        <v>4003.05</v>
      </c>
      <c r="G1591" s="3">
        <v>7278.27</v>
      </c>
      <c r="H1591" s="3">
        <f>Table1[[#This Row],[Sale]]-Table1[[#This Row],[Cost]]</f>
        <v>3275.2200000000003</v>
      </c>
      <c r="I1591" s="4">
        <f>Table1[[#This Row],[Profit]]/Table1[[#This Row],[Sale]]</f>
        <v>0.44999979390706857</v>
      </c>
      <c r="J1591" s="5">
        <f t="shared" si="48"/>
        <v>2006</v>
      </c>
      <c r="K1591" s="5">
        <f>MONTH(Table1[[#This Row],[Date]])</f>
        <v>3</v>
      </c>
      <c r="L1591" s="5">
        <f>DAY(Table1[[#This Row],[Date]])</f>
        <v>18</v>
      </c>
      <c r="M1591" s="5" t="str">
        <f t="shared" si="49"/>
        <v>Mar</v>
      </c>
    </row>
    <row r="1592" spans="1:13" x14ac:dyDescent="0.25">
      <c r="A1592" s="2">
        <v>38212</v>
      </c>
      <c r="B1592" t="s">
        <v>11</v>
      </c>
      <c r="C1592" t="s">
        <v>29</v>
      </c>
      <c r="D1592" t="s">
        <v>13</v>
      </c>
      <c r="E1592" t="s">
        <v>24</v>
      </c>
      <c r="F1592" s="3">
        <v>425.3</v>
      </c>
      <c r="G1592" s="3">
        <v>733.28</v>
      </c>
      <c r="H1592" s="3">
        <f>Table1[[#This Row],[Sale]]-Table1[[#This Row],[Cost]]</f>
        <v>307.97999999999996</v>
      </c>
      <c r="I1592" s="4">
        <f>Table1[[#This Row],[Profit]]/Table1[[#This Row],[Sale]]</f>
        <v>0.42000327296530654</v>
      </c>
      <c r="J1592" s="5">
        <f t="shared" si="48"/>
        <v>2004</v>
      </c>
      <c r="K1592" s="5">
        <f>MONTH(Table1[[#This Row],[Date]])</f>
        <v>8</v>
      </c>
      <c r="L1592" s="5">
        <f>DAY(Table1[[#This Row],[Date]])</f>
        <v>13</v>
      </c>
      <c r="M1592" s="5" t="str">
        <f t="shared" si="49"/>
        <v>Aug</v>
      </c>
    </row>
    <row r="1593" spans="1:13" x14ac:dyDescent="0.25">
      <c r="A1593" s="2">
        <v>38346</v>
      </c>
      <c r="B1593" t="s">
        <v>26</v>
      </c>
      <c r="C1593" t="s">
        <v>23</v>
      </c>
      <c r="D1593" t="s">
        <v>16</v>
      </c>
      <c r="E1593" t="s">
        <v>24</v>
      </c>
      <c r="F1593" s="3">
        <v>2281.63</v>
      </c>
      <c r="G1593" s="3">
        <v>6166.57</v>
      </c>
      <c r="H1593" s="3">
        <f>Table1[[#This Row],[Sale]]-Table1[[#This Row],[Cost]]</f>
        <v>3884.9399999999996</v>
      </c>
      <c r="I1593" s="4">
        <f>Table1[[#This Row],[Profit]]/Table1[[#This Row],[Sale]]</f>
        <v>0.63000014594823373</v>
      </c>
      <c r="J1593" s="5">
        <f t="shared" si="48"/>
        <v>2004</v>
      </c>
      <c r="K1593" s="5">
        <f>MONTH(Table1[[#This Row],[Date]])</f>
        <v>12</v>
      </c>
      <c r="L1593" s="5">
        <f>DAY(Table1[[#This Row],[Date]])</f>
        <v>25</v>
      </c>
      <c r="M1593" s="5" t="str">
        <f t="shared" si="49"/>
        <v>Dec</v>
      </c>
    </row>
    <row r="1594" spans="1:13" x14ac:dyDescent="0.25">
      <c r="A1594" s="2">
        <v>38334</v>
      </c>
      <c r="B1594" t="s">
        <v>11</v>
      </c>
      <c r="C1594" t="s">
        <v>12</v>
      </c>
      <c r="D1594" t="s">
        <v>16</v>
      </c>
      <c r="E1594" t="s">
        <v>14</v>
      </c>
      <c r="F1594" s="3">
        <v>3371.73</v>
      </c>
      <c r="G1594" s="3">
        <v>6130.41</v>
      </c>
      <c r="H1594" s="3">
        <f>Table1[[#This Row],[Sale]]-Table1[[#This Row],[Cost]]</f>
        <v>2758.68</v>
      </c>
      <c r="I1594" s="4">
        <f>Table1[[#This Row],[Profit]]/Table1[[#This Row],[Sale]]</f>
        <v>0.44999926595447937</v>
      </c>
      <c r="J1594" s="5">
        <f t="shared" si="48"/>
        <v>2004</v>
      </c>
      <c r="K1594" s="5">
        <f>MONTH(Table1[[#This Row],[Date]])</f>
        <v>12</v>
      </c>
      <c r="L1594" s="5">
        <f>DAY(Table1[[#This Row],[Date]])</f>
        <v>13</v>
      </c>
      <c r="M1594" s="5" t="str">
        <f t="shared" si="49"/>
        <v>Dec</v>
      </c>
    </row>
    <row r="1595" spans="1:13" x14ac:dyDescent="0.25">
      <c r="A1595" s="2">
        <v>38374</v>
      </c>
      <c r="B1595" t="s">
        <v>26</v>
      </c>
      <c r="C1595" t="s">
        <v>27</v>
      </c>
      <c r="D1595" t="s">
        <v>16</v>
      </c>
      <c r="E1595" t="s">
        <v>14</v>
      </c>
      <c r="F1595" s="3">
        <v>2033.15</v>
      </c>
      <c r="G1595" s="3">
        <v>4728.26</v>
      </c>
      <c r="H1595" s="3">
        <f>Table1[[#This Row],[Sale]]-Table1[[#This Row],[Cost]]</f>
        <v>2695.11</v>
      </c>
      <c r="I1595" s="4">
        <f>Table1[[#This Row],[Profit]]/Table1[[#This Row],[Sale]]</f>
        <v>0.57000038068972514</v>
      </c>
      <c r="J1595" s="5">
        <f t="shared" si="48"/>
        <v>2005</v>
      </c>
      <c r="K1595" s="5">
        <f>MONTH(Table1[[#This Row],[Date]])</f>
        <v>1</v>
      </c>
      <c r="L1595" s="5">
        <f>DAY(Table1[[#This Row],[Date]])</f>
        <v>22</v>
      </c>
      <c r="M1595" s="5" t="str">
        <f t="shared" si="49"/>
        <v>Jan</v>
      </c>
    </row>
    <row r="1596" spans="1:13" x14ac:dyDescent="0.25">
      <c r="A1596" s="2">
        <v>38426</v>
      </c>
      <c r="B1596" t="s">
        <v>17</v>
      </c>
      <c r="C1596" t="s">
        <v>23</v>
      </c>
      <c r="D1596" t="s">
        <v>28</v>
      </c>
      <c r="E1596" t="s">
        <v>25</v>
      </c>
      <c r="F1596" s="3">
        <v>6239.95</v>
      </c>
      <c r="G1596" s="3">
        <v>9176.4</v>
      </c>
      <c r="H1596" s="3">
        <f>Table1[[#This Row],[Sale]]-Table1[[#This Row],[Cost]]</f>
        <v>2936.45</v>
      </c>
      <c r="I1596" s="4">
        <f>Table1[[#This Row],[Profit]]/Table1[[#This Row],[Sale]]</f>
        <v>0.32000021795039446</v>
      </c>
      <c r="J1596" s="5">
        <f t="shared" si="48"/>
        <v>2005</v>
      </c>
      <c r="K1596" s="5">
        <f>MONTH(Table1[[#This Row],[Date]])</f>
        <v>3</v>
      </c>
      <c r="L1596" s="5">
        <f>DAY(Table1[[#This Row],[Date]])</f>
        <v>15</v>
      </c>
      <c r="M1596" s="5" t="str">
        <f t="shared" si="49"/>
        <v>Mar</v>
      </c>
    </row>
    <row r="1597" spans="1:13" x14ac:dyDescent="0.25">
      <c r="A1597" s="2">
        <v>38366</v>
      </c>
      <c r="B1597" t="s">
        <v>26</v>
      </c>
      <c r="C1597" t="s">
        <v>12</v>
      </c>
      <c r="D1597" t="s">
        <v>28</v>
      </c>
      <c r="E1597" t="s">
        <v>14</v>
      </c>
      <c r="F1597" s="3">
        <v>6993.48</v>
      </c>
      <c r="G1597" s="3">
        <v>7479.66</v>
      </c>
      <c r="H1597" s="3">
        <f>Table1[[#This Row],[Sale]]-Table1[[#This Row],[Cost]]</f>
        <v>486.18000000000029</v>
      </c>
      <c r="I1597" s="4">
        <f>Table1[[#This Row],[Profit]]/Table1[[#This Row],[Sale]]</f>
        <v>6.5000280761425028E-2</v>
      </c>
      <c r="J1597" s="5">
        <f t="shared" si="48"/>
        <v>2005</v>
      </c>
      <c r="K1597" s="5">
        <f>MONTH(Table1[[#This Row],[Date]])</f>
        <v>1</v>
      </c>
      <c r="L1597" s="5">
        <f>DAY(Table1[[#This Row],[Date]])</f>
        <v>14</v>
      </c>
      <c r="M1597" s="5" t="str">
        <f t="shared" si="49"/>
        <v>Jan</v>
      </c>
    </row>
    <row r="1598" spans="1:13" x14ac:dyDescent="0.25">
      <c r="A1598" s="2">
        <v>38613</v>
      </c>
      <c r="B1598" t="s">
        <v>17</v>
      </c>
      <c r="C1598" t="s">
        <v>18</v>
      </c>
      <c r="D1598" t="s">
        <v>19</v>
      </c>
      <c r="E1598" t="s">
        <v>20</v>
      </c>
      <c r="F1598" s="3">
        <v>447.89</v>
      </c>
      <c r="G1598" s="3">
        <v>658.66</v>
      </c>
      <c r="H1598" s="3">
        <f>Table1[[#This Row],[Sale]]-Table1[[#This Row],[Cost]]</f>
        <v>210.76999999999998</v>
      </c>
      <c r="I1598" s="4">
        <f>Table1[[#This Row],[Profit]]/Table1[[#This Row],[Sale]]</f>
        <v>0.31999817811921172</v>
      </c>
      <c r="J1598" s="5">
        <f t="shared" si="48"/>
        <v>2005</v>
      </c>
      <c r="K1598" s="5">
        <f>MONTH(Table1[[#This Row],[Date]])</f>
        <v>9</v>
      </c>
      <c r="L1598" s="5">
        <f>DAY(Table1[[#This Row],[Date]])</f>
        <v>18</v>
      </c>
      <c r="M1598" s="5" t="str">
        <f t="shared" si="49"/>
        <v>Sep</v>
      </c>
    </row>
    <row r="1599" spans="1:13" x14ac:dyDescent="0.25">
      <c r="A1599" s="2">
        <v>38337</v>
      </c>
      <c r="B1599" t="s">
        <v>22</v>
      </c>
      <c r="C1599" t="s">
        <v>18</v>
      </c>
      <c r="D1599" t="s">
        <v>13</v>
      </c>
      <c r="E1599" t="s">
        <v>24</v>
      </c>
      <c r="F1599" s="3">
        <v>2335.0300000000002</v>
      </c>
      <c r="G1599" s="3">
        <v>5430.3</v>
      </c>
      <c r="H1599" s="3">
        <f>Table1[[#This Row],[Sale]]-Table1[[#This Row],[Cost]]</f>
        <v>3095.27</v>
      </c>
      <c r="I1599" s="4">
        <f>Table1[[#This Row],[Profit]]/Table1[[#This Row],[Sale]]</f>
        <v>0.56999981584811155</v>
      </c>
      <c r="J1599" s="5">
        <f t="shared" si="48"/>
        <v>2004</v>
      </c>
      <c r="K1599" s="5">
        <f>MONTH(Table1[[#This Row],[Date]])</f>
        <v>12</v>
      </c>
      <c r="L1599" s="5">
        <f>DAY(Table1[[#This Row],[Date]])</f>
        <v>16</v>
      </c>
      <c r="M1599" s="5" t="str">
        <f t="shared" si="49"/>
        <v>Dec</v>
      </c>
    </row>
    <row r="1600" spans="1:13" x14ac:dyDescent="0.25">
      <c r="A1600" s="2">
        <v>38601</v>
      </c>
      <c r="B1600" t="s">
        <v>26</v>
      </c>
      <c r="C1600" t="s">
        <v>27</v>
      </c>
      <c r="D1600" t="s">
        <v>28</v>
      </c>
      <c r="E1600" t="s">
        <v>25</v>
      </c>
      <c r="F1600" s="3">
        <v>4592.57</v>
      </c>
      <c r="G1600" s="3">
        <v>6123.43</v>
      </c>
      <c r="H1600" s="3">
        <f>Table1[[#This Row],[Sale]]-Table1[[#This Row],[Cost]]</f>
        <v>1530.8600000000006</v>
      </c>
      <c r="I1600" s="4">
        <f>Table1[[#This Row],[Profit]]/Table1[[#This Row],[Sale]]</f>
        <v>0.25000040826791531</v>
      </c>
      <c r="J1600" s="5">
        <f t="shared" si="48"/>
        <v>2005</v>
      </c>
      <c r="K1600" s="5">
        <f>MONTH(Table1[[#This Row],[Date]])</f>
        <v>9</v>
      </c>
      <c r="L1600" s="5">
        <f>DAY(Table1[[#This Row],[Date]])</f>
        <v>6</v>
      </c>
      <c r="M1600" s="5" t="str">
        <f t="shared" si="49"/>
        <v>Sep</v>
      </c>
    </row>
    <row r="1601" spans="1:13" x14ac:dyDescent="0.25">
      <c r="A1601" s="2">
        <v>38248</v>
      </c>
      <c r="B1601" t="s">
        <v>11</v>
      </c>
      <c r="C1601" t="s">
        <v>18</v>
      </c>
      <c r="D1601" t="s">
        <v>16</v>
      </c>
      <c r="E1601" t="s">
        <v>14</v>
      </c>
      <c r="F1601" s="3">
        <v>5773.17</v>
      </c>
      <c r="G1601" s="3">
        <v>9785.0300000000007</v>
      </c>
      <c r="H1601" s="3">
        <f>Table1[[#This Row],[Sale]]-Table1[[#This Row],[Cost]]</f>
        <v>4011.8600000000006</v>
      </c>
      <c r="I1601" s="4">
        <f>Table1[[#This Row],[Profit]]/Table1[[#This Row],[Sale]]</f>
        <v>0.40999976494706714</v>
      </c>
      <c r="J1601" s="5">
        <f t="shared" si="48"/>
        <v>2004</v>
      </c>
      <c r="K1601" s="5">
        <f>MONTH(Table1[[#This Row],[Date]])</f>
        <v>9</v>
      </c>
      <c r="L1601" s="5">
        <f>DAY(Table1[[#This Row],[Date]])</f>
        <v>18</v>
      </c>
      <c r="M1601" s="5" t="str">
        <f t="shared" si="49"/>
        <v>Sep</v>
      </c>
    </row>
    <row r="1602" spans="1:13" x14ac:dyDescent="0.25">
      <c r="A1602" s="2">
        <v>38801</v>
      </c>
      <c r="B1602" t="s">
        <v>17</v>
      </c>
      <c r="C1602" t="s">
        <v>18</v>
      </c>
      <c r="D1602" t="s">
        <v>16</v>
      </c>
      <c r="E1602" t="s">
        <v>24</v>
      </c>
      <c r="F1602" s="3">
        <v>4543.46</v>
      </c>
      <c r="G1602" s="3">
        <v>4859.32</v>
      </c>
      <c r="H1602" s="3">
        <f>Table1[[#This Row],[Sale]]-Table1[[#This Row],[Cost]]</f>
        <v>315.85999999999967</v>
      </c>
      <c r="I1602" s="4">
        <f>Table1[[#This Row],[Profit]]/Table1[[#This Row],[Sale]]</f>
        <v>6.5000864318464247E-2</v>
      </c>
      <c r="J1602" s="5">
        <f t="shared" ref="J1602:J1665" si="50">YEAR(A:A)</f>
        <v>2006</v>
      </c>
      <c r="K1602" s="5">
        <f>MONTH(Table1[[#This Row],[Date]])</f>
        <v>3</v>
      </c>
      <c r="L1602" s="5">
        <f>DAY(Table1[[#This Row],[Date]])</f>
        <v>25</v>
      </c>
      <c r="M1602" s="5" t="str">
        <f t="shared" ref="M1602:M1665" si="51">CHOOSE(K1602,"Jan", "Feb", "Mar", "Apr", "May", "Jun", "Jul", "Aug", "Sep", "Oct", "Nov", "Dec")</f>
        <v>Mar</v>
      </c>
    </row>
    <row r="1603" spans="1:13" x14ac:dyDescent="0.25">
      <c r="A1603" s="2">
        <v>38778</v>
      </c>
      <c r="B1603" t="s">
        <v>17</v>
      </c>
      <c r="C1603" t="s">
        <v>12</v>
      </c>
      <c r="D1603" t="s">
        <v>13</v>
      </c>
      <c r="E1603" t="s">
        <v>24</v>
      </c>
      <c r="F1603" s="3">
        <v>2450.7600000000002</v>
      </c>
      <c r="G1603" s="3">
        <v>3604.06</v>
      </c>
      <c r="H1603" s="3">
        <f>Table1[[#This Row],[Sale]]-Table1[[#This Row],[Cost]]</f>
        <v>1153.2999999999997</v>
      </c>
      <c r="I1603" s="4">
        <f>Table1[[#This Row],[Profit]]/Table1[[#This Row],[Sale]]</f>
        <v>0.32000022197188721</v>
      </c>
      <c r="J1603" s="5">
        <f t="shared" si="50"/>
        <v>2006</v>
      </c>
      <c r="K1603" s="5">
        <f>MONTH(Table1[[#This Row],[Date]])</f>
        <v>3</v>
      </c>
      <c r="L1603" s="5">
        <f>DAY(Table1[[#This Row],[Date]])</f>
        <v>2</v>
      </c>
      <c r="M1603" s="5" t="str">
        <f t="shared" si="51"/>
        <v>Mar</v>
      </c>
    </row>
    <row r="1604" spans="1:13" x14ac:dyDescent="0.25">
      <c r="A1604" s="2">
        <v>38619</v>
      </c>
      <c r="B1604" t="s">
        <v>22</v>
      </c>
      <c r="C1604" t="s">
        <v>27</v>
      </c>
      <c r="D1604" t="s">
        <v>19</v>
      </c>
      <c r="E1604" t="s">
        <v>25</v>
      </c>
      <c r="F1604" s="3">
        <v>2727.3</v>
      </c>
      <c r="G1604" s="3">
        <v>3636.4</v>
      </c>
      <c r="H1604" s="3">
        <f>Table1[[#This Row],[Sale]]-Table1[[#This Row],[Cost]]</f>
        <v>909.09999999999991</v>
      </c>
      <c r="I1604" s="4">
        <f>Table1[[#This Row],[Profit]]/Table1[[#This Row],[Sale]]</f>
        <v>0.24999999999999997</v>
      </c>
      <c r="J1604" s="5">
        <f t="shared" si="50"/>
        <v>2005</v>
      </c>
      <c r="K1604" s="5">
        <f>MONTH(Table1[[#This Row],[Date]])</f>
        <v>9</v>
      </c>
      <c r="L1604" s="5">
        <f>DAY(Table1[[#This Row],[Date]])</f>
        <v>24</v>
      </c>
      <c r="M1604" s="5" t="str">
        <f t="shared" si="51"/>
        <v>Sep</v>
      </c>
    </row>
    <row r="1605" spans="1:13" x14ac:dyDescent="0.25">
      <c r="A1605" s="2">
        <v>38192</v>
      </c>
      <c r="B1605" t="s">
        <v>22</v>
      </c>
      <c r="C1605" t="s">
        <v>12</v>
      </c>
      <c r="D1605" t="s">
        <v>16</v>
      </c>
      <c r="E1605" t="s">
        <v>25</v>
      </c>
      <c r="F1605" s="3">
        <v>3807.97</v>
      </c>
      <c r="G1605" s="3">
        <v>8462.16</v>
      </c>
      <c r="H1605" s="3">
        <f>Table1[[#This Row],[Sale]]-Table1[[#This Row],[Cost]]</f>
        <v>4654.1900000000005</v>
      </c>
      <c r="I1605" s="4">
        <f>Table1[[#This Row],[Profit]]/Table1[[#This Row],[Sale]]</f>
        <v>0.55000023634627571</v>
      </c>
      <c r="J1605" s="5">
        <f t="shared" si="50"/>
        <v>2004</v>
      </c>
      <c r="K1605" s="5">
        <f>MONTH(Table1[[#This Row],[Date]])</f>
        <v>7</v>
      </c>
      <c r="L1605" s="5">
        <f>DAY(Table1[[#This Row],[Date]])</f>
        <v>24</v>
      </c>
      <c r="M1605" s="5" t="str">
        <f t="shared" si="51"/>
        <v>Jul</v>
      </c>
    </row>
    <row r="1606" spans="1:13" x14ac:dyDescent="0.25">
      <c r="A1606" s="2">
        <v>38389</v>
      </c>
      <c r="B1606" t="s">
        <v>11</v>
      </c>
      <c r="C1606" t="s">
        <v>12</v>
      </c>
      <c r="D1606" t="s">
        <v>19</v>
      </c>
      <c r="E1606" t="s">
        <v>20</v>
      </c>
      <c r="F1606" s="3">
        <v>2084.69</v>
      </c>
      <c r="G1606" s="3">
        <v>5634.31</v>
      </c>
      <c r="H1606" s="3">
        <f>Table1[[#This Row],[Sale]]-Table1[[#This Row],[Cost]]</f>
        <v>3549.6200000000003</v>
      </c>
      <c r="I1606" s="4">
        <f>Table1[[#This Row],[Profit]]/Table1[[#This Row],[Sale]]</f>
        <v>0.63000083417490338</v>
      </c>
      <c r="J1606" s="5">
        <f t="shared" si="50"/>
        <v>2005</v>
      </c>
      <c r="K1606" s="5">
        <f>MONTH(Table1[[#This Row],[Date]])</f>
        <v>2</v>
      </c>
      <c r="L1606" s="5">
        <f>DAY(Table1[[#This Row],[Date]])</f>
        <v>6</v>
      </c>
      <c r="M1606" s="5" t="str">
        <f t="shared" si="51"/>
        <v>Feb</v>
      </c>
    </row>
    <row r="1607" spans="1:13" x14ac:dyDescent="0.25">
      <c r="A1607" s="2">
        <v>38377</v>
      </c>
      <c r="B1607" t="s">
        <v>26</v>
      </c>
      <c r="C1607" t="s">
        <v>18</v>
      </c>
      <c r="D1607" t="s">
        <v>19</v>
      </c>
      <c r="E1607" t="s">
        <v>14</v>
      </c>
      <c r="F1607" s="3">
        <v>5002.53</v>
      </c>
      <c r="G1607" s="3">
        <v>6670.04</v>
      </c>
      <c r="H1607" s="3">
        <f>Table1[[#This Row],[Sale]]-Table1[[#This Row],[Cost]]</f>
        <v>1667.5100000000002</v>
      </c>
      <c r="I1607" s="4">
        <f>Table1[[#This Row],[Profit]]/Table1[[#This Row],[Sale]]</f>
        <v>0.25000000000000006</v>
      </c>
      <c r="J1607" s="5">
        <f t="shared" si="50"/>
        <v>2005</v>
      </c>
      <c r="K1607" s="5">
        <f>MONTH(Table1[[#This Row],[Date]])</f>
        <v>1</v>
      </c>
      <c r="L1607" s="5">
        <f>DAY(Table1[[#This Row],[Date]])</f>
        <v>25</v>
      </c>
      <c r="M1607" s="5" t="str">
        <f t="shared" si="51"/>
        <v>Jan</v>
      </c>
    </row>
    <row r="1608" spans="1:13" x14ac:dyDescent="0.25">
      <c r="A1608" s="2">
        <v>38605</v>
      </c>
      <c r="B1608" t="s">
        <v>21</v>
      </c>
      <c r="C1608" t="s">
        <v>27</v>
      </c>
      <c r="D1608" t="s">
        <v>16</v>
      </c>
      <c r="E1608" t="s">
        <v>20</v>
      </c>
      <c r="F1608" s="3">
        <v>4252.9399999999996</v>
      </c>
      <c r="G1608" s="3">
        <v>7332.65</v>
      </c>
      <c r="H1608" s="3">
        <f>Table1[[#This Row],[Sale]]-Table1[[#This Row],[Cost]]</f>
        <v>3079.71</v>
      </c>
      <c r="I1608" s="4">
        <f>Table1[[#This Row],[Profit]]/Table1[[#This Row],[Sale]]</f>
        <v>0.41999959087096755</v>
      </c>
      <c r="J1608" s="5">
        <f t="shared" si="50"/>
        <v>2005</v>
      </c>
      <c r="K1608" s="5">
        <f>MONTH(Table1[[#This Row],[Date]])</f>
        <v>9</v>
      </c>
      <c r="L1608" s="5">
        <f>DAY(Table1[[#This Row],[Date]])</f>
        <v>10</v>
      </c>
      <c r="M1608" s="5" t="str">
        <f t="shared" si="51"/>
        <v>Sep</v>
      </c>
    </row>
    <row r="1609" spans="1:13" x14ac:dyDescent="0.25">
      <c r="A1609" s="2">
        <v>38714</v>
      </c>
      <c r="B1609" t="s">
        <v>22</v>
      </c>
      <c r="C1609" t="s">
        <v>29</v>
      </c>
      <c r="D1609" t="s">
        <v>28</v>
      </c>
      <c r="E1609" t="s">
        <v>25</v>
      </c>
      <c r="F1609" s="3">
        <v>3728.66</v>
      </c>
      <c r="G1609" s="3">
        <v>6319.77</v>
      </c>
      <c r="H1609" s="3">
        <f>Table1[[#This Row],[Sale]]-Table1[[#This Row],[Cost]]</f>
        <v>2591.1100000000006</v>
      </c>
      <c r="I1609" s="4">
        <f>Table1[[#This Row],[Profit]]/Table1[[#This Row],[Sale]]</f>
        <v>0.41000068040450843</v>
      </c>
      <c r="J1609" s="5">
        <f t="shared" si="50"/>
        <v>2005</v>
      </c>
      <c r="K1609" s="5">
        <f>MONTH(Table1[[#This Row],[Date]])</f>
        <v>12</v>
      </c>
      <c r="L1609" s="5">
        <f>DAY(Table1[[#This Row],[Date]])</f>
        <v>28</v>
      </c>
      <c r="M1609" s="5" t="str">
        <f t="shared" si="51"/>
        <v>Dec</v>
      </c>
    </row>
    <row r="1610" spans="1:13" x14ac:dyDescent="0.25">
      <c r="A1610" s="2">
        <v>38648</v>
      </c>
      <c r="B1610" t="s">
        <v>26</v>
      </c>
      <c r="C1610" t="s">
        <v>27</v>
      </c>
      <c r="D1610" t="s">
        <v>19</v>
      </c>
      <c r="E1610" t="s">
        <v>20</v>
      </c>
      <c r="F1610" s="3">
        <v>6467.96</v>
      </c>
      <c r="G1610" s="3">
        <v>6917.6</v>
      </c>
      <c r="H1610" s="3">
        <f>Table1[[#This Row],[Sale]]-Table1[[#This Row],[Cost]]</f>
        <v>449.64000000000033</v>
      </c>
      <c r="I1610" s="4">
        <f>Table1[[#This Row],[Profit]]/Table1[[#This Row],[Sale]]</f>
        <v>6.4999421764773954E-2</v>
      </c>
      <c r="J1610" s="5">
        <f t="shared" si="50"/>
        <v>2005</v>
      </c>
      <c r="K1610" s="5">
        <f>MONTH(Table1[[#This Row],[Date]])</f>
        <v>10</v>
      </c>
      <c r="L1610" s="5">
        <f>DAY(Table1[[#This Row],[Date]])</f>
        <v>23</v>
      </c>
      <c r="M1610" s="5" t="str">
        <f t="shared" si="51"/>
        <v>Oct</v>
      </c>
    </row>
    <row r="1611" spans="1:13" x14ac:dyDescent="0.25">
      <c r="A1611" s="2">
        <v>38776</v>
      </c>
      <c r="B1611" t="s">
        <v>21</v>
      </c>
      <c r="C1611" t="s">
        <v>12</v>
      </c>
      <c r="D1611" t="s">
        <v>28</v>
      </c>
      <c r="E1611" t="s">
        <v>24</v>
      </c>
      <c r="F1611" s="3">
        <v>206.69</v>
      </c>
      <c r="G1611" s="3">
        <v>275.58999999999997</v>
      </c>
      <c r="H1611" s="3">
        <f>Table1[[#This Row],[Sale]]-Table1[[#This Row],[Cost]]</f>
        <v>68.899999999999977</v>
      </c>
      <c r="I1611" s="4">
        <f>Table1[[#This Row],[Profit]]/Table1[[#This Row],[Sale]]</f>
        <v>0.25000907144671425</v>
      </c>
      <c r="J1611" s="5">
        <f t="shared" si="50"/>
        <v>2006</v>
      </c>
      <c r="K1611" s="5">
        <f>MONTH(Table1[[#This Row],[Date]])</f>
        <v>2</v>
      </c>
      <c r="L1611" s="5">
        <f>DAY(Table1[[#This Row],[Date]])</f>
        <v>28</v>
      </c>
      <c r="M1611" s="5" t="str">
        <f t="shared" si="51"/>
        <v>Feb</v>
      </c>
    </row>
    <row r="1612" spans="1:13" x14ac:dyDescent="0.25">
      <c r="A1612" s="2">
        <v>38762</v>
      </c>
      <c r="B1612" t="s">
        <v>15</v>
      </c>
      <c r="C1612" t="s">
        <v>23</v>
      </c>
      <c r="D1612" t="s">
        <v>16</v>
      </c>
      <c r="E1612" t="s">
        <v>24</v>
      </c>
      <c r="F1612" s="3">
        <v>7539.6</v>
      </c>
      <c r="G1612" s="3">
        <v>8063.74</v>
      </c>
      <c r="H1612" s="3">
        <f>Table1[[#This Row],[Sale]]-Table1[[#This Row],[Cost]]</f>
        <v>524.13999999999942</v>
      </c>
      <c r="I1612" s="4">
        <f>Table1[[#This Row],[Profit]]/Table1[[#This Row],[Sale]]</f>
        <v>6.4999615563001711E-2</v>
      </c>
      <c r="J1612" s="5">
        <f t="shared" si="50"/>
        <v>2006</v>
      </c>
      <c r="K1612" s="5">
        <f>MONTH(Table1[[#This Row],[Date]])</f>
        <v>2</v>
      </c>
      <c r="L1612" s="5">
        <f>DAY(Table1[[#This Row],[Date]])</f>
        <v>14</v>
      </c>
      <c r="M1612" s="5" t="str">
        <f t="shared" si="51"/>
        <v>Feb</v>
      </c>
    </row>
    <row r="1613" spans="1:13" x14ac:dyDescent="0.25">
      <c r="A1613" s="2">
        <v>38381</v>
      </c>
      <c r="B1613" t="s">
        <v>21</v>
      </c>
      <c r="C1613" t="s">
        <v>18</v>
      </c>
      <c r="D1613" t="s">
        <v>13</v>
      </c>
      <c r="E1613" t="s">
        <v>14</v>
      </c>
      <c r="F1613" s="3">
        <v>5142.91</v>
      </c>
      <c r="G1613" s="3">
        <v>6857.21</v>
      </c>
      <c r="H1613" s="3">
        <f>Table1[[#This Row],[Sale]]-Table1[[#This Row],[Cost]]</f>
        <v>1714.3000000000002</v>
      </c>
      <c r="I1613" s="4">
        <f>Table1[[#This Row],[Profit]]/Table1[[#This Row],[Sale]]</f>
        <v>0.24999963542023654</v>
      </c>
      <c r="J1613" s="5">
        <f t="shared" si="50"/>
        <v>2005</v>
      </c>
      <c r="K1613" s="5">
        <f>MONTH(Table1[[#This Row],[Date]])</f>
        <v>1</v>
      </c>
      <c r="L1613" s="5">
        <f>DAY(Table1[[#This Row],[Date]])</f>
        <v>29</v>
      </c>
      <c r="M1613" s="5" t="str">
        <f t="shared" si="51"/>
        <v>Jan</v>
      </c>
    </row>
    <row r="1614" spans="1:13" x14ac:dyDescent="0.25">
      <c r="A1614" s="2">
        <v>38743</v>
      </c>
      <c r="B1614" t="s">
        <v>17</v>
      </c>
      <c r="C1614" t="s">
        <v>29</v>
      </c>
      <c r="D1614" t="s">
        <v>13</v>
      </c>
      <c r="E1614" t="s">
        <v>14</v>
      </c>
      <c r="F1614" s="3">
        <v>3501.1</v>
      </c>
      <c r="G1614" s="3">
        <v>5148.67</v>
      </c>
      <c r="H1614" s="3">
        <f>Table1[[#This Row],[Sale]]-Table1[[#This Row],[Cost]]</f>
        <v>1647.5700000000002</v>
      </c>
      <c r="I1614" s="4">
        <f>Table1[[#This Row],[Profit]]/Table1[[#This Row],[Sale]]</f>
        <v>0.31999914541036817</v>
      </c>
      <c r="J1614" s="5">
        <f t="shared" si="50"/>
        <v>2006</v>
      </c>
      <c r="K1614" s="5">
        <f>MONTH(Table1[[#This Row],[Date]])</f>
        <v>1</v>
      </c>
      <c r="L1614" s="5">
        <f>DAY(Table1[[#This Row],[Date]])</f>
        <v>26</v>
      </c>
      <c r="M1614" s="5" t="str">
        <f t="shared" si="51"/>
        <v>Jan</v>
      </c>
    </row>
    <row r="1615" spans="1:13" x14ac:dyDescent="0.25">
      <c r="A1615" s="2">
        <v>38202</v>
      </c>
      <c r="B1615" t="s">
        <v>26</v>
      </c>
      <c r="C1615" t="s">
        <v>27</v>
      </c>
      <c r="D1615" t="s">
        <v>16</v>
      </c>
      <c r="E1615" t="s">
        <v>14</v>
      </c>
      <c r="F1615" s="3">
        <v>3972.43</v>
      </c>
      <c r="G1615" s="3">
        <v>4514.12</v>
      </c>
      <c r="H1615" s="3">
        <f>Table1[[#This Row],[Sale]]-Table1[[#This Row],[Cost]]</f>
        <v>541.69000000000005</v>
      </c>
      <c r="I1615" s="4">
        <f>Table1[[#This Row],[Profit]]/Table1[[#This Row],[Sale]]</f>
        <v>0.11999902528067488</v>
      </c>
      <c r="J1615" s="5">
        <f t="shared" si="50"/>
        <v>2004</v>
      </c>
      <c r="K1615" s="5">
        <f>MONTH(Table1[[#This Row],[Date]])</f>
        <v>8</v>
      </c>
      <c r="L1615" s="5">
        <f>DAY(Table1[[#This Row],[Date]])</f>
        <v>3</v>
      </c>
      <c r="M1615" s="5" t="str">
        <f t="shared" si="51"/>
        <v>Aug</v>
      </c>
    </row>
    <row r="1616" spans="1:13" x14ac:dyDescent="0.25">
      <c r="A1616" s="2">
        <v>38276</v>
      </c>
      <c r="B1616" t="s">
        <v>15</v>
      </c>
      <c r="C1616" t="s">
        <v>27</v>
      </c>
      <c r="D1616" t="s">
        <v>16</v>
      </c>
      <c r="E1616" t="s">
        <v>14</v>
      </c>
      <c r="F1616" s="3">
        <v>1135.32</v>
      </c>
      <c r="G1616" s="3">
        <v>2640.28</v>
      </c>
      <c r="H1616" s="3">
        <f>Table1[[#This Row],[Sale]]-Table1[[#This Row],[Cost]]</f>
        <v>1504.9600000000003</v>
      </c>
      <c r="I1616" s="4">
        <f>Table1[[#This Row],[Profit]]/Table1[[#This Row],[Sale]]</f>
        <v>0.57000015149908345</v>
      </c>
      <c r="J1616" s="5">
        <f t="shared" si="50"/>
        <v>2004</v>
      </c>
      <c r="K1616" s="5">
        <f>MONTH(Table1[[#This Row],[Date]])</f>
        <v>10</v>
      </c>
      <c r="L1616" s="5">
        <f>DAY(Table1[[#This Row],[Date]])</f>
        <v>16</v>
      </c>
      <c r="M1616" s="5" t="str">
        <f t="shared" si="51"/>
        <v>Oct</v>
      </c>
    </row>
    <row r="1617" spans="1:13" x14ac:dyDescent="0.25">
      <c r="A1617" s="2">
        <v>38487</v>
      </c>
      <c r="B1617" t="s">
        <v>22</v>
      </c>
      <c r="C1617" t="s">
        <v>29</v>
      </c>
      <c r="D1617" t="s">
        <v>13</v>
      </c>
      <c r="E1617" t="s">
        <v>20</v>
      </c>
      <c r="F1617" s="3">
        <v>5428.28</v>
      </c>
      <c r="G1617" s="3">
        <v>9200.48</v>
      </c>
      <c r="H1617" s="3">
        <f>Table1[[#This Row],[Sale]]-Table1[[#This Row],[Cost]]</f>
        <v>3772.2</v>
      </c>
      <c r="I1617" s="4">
        <f>Table1[[#This Row],[Profit]]/Table1[[#This Row],[Sale]]</f>
        <v>0.41000034780794048</v>
      </c>
      <c r="J1617" s="5">
        <f t="shared" si="50"/>
        <v>2005</v>
      </c>
      <c r="K1617" s="5">
        <f>MONTH(Table1[[#This Row],[Date]])</f>
        <v>5</v>
      </c>
      <c r="L1617" s="5">
        <f>DAY(Table1[[#This Row],[Date]])</f>
        <v>15</v>
      </c>
      <c r="M1617" s="5" t="str">
        <f t="shared" si="51"/>
        <v>May</v>
      </c>
    </row>
    <row r="1618" spans="1:13" x14ac:dyDescent="0.25">
      <c r="A1618" s="2">
        <v>38350</v>
      </c>
      <c r="B1618" t="s">
        <v>21</v>
      </c>
      <c r="C1618" t="s">
        <v>18</v>
      </c>
      <c r="D1618" t="s">
        <v>28</v>
      </c>
      <c r="E1618" t="s">
        <v>24</v>
      </c>
      <c r="F1618" s="3">
        <v>1776.56</v>
      </c>
      <c r="G1618" s="3">
        <v>4801.51</v>
      </c>
      <c r="H1618" s="3">
        <f>Table1[[#This Row],[Sale]]-Table1[[#This Row],[Cost]]</f>
        <v>3024.9500000000003</v>
      </c>
      <c r="I1618" s="4">
        <f>Table1[[#This Row],[Profit]]/Table1[[#This Row],[Sale]]</f>
        <v>0.62999972925183956</v>
      </c>
      <c r="J1618" s="5">
        <f t="shared" si="50"/>
        <v>2004</v>
      </c>
      <c r="K1618" s="5">
        <f>MONTH(Table1[[#This Row],[Date]])</f>
        <v>12</v>
      </c>
      <c r="L1618" s="5">
        <f>DAY(Table1[[#This Row],[Date]])</f>
        <v>29</v>
      </c>
      <c r="M1618" s="5" t="str">
        <f t="shared" si="51"/>
        <v>Dec</v>
      </c>
    </row>
    <row r="1619" spans="1:13" x14ac:dyDescent="0.25">
      <c r="A1619" s="2">
        <v>38171</v>
      </c>
      <c r="B1619" t="s">
        <v>26</v>
      </c>
      <c r="C1619" t="s">
        <v>18</v>
      </c>
      <c r="D1619" t="s">
        <v>13</v>
      </c>
      <c r="E1619" t="s">
        <v>24</v>
      </c>
      <c r="F1619" s="3">
        <v>1265.75</v>
      </c>
      <c r="G1619" s="3">
        <v>2812.78</v>
      </c>
      <c r="H1619" s="3">
        <f>Table1[[#This Row],[Sale]]-Table1[[#This Row],[Cost]]</f>
        <v>1547.0300000000002</v>
      </c>
      <c r="I1619" s="4">
        <f>Table1[[#This Row],[Profit]]/Table1[[#This Row],[Sale]]</f>
        <v>0.55000035552016158</v>
      </c>
      <c r="J1619" s="5">
        <f t="shared" si="50"/>
        <v>2004</v>
      </c>
      <c r="K1619" s="5">
        <f>MONTH(Table1[[#This Row],[Date]])</f>
        <v>7</v>
      </c>
      <c r="L1619" s="5">
        <f>DAY(Table1[[#This Row],[Date]])</f>
        <v>3</v>
      </c>
      <c r="M1619" s="5" t="str">
        <f t="shared" si="51"/>
        <v>Jul</v>
      </c>
    </row>
    <row r="1620" spans="1:13" x14ac:dyDescent="0.25">
      <c r="A1620" s="2">
        <v>38399</v>
      </c>
      <c r="B1620" t="s">
        <v>17</v>
      </c>
      <c r="C1620" t="s">
        <v>27</v>
      </c>
      <c r="D1620" t="s">
        <v>19</v>
      </c>
      <c r="E1620" t="s">
        <v>14</v>
      </c>
      <c r="F1620" s="3">
        <v>4271.12</v>
      </c>
      <c r="G1620" s="3">
        <v>7364</v>
      </c>
      <c r="H1620" s="3">
        <f>Table1[[#This Row],[Sale]]-Table1[[#This Row],[Cost]]</f>
        <v>3092.88</v>
      </c>
      <c r="I1620" s="4">
        <f>Table1[[#This Row],[Profit]]/Table1[[#This Row],[Sale]]</f>
        <v>0.42000000000000004</v>
      </c>
      <c r="J1620" s="5">
        <f t="shared" si="50"/>
        <v>2005</v>
      </c>
      <c r="K1620" s="5">
        <f>MONTH(Table1[[#This Row],[Date]])</f>
        <v>2</v>
      </c>
      <c r="L1620" s="5">
        <f>DAY(Table1[[#This Row],[Date]])</f>
        <v>16</v>
      </c>
      <c r="M1620" s="5" t="str">
        <f t="shared" si="51"/>
        <v>Feb</v>
      </c>
    </row>
    <row r="1621" spans="1:13" x14ac:dyDescent="0.25">
      <c r="A1621" s="2">
        <v>38700</v>
      </c>
      <c r="B1621" t="s">
        <v>11</v>
      </c>
      <c r="C1621" t="s">
        <v>29</v>
      </c>
      <c r="D1621" t="s">
        <v>16</v>
      </c>
      <c r="E1621" t="s">
        <v>20</v>
      </c>
      <c r="F1621" s="3">
        <v>2416.65</v>
      </c>
      <c r="G1621" s="3">
        <v>5370.33</v>
      </c>
      <c r="H1621" s="3">
        <f>Table1[[#This Row],[Sale]]-Table1[[#This Row],[Cost]]</f>
        <v>2953.68</v>
      </c>
      <c r="I1621" s="4">
        <f>Table1[[#This Row],[Profit]]/Table1[[#This Row],[Sale]]</f>
        <v>0.54999972068755554</v>
      </c>
      <c r="J1621" s="5">
        <f t="shared" si="50"/>
        <v>2005</v>
      </c>
      <c r="K1621" s="5">
        <f>MONTH(Table1[[#This Row],[Date]])</f>
        <v>12</v>
      </c>
      <c r="L1621" s="5">
        <f>DAY(Table1[[#This Row],[Date]])</f>
        <v>14</v>
      </c>
      <c r="M1621" s="5" t="str">
        <f t="shared" si="51"/>
        <v>Dec</v>
      </c>
    </row>
    <row r="1622" spans="1:13" x14ac:dyDescent="0.25">
      <c r="A1622" s="2">
        <v>38261</v>
      </c>
      <c r="B1622" t="s">
        <v>21</v>
      </c>
      <c r="C1622" t="s">
        <v>12</v>
      </c>
      <c r="D1622" t="s">
        <v>13</v>
      </c>
      <c r="E1622" t="s">
        <v>14</v>
      </c>
      <c r="F1622" s="3">
        <v>6615.39</v>
      </c>
      <c r="G1622" s="3">
        <v>8820.52</v>
      </c>
      <c r="H1622" s="3">
        <f>Table1[[#This Row],[Sale]]-Table1[[#This Row],[Cost]]</f>
        <v>2205.13</v>
      </c>
      <c r="I1622" s="4">
        <f>Table1[[#This Row],[Profit]]/Table1[[#This Row],[Sale]]</f>
        <v>0.25</v>
      </c>
      <c r="J1622" s="5">
        <f t="shared" si="50"/>
        <v>2004</v>
      </c>
      <c r="K1622" s="5">
        <f>MONTH(Table1[[#This Row],[Date]])</f>
        <v>10</v>
      </c>
      <c r="L1622" s="5">
        <f>DAY(Table1[[#This Row],[Date]])</f>
        <v>1</v>
      </c>
      <c r="M1622" s="5" t="str">
        <f t="shared" si="51"/>
        <v>Oct</v>
      </c>
    </row>
    <row r="1623" spans="1:13" x14ac:dyDescent="0.25">
      <c r="A1623" s="2">
        <v>38603</v>
      </c>
      <c r="B1623" t="s">
        <v>26</v>
      </c>
      <c r="C1623" t="s">
        <v>23</v>
      </c>
      <c r="D1623" t="s">
        <v>28</v>
      </c>
      <c r="E1623" t="s">
        <v>14</v>
      </c>
      <c r="F1623" s="3">
        <v>1850.45</v>
      </c>
      <c r="G1623" s="3">
        <v>2721.25</v>
      </c>
      <c r="H1623" s="3">
        <f>Table1[[#This Row],[Sale]]-Table1[[#This Row],[Cost]]</f>
        <v>870.8</v>
      </c>
      <c r="I1623" s="4">
        <f>Table1[[#This Row],[Profit]]/Table1[[#This Row],[Sale]]</f>
        <v>0.32</v>
      </c>
      <c r="J1623" s="5">
        <f t="shared" si="50"/>
        <v>2005</v>
      </c>
      <c r="K1623" s="5">
        <f>MONTH(Table1[[#This Row],[Date]])</f>
        <v>9</v>
      </c>
      <c r="L1623" s="5">
        <f>DAY(Table1[[#This Row],[Date]])</f>
        <v>8</v>
      </c>
      <c r="M1623" s="5" t="str">
        <f t="shared" si="51"/>
        <v>Sep</v>
      </c>
    </row>
    <row r="1624" spans="1:13" x14ac:dyDescent="0.25">
      <c r="A1624" s="2">
        <v>38353</v>
      </c>
      <c r="B1624" t="s">
        <v>17</v>
      </c>
      <c r="C1624" t="s">
        <v>23</v>
      </c>
      <c r="D1624" t="s">
        <v>16</v>
      </c>
      <c r="E1624" t="s">
        <v>25</v>
      </c>
      <c r="F1624" s="3">
        <v>1449.15</v>
      </c>
      <c r="G1624" s="3">
        <v>2634.81</v>
      </c>
      <c r="H1624" s="3">
        <f>Table1[[#This Row],[Sale]]-Table1[[#This Row],[Cost]]</f>
        <v>1185.6599999999999</v>
      </c>
      <c r="I1624" s="4">
        <f>Table1[[#This Row],[Profit]]/Table1[[#This Row],[Sale]]</f>
        <v>0.44999829209696329</v>
      </c>
      <c r="J1624" s="5">
        <f t="shared" si="50"/>
        <v>2005</v>
      </c>
      <c r="K1624" s="5">
        <f>MONTH(Table1[[#This Row],[Date]])</f>
        <v>1</v>
      </c>
      <c r="L1624" s="5">
        <f>DAY(Table1[[#This Row],[Date]])</f>
        <v>1</v>
      </c>
      <c r="M1624" s="5" t="str">
        <f t="shared" si="51"/>
        <v>Jan</v>
      </c>
    </row>
    <row r="1625" spans="1:13" x14ac:dyDescent="0.25">
      <c r="A1625" s="2">
        <v>38218</v>
      </c>
      <c r="B1625" t="s">
        <v>15</v>
      </c>
      <c r="C1625" t="s">
        <v>12</v>
      </c>
      <c r="D1625" t="s">
        <v>16</v>
      </c>
      <c r="E1625" t="s">
        <v>24</v>
      </c>
      <c r="F1625" s="3">
        <v>1427.26</v>
      </c>
      <c r="G1625" s="3">
        <v>3857.47</v>
      </c>
      <c r="H1625" s="3">
        <f>Table1[[#This Row],[Sale]]-Table1[[#This Row],[Cost]]</f>
        <v>2430.21</v>
      </c>
      <c r="I1625" s="4">
        <f>Table1[[#This Row],[Profit]]/Table1[[#This Row],[Sale]]</f>
        <v>0.63000101102536121</v>
      </c>
      <c r="J1625" s="5">
        <f t="shared" si="50"/>
        <v>2004</v>
      </c>
      <c r="K1625" s="5">
        <f>MONTH(Table1[[#This Row],[Date]])</f>
        <v>8</v>
      </c>
      <c r="L1625" s="5">
        <f>DAY(Table1[[#This Row],[Date]])</f>
        <v>19</v>
      </c>
      <c r="M1625" s="5" t="str">
        <f t="shared" si="51"/>
        <v>Aug</v>
      </c>
    </row>
    <row r="1626" spans="1:13" x14ac:dyDescent="0.25">
      <c r="A1626" s="2">
        <v>38320</v>
      </c>
      <c r="B1626" t="s">
        <v>15</v>
      </c>
      <c r="C1626" t="s">
        <v>29</v>
      </c>
      <c r="D1626" t="s">
        <v>19</v>
      </c>
      <c r="E1626" t="s">
        <v>20</v>
      </c>
      <c r="F1626" s="3">
        <v>2674.61</v>
      </c>
      <c r="G1626" s="3">
        <v>4533.2299999999996</v>
      </c>
      <c r="H1626" s="3">
        <f>Table1[[#This Row],[Sale]]-Table1[[#This Row],[Cost]]</f>
        <v>1858.6199999999994</v>
      </c>
      <c r="I1626" s="4">
        <f>Table1[[#This Row],[Profit]]/Table1[[#This Row],[Sale]]</f>
        <v>0.40999905144896676</v>
      </c>
      <c r="J1626" s="5">
        <f t="shared" si="50"/>
        <v>2004</v>
      </c>
      <c r="K1626" s="5">
        <f>MONTH(Table1[[#This Row],[Date]])</f>
        <v>11</v>
      </c>
      <c r="L1626" s="5">
        <f>DAY(Table1[[#This Row],[Date]])</f>
        <v>29</v>
      </c>
      <c r="M1626" s="5" t="str">
        <f t="shared" si="51"/>
        <v>Nov</v>
      </c>
    </row>
    <row r="1627" spans="1:13" x14ac:dyDescent="0.25">
      <c r="A1627" s="2">
        <v>38278</v>
      </c>
      <c r="B1627" t="s">
        <v>17</v>
      </c>
      <c r="C1627" t="s">
        <v>12</v>
      </c>
      <c r="D1627" t="s">
        <v>28</v>
      </c>
      <c r="E1627" t="s">
        <v>20</v>
      </c>
      <c r="F1627" s="3">
        <v>8929.9</v>
      </c>
      <c r="G1627" s="3">
        <v>9550.7000000000007</v>
      </c>
      <c r="H1627" s="3">
        <f>Table1[[#This Row],[Sale]]-Table1[[#This Row],[Cost]]</f>
        <v>620.80000000000109</v>
      </c>
      <c r="I1627" s="4">
        <f>Table1[[#This Row],[Profit]]/Table1[[#This Row],[Sale]]</f>
        <v>6.5000471169652602E-2</v>
      </c>
      <c r="J1627" s="5">
        <f t="shared" si="50"/>
        <v>2004</v>
      </c>
      <c r="K1627" s="5">
        <f>MONTH(Table1[[#This Row],[Date]])</f>
        <v>10</v>
      </c>
      <c r="L1627" s="5">
        <f>DAY(Table1[[#This Row],[Date]])</f>
        <v>18</v>
      </c>
      <c r="M1627" s="5" t="str">
        <f t="shared" si="51"/>
        <v>Oct</v>
      </c>
    </row>
    <row r="1628" spans="1:13" x14ac:dyDescent="0.25">
      <c r="A1628" s="2">
        <v>38191</v>
      </c>
      <c r="B1628" t="s">
        <v>26</v>
      </c>
      <c r="C1628" t="s">
        <v>29</v>
      </c>
      <c r="D1628" t="s">
        <v>28</v>
      </c>
      <c r="E1628" t="s">
        <v>14</v>
      </c>
      <c r="F1628" s="3">
        <v>4591.3900000000003</v>
      </c>
      <c r="G1628" s="3">
        <v>7916.19</v>
      </c>
      <c r="H1628" s="3">
        <f>Table1[[#This Row],[Sale]]-Table1[[#This Row],[Cost]]</f>
        <v>3324.7999999999993</v>
      </c>
      <c r="I1628" s="4">
        <f>Table1[[#This Row],[Profit]]/Table1[[#This Row],[Sale]]</f>
        <v>0.420000025264679</v>
      </c>
      <c r="J1628" s="5">
        <f t="shared" si="50"/>
        <v>2004</v>
      </c>
      <c r="K1628" s="5">
        <f>MONTH(Table1[[#This Row],[Date]])</f>
        <v>7</v>
      </c>
      <c r="L1628" s="5">
        <f>DAY(Table1[[#This Row],[Date]])</f>
        <v>23</v>
      </c>
      <c r="M1628" s="5" t="str">
        <f t="shared" si="51"/>
        <v>Jul</v>
      </c>
    </row>
    <row r="1629" spans="1:13" x14ac:dyDescent="0.25">
      <c r="A1629" s="2">
        <v>38612</v>
      </c>
      <c r="B1629" t="s">
        <v>17</v>
      </c>
      <c r="C1629" t="s">
        <v>27</v>
      </c>
      <c r="D1629" t="s">
        <v>16</v>
      </c>
      <c r="E1629" t="s">
        <v>24</v>
      </c>
      <c r="F1629" s="3">
        <v>4906.84</v>
      </c>
      <c r="G1629" s="3">
        <v>6542.46</v>
      </c>
      <c r="H1629" s="3">
        <f>Table1[[#This Row],[Sale]]-Table1[[#This Row],[Cost]]</f>
        <v>1635.62</v>
      </c>
      <c r="I1629" s="4">
        <f>Table1[[#This Row],[Profit]]/Table1[[#This Row],[Sale]]</f>
        <v>0.25000076423852802</v>
      </c>
      <c r="J1629" s="5">
        <f t="shared" si="50"/>
        <v>2005</v>
      </c>
      <c r="K1629" s="5">
        <f>MONTH(Table1[[#This Row],[Date]])</f>
        <v>9</v>
      </c>
      <c r="L1629" s="5">
        <f>DAY(Table1[[#This Row],[Date]])</f>
        <v>17</v>
      </c>
      <c r="M1629" s="5" t="str">
        <f t="shared" si="51"/>
        <v>Sep</v>
      </c>
    </row>
    <row r="1630" spans="1:13" x14ac:dyDescent="0.25">
      <c r="A1630" s="2">
        <v>38342</v>
      </c>
      <c r="B1630" t="s">
        <v>22</v>
      </c>
      <c r="C1630" t="s">
        <v>12</v>
      </c>
      <c r="D1630" t="s">
        <v>13</v>
      </c>
      <c r="E1630" t="s">
        <v>20</v>
      </c>
      <c r="F1630" s="3">
        <v>1749.07</v>
      </c>
      <c r="G1630" s="3">
        <v>1870.66</v>
      </c>
      <c r="H1630" s="3">
        <f>Table1[[#This Row],[Sale]]-Table1[[#This Row],[Cost]]</f>
        <v>121.59000000000015</v>
      </c>
      <c r="I1630" s="4">
        <f>Table1[[#This Row],[Profit]]/Table1[[#This Row],[Sale]]</f>
        <v>6.4998449745009859E-2</v>
      </c>
      <c r="J1630" s="5">
        <f t="shared" si="50"/>
        <v>2004</v>
      </c>
      <c r="K1630" s="5">
        <f>MONTH(Table1[[#This Row],[Date]])</f>
        <v>12</v>
      </c>
      <c r="L1630" s="5">
        <f>DAY(Table1[[#This Row],[Date]])</f>
        <v>21</v>
      </c>
      <c r="M1630" s="5" t="str">
        <f t="shared" si="51"/>
        <v>Dec</v>
      </c>
    </row>
    <row r="1631" spans="1:13" x14ac:dyDescent="0.25">
      <c r="A1631" s="2">
        <v>38247</v>
      </c>
      <c r="B1631" t="s">
        <v>15</v>
      </c>
      <c r="C1631" t="s">
        <v>29</v>
      </c>
      <c r="D1631" t="s">
        <v>13</v>
      </c>
      <c r="E1631" t="s">
        <v>20</v>
      </c>
      <c r="F1631" s="3">
        <v>913.61</v>
      </c>
      <c r="G1631" s="3">
        <v>2469.21</v>
      </c>
      <c r="H1631" s="3">
        <f>Table1[[#This Row],[Sale]]-Table1[[#This Row],[Cost]]</f>
        <v>1555.6</v>
      </c>
      <c r="I1631" s="4">
        <f>Table1[[#This Row],[Profit]]/Table1[[#This Row],[Sale]]</f>
        <v>0.6299990685279907</v>
      </c>
      <c r="J1631" s="5">
        <f t="shared" si="50"/>
        <v>2004</v>
      </c>
      <c r="K1631" s="5">
        <f>MONTH(Table1[[#This Row],[Date]])</f>
        <v>9</v>
      </c>
      <c r="L1631" s="5">
        <f>DAY(Table1[[#This Row],[Date]])</f>
        <v>17</v>
      </c>
      <c r="M1631" s="5" t="str">
        <f t="shared" si="51"/>
        <v>Sep</v>
      </c>
    </row>
    <row r="1632" spans="1:13" x14ac:dyDescent="0.25">
      <c r="A1632" s="2">
        <v>38525</v>
      </c>
      <c r="B1632" t="s">
        <v>21</v>
      </c>
      <c r="C1632" t="s">
        <v>23</v>
      </c>
      <c r="D1632" t="s">
        <v>16</v>
      </c>
      <c r="E1632" t="s">
        <v>14</v>
      </c>
      <c r="F1632" s="3">
        <v>656.58</v>
      </c>
      <c r="G1632" s="3">
        <v>1526.92</v>
      </c>
      <c r="H1632" s="3">
        <f>Table1[[#This Row],[Sale]]-Table1[[#This Row],[Cost]]</f>
        <v>870.34</v>
      </c>
      <c r="I1632" s="4">
        <f>Table1[[#This Row],[Profit]]/Table1[[#This Row],[Sale]]</f>
        <v>0.56999711838210254</v>
      </c>
      <c r="J1632" s="5">
        <f t="shared" si="50"/>
        <v>2005</v>
      </c>
      <c r="K1632" s="5">
        <f>MONTH(Table1[[#This Row],[Date]])</f>
        <v>6</v>
      </c>
      <c r="L1632" s="5">
        <f>DAY(Table1[[#This Row],[Date]])</f>
        <v>22</v>
      </c>
      <c r="M1632" s="5" t="str">
        <f t="shared" si="51"/>
        <v>Jun</v>
      </c>
    </row>
    <row r="1633" spans="1:13" x14ac:dyDescent="0.25">
      <c r="A1633" s="2">
        <v>38823</v>
      </c>
      <c r="B1633" t="s">
        <v>26</v>
      </c>
      <c r="C1633" t="s">
        <v>23</v>
      </c>
      <c r="D1633" t="s">
        <v>13</v>
      </c>
      <c r="E1633" t="s">
        <v>20</v>
      </c>
      <c r="F1633" s="3">
        <v>6989.46</v>
      </c>
      <c r="G1633" s="3">
        <v>7942.57</v>
      </c>
      <c r="H1633" s="3">
        <f>Table1[[#This Row],[Sale]]-Table1[[#This Row],[Cost]]</f>
        <v>953.10999999999967</v>
      </c>
      <c r="I1633" s="4">
        <f>Table1[[#This Row],[Profit]]/Table1[[#This Row],[Sale]]</f>
        <v>0.12000020144613138</v>
      </c>
      <c r="J1633" s="5">
        <f t="shared" si="50"/>
        <v>2006</v>
      </c>
      <c r="K1633" s="5">
        <f>MONTH(Table1[[#This Row],[Date]])</f>
        <v>4</v>
      </c>
      <c r="L1633" s="5">
        <f>DAY(Table1[[#This Row],[Date]])</f>
        <v>16</v>
      </c>
      <c r="M1633" s="5" t="str">
        <f t="shared" si="51"/>
        <v>Apr</v>
      </c>
    </row>
    <row r="1634" spans="1:13" x14ac:dyDescent="0.25">
      <c r="A1634" s="2">
        <v>38621</v>
      </c>
      <c r="B1634" t="s">
        <v>17</v>
      </c>
      <c r="C1634" t="s">
        <v>12</v>
      </c>
      <c r="D1634" t="s">
        <v>16</v>
      </c>
      <c r="E1634" t="s">
        <v>14</v>
      </c>
      <c r="F1634" s="3">
        <v>1731.35</v>
      </c>
      <c r="G1634" s="3">
        <v>2985.09</v>
      </c>
      <c r="H1634" s="3">
        <f>Table1[[#This Row],[Sale]]-Table1[[#This Row],[Cost]]</f>
        <v>1253.7400000000002</v>
      </c>
      <c r="I1634" s="4">
        <f>Table1[[#This Row],[Profit]]/Table1[[#This Row],[Sale]]</f>
        <v>0.42000073699620455</v>
      </c>
      <c r="J1634" s="5">
        <f t="shared" si="50"/>
        <v>2005</v>
      </c>
      <c r="K1634" s="5">
        <f>MONTH(Table1[[#This Row],[Date]])</f>
        <v>9</v>
      </c>
      <c r="L1634" s="5">
        <f>DAY(Table1[[#This Row],[Date]])</f>
        <v>26</v>
      </c>
      <c r="M1634" s="5" t="str">
        <f t="shared" si="51"/>
        <v>Sep</v>
      </c>
    </row>
    <row r="1635" spans="1:13" x14ac:dyDescent="0.25">
      <c r="A1635" s="2">
        <v>38596</v>
      </c>
      <c r="B1635" t="s">
        <v>26</v>
      </c>
      <c r="C1635" t="s">
        <v>12</v>
      </c>
      <c r="D1635" t="s">
        <v>28</v>
      </c>
      <c r="E1635" t="s">
        <v>14</v>
      </c>
      <c r="F1635" s="3">
        <v>1617.18</v>
      </c>
      <c r="G1635" s="3">
        <v>1837.71</v>
      </c>
      <c r="H1635" s="3">
        <f>Table1[[#This Row],[Sale]]-Table1[[#This Row],[Cost]]</f>
        <v>220.52999999999997</v>
      </c>
      <c r="I1635" s="4">
        <f>Table1[[#This Row],[Profit]]/Table1[[#This Row],[Sale]]</f>
        <v>0.12000261194638978</v>
      </c>
      <c r="J1635" s="5">
        <f t="shared" si="50"/>
        <v>2005</v>
      </c>
      <c r="K1635" s="5">
        <f>MONTH(Table1[[#This Row],[Date]])</f>
        <v>9</v>
      </c>
      <c r="L1635" s="5">
        <f>DAY(Table1[[#This Row],[Date]])</f>
        <v>1</v>
      </c>
      <c r="M1635" s="5" t="str">
        <f t="shared" si="51"/>
        <v>Sep</v>
      </c>
    </row>
    <row r="1636" spans="1:13" x14ac:dyDescent="0.25">
      <c r="A1636" s="2">
        <v>38676</v>
      </c>
      <c r="B1636" t="s">
        <v>17</v>
      </c>
      <c r="C1636" t="s">
        <v>23</v>
      </c>
      <c r="D1636" t="s">
        <v>16</v>
      </c>
      <c r="E1636" t="s">
        <v>24</v>
      </c>
      <c r="F1636" s="3">
        <v>1950.3</v>
      </c>
      <c r="G1636" s="3">
        <v>4334.01</v>
      </c>
      <c r="H1636" s="3">
        <f>Table1[[#This Row],[Sale]]-Table1[[#This Row],[Cost]]</f>
        <v>2383.71</v>
      </c>
      <c r="I1636" s="4">
        <f>Table1[[#This Row],[Profit]]/Table1[[#This Row],[Sale]]</f>
        <v>0.55000103829940394</v>
      </c>
      <c r="J1636" s="5">
        <f t="shared" si="50"/>
        <v>2005</v>
      </c>
      <c r="K1636" s="5">
        <f>MONTH(Table1[[#This Row],[Date]])</f>
        <v>11</v>
      </c>
      <c r="L1636" s="5">
        <f>DAY(Table1[[#This Row],[Date]])</f>
        <v>20</v>
      </c>
      <c r="M1636" s="5" t="str">
        <f t="shared" si="51"/>
        <v>Nov</v>
      </c>
    </row>
    <row r="1637" spans="1:13" x14ac:dyDescent="0.25">
      <c r="A1637" s="2">
        <v>38683</v>
      </c>
      <c r="B1637" t="s">
        <v>21</v>
      </c>
      <c r="C1637" t="s">
        <v>29</v>
      </c>
      <c r="D1637" t="s">
        <v>16</v>
      </c>
      <c r="E1637" t="s">
        <v>20</v>
      </c>
      <c r="F1637" s="3">
        <v>1173.83</v>
      </c>
      <c r="G1637" s="3">
        <v>2023.84</v>
      </c>
      <c r="H1637" s="3">
        <f>Table1[[#This Row],[Sale]]-Table1[[#This Row],[Cost]]</f>
        <v>850.01</v>
      </c>
      <c r="I1637" s="4">
        <f>Table1[[#This Row],[Profit]]/Table1[[#This Row],[Sale]]</f>
        <v>0.41999861649142228</v>
      </c>
      <c r="J1637" s="5">
        <f t="shared" si="50"/>
        <v>2005</v>
      </c>
      <c r="K1637" s="5">
        <f>MONTH(Table1[[#This Row],[Date]])</f>
        <v>11</v>
      </c>
      <c r="L1637" s="5">
        <f>DAY(Table1[[#This Row],[Date]])</f>
        <v>27</v>
      </c>
      <c r="M1637" s="5" t="str">
        <f t="shared" si="51"/>
        <v>Nov</v>
      </c>
    </row>
    <row r="1638" spans="1:13" x14ac:dyDescent="0.25">
      <c r="A1638" s="2">
        <v>38437</v>
      </c>
      <c r="B1638" t="s">
        <v>17</v>
      </c>
      <c r="C1638" t="s">
        <v>12</v>
      </c>
      <c r="D1638" t="s">
        <v>13</v>
      </c>
      <c r="E1638" t="s">
        <v>20</v>
      </c>
      <c r="F1638" s="3">
        <v>7341.38</v>
      </c>
      <c r="G1638" s="3">
        <v>9788.5</v>
      </c>
      <c r="H1638" s="3">
        <f>Table1[[#This Row],[Sale]]-Table1[[#This Row],[Cost]]</f>
        <v>2447.12</v>
      </c>
      <c r="I1638" s="4">
        <f>Table1[[#This Row],[Profit]]/Table1[[#This Row],[Sale]]</f>
        <v>0.24999948919650608</v>
      </c>
      <c r="J1638" s="5">
        <f t="shared" si="50"/>
        <v>2005</v>
      </c>
      <c r="K1638" s="5">
        <f>MONTH(Table1[[#This Row],[Date]])</f>
        <v>3</v>
      </c>
      <c r="L1638" s="5">
        <f>DAY(Table1[[#This Row],[Date]])</f>
        <v>26</v>
      </c>
      <c r="M1638" s="5" t="str">
        <f t="shared" si="51"/>
        <v>Mar</v>
      </c>
    </row>
    <row r="1639" spans="1:13" x14ac:dyDescent="0.25">
      <c r="A1639" s="2">
        <v>38590</v>
      </c>
      <c r="B1639" t="s">
        <v>26</v>
      </c>
      <c r="C1639" t="s">
        <v>23</v>
      </c>
      <c r="D1639" t="s">
        <v>13</v>
      </c>
      <c r="E1639" t="s">
        <v>14</v>
      </c>
      <c r="F1639" s="3">
        <v>248.69</v>
      </c>
      <c r="G1639" s="3">
        <v>452.16</v>
      </c>
      <c r="H1639" s="3">
        <f>Table1[[#This Row],[Sale]]-Table1[[#This Row],[Cost]]</f>
        <v>203.47000000000003</v>
      </c>
      <c r="I1639" s="4">
        <f>Table1[[#This Row],[Profit]]/Table1[[#This Row],[Sale]]</f>
        <v>0.4499955767869781</v>
      </c>
      <c r="J1639" s="5">
        <f t="shared" si="50"/>
        <v>2005</v>
      </c>
      <c r="K1639" s="5">
        <f>MONTH(Table1[[#This Row],[Date]])</f>
        <v>8</v>
      </c>
      <c r="L1639" s="5">
        <f>DAY(Table1[[#This Row],[Date]])</f>
        <v>26</v>
      </c>
      <c r="M1639" s="5" t="str">
        <f t="shared" si="51"/>
        <v>Aug</v>
      </c>
    </row>
    <row r="1640" spans="1:13" x14ac:dyDescent="0.25">
      <c r="A1640" s="2">
        <v>38530</v>
      </c>
      <c r="B1640" t="s">
        <v>11</v>
      </c>
      <c r="C1640" t="s">
        <v>18</v>
      </c>
      <c r="D1640" t="s">
        <v>28</v>
      </c>
      <c r="E1640" t="s">
        <v>20</v>
      </c>
      <c r="F1640" s="3">
        <v>1647.25</v>
      </c>
      <c r="G1640" s="3">
        <v>1761.76</v>
      </c>
      <c r="H1640" s="3">
        <f>Table1[[#This Row],[Sale]]-Table1[[#This Row],[Cost]]</f>
        <v>114.50999999999999</v>
      </c>
      <c r="I1640" s="4">
        <f>Table1[[#This Row],[Profit]]/Table1[[#This Row],[Sale]]</f>
        <v>6.4997502497502496E-2</v>
      </c>
      <c r="J1640" s="5">
        <f t="shared" si="50"/>
        <v>2005</v>
      </c>
      <c r="K1640" s="5">
        <f>MONTH(Table1[[#This Row],[Date]])</f>
        <v>6</v>
      </c>
      <c r="L1640" s="5">
        <f>DAY(Table1[[#This Row],[Date]])</f>
        <v>27</v>
      </c>
      <c r="M1640" s="5" t="str">
        <f t="shared" si="51"/>
        <v>Jun</v>
      </c>
    </row>
    <row r="1641" spans="1:13" x14ac:dyDescent="0.25">
      <c r="A1641" s="2">
        <v>38629</v>
      </c>
      <c r="B1641" t="s">
        <v>21</v>
      </c>
      <c r="C1641" t="s">
        <v>27</v>
      </c>
      <c r="D1641" t="s">
        <v>19</v>
      </c>
      <c r="E1641" t="s">
        <v>20</v>
      </c>
      <c r="F1641" s="3">
        <v>620.58000000000004</v>
      </c>
      <c r="G1641" s="3">
        <v>1443.21</v>
      </c>
      <c r="H1641" s="3">
        <f>Table1[[#This Row],[Sale]]-Table1[[#This Row],[Cost]]</f>
        <v>822.63</v>
      </c>
      <c r="I1641" s="4">
        <f>Table1[[#This Row],[Profit]]/Table1[[#This Row],[Sale]]</f>
        <v>0.57000020786995653</v>
      </c>
      <c r="J1641" s="5">
        <f t="shared" si="50"/>
        <v>2005</v>
      </c>
      <c r="K1641" s="5">
        <f>MONTH(Table1[[#This Row],[Date]])</f>
        <v>10</v>
      </c>
      <c r="L1641" s="5">
        <f>DAY(Table1[[#This Row],[Date]])</f>
        <v>4</v>
      </c>
      <c r="M1641" s="5" t="str">
        <f t="shared" si="51"/>
        <v>Oct</v>
      </c>
    </row>
    <row r="1642" spans="1:13" x14ac:dyDescent="0.25">
      <c r="A1642" s="2">
        <v>38393</v>
      </c>
      <c r="B1642" t="s">
        <v>15</v>
      </c>
      <c r="C1642" t="s">
        <v>29</v>
      </c>
      <c r="D1642" t="s">
        <v>16</v>
      </c>
      <c r="E1642" t="s">
        <v>20</v>
      </c>
      <c r="F1642" s="3">
        <v>4297.5200000000004</v>
      </c>
      <c r="G1642" s="3">
        <v>9994.24</v>
      </c>
      <c r="H1642" s="3">
        <f>Table1[[#This Row],[Sale]]-Table1[[#This Row],[Cost]]</f>
        <v>5696.7199999999993</v>
      </c>
      <c r="I1642" s="4">
        <f>Table1[[#This Row],[Profit]]/Table1[[#This Row],[Sale]]</f>
        <v>0.57000032018442615</v>
      </c>
      <c r="J1642" s="5">
        <f t="shared" si="50"/>
        <v>2005</v>
      </c>
      <c r="K1642" s="5">
        <f>MONTH(Table1[[#This Row],[Date]])</f>
        <v>2</v>
      </c>
      <c r="L1642" s="5">
        <f>DAY(Table1[[#This Row],[Date]])</f>
        <v>10</v>
      </c>
      <c r="M1642" s="5" t="str">
        <f t="shared" si="51"/>
        <v>Feb</v>
      </c>
    </row>
    <row r="1643" spans="1:13" x14ac:dyDescent="0.25">
      <c r="A1643" s="2">
        <v>38652</v>
      </c>
      <c r="B1643" t="s">
        <v>21</v>
      </c>
      <c r="C1643" t="s">
        <v>18</v>
      </c>
      <c r="D1643" t="s">
        <v>16</v>
      </c>
      <c r="E1643" t="s">
        <v>24</v>
      </c>
      <c r="F1643" s="3">
        <v>6349.59</v>
      </c>
      <c r="G1643" s="3">
        <v>7215.44</v>
      </c>
      <c r="H1643" s="3">
        <f>Table1[[#This Row],[Sale]]-Table1[[#This Row],[Cost]]</f>
        <v>865.84999999999945</v>
      </c>
      <c r="I1643" s="4">
        <f>Table1[[#This Row],[Profit]]/Table1[[#This Row],[Sale]]</f>
        <v>0.11999961194327713</v>
      </c>
      <c r="J1643" s="5">
        <f t="shared" si="50"/>
        <v>2005</v>
      </c>
      <c r="K1643" s="5">
        <f>MONTH(Table1[[#This Row],[Date]])</f>
        <v>10</v>
      </c>
      <c r="L1643" s="5">
        <f>DAY(Table1[[#This Row],[Date]])</f>
        <v>27</v>
      </c>
      <c r="M1643" s="5" t="str">
        <f t="shared" si="51"/>
        <v>Oct</v>
      </c>
    </row>
    <row r="1644" spans="1:13" x14ac:dyDescent="0.25">
      <c r="A1644" s="2">
        <v>38446</v>
      </c>
      <c r="B1644" t="s">
        <v>11</v>
      </c>
      <c r="C1644" t="s">
        <v>12</v>
      </c>
      <c r="D1644" t="s">
        <v>13</v>
      </c>
      <c r="E1644" t="s">
        <v>24</v>
      </c>
      <c r="F1644" s="3">
        <v>3918.36</v>
      </c>
      <c r="G1644" s="3">
        <v>4452.68</v>
      </c>
      <c r="H1644" s="3">
        <f>Table1[[#This Row],[Sale]]-Table1[[#This Row],[Cost]]</f>
        <v>534.32000000000016</v>
      </c>
      <c r="I1644" s="4">
        <f>Table1[[#This Row],[Profit]]/Table1[[#This Row],[Sale]]</f>
        <v>0.11999964066584622</v>
      </c>
      <c r="J1644" s="5">
        <f t="shared" si="50"/>
        <v>2005</v>
      </c>
      <c r="K1644" s="5">
        <f>MONTH(Table1[[#This Row],[Date]])</f>
        <v>4</v>
      </c>
      <c r="L1644" s="5">
        <f>DAY(Table1[[#This Row],[Date]])</f>
        <v>4</v>
      </c>
      <c r="M1644" s="5" t="str">
        <f t="shared" si="51"/>
        <v>Apr</v>
      </c>
    </row>
    <row r="1645" spans="1:13" x14ac:dyDescent="0.25">
      <c r="A1645" s="2">
        <v>38744</v>
      </c>
      <c r="B1645" t="s">
        <v>26</v>
      </c>
      <c r="C1645" t="s">
        <v>23</v>
      </c>
      <c r="D1645" t="s">
        <v>13</v>
      </c>
      <c r="E1645" t="s">
        <v>24</v>
      </c>
      <c r="F1645" s="3">
        <v>4128.82</v>
      </c>
      <c r="G1645" s="3">
        <v>5505.1</v>
      </c>
      <c r="H1645" s="3">
        <f>Table1[[#This Row],[Sale]]-Table1[[#This Row],[Cost]]</f>
        <v>1376.2800000000007</v>
      </c>
      <c r="I1645" s="4">
        <f>Table1[[#This Row],[Profit]]/Table1[[#This Row],[Sale]]</f>
        <v>0.2500009082487149</v>
      </c>
      <c r="J1645" s="5">
        <f t="shared" si="50"/>
        <v>2006</v>
      </c>
      <c r="K1645" s="5">
        <f>MONTH(Table1[[#This Row],[Date]])</f>
        <v>1</v>
      </c>
      <c r="L1645" s="5">
        <f>DAY(Table1[[#This Row],[Date]])</f>
        <v>27</v>
      </c>
      <c r="M1645" s="5" t="str">
        <f t="shared" si="51"/>
        <v>Jan</v>
      </c>
    </row>
    <row r="1646" spans="1:13" x14ac:dyDescent="0.25">
      <c r="A1646" s="2">
        <v>38443</v>
      </c>
      <c r="B1646" t="s">
        <v>22</v>
      </c>
      <c r="C1646" t="s">
        <v>27</v>
      </c>
      <c r="D1646" t="s">
        <v>13</v>
      </c>
      <c r="E1646" t="s">
        <v>25</v>
      </c>
      <c r="F1646" s="3">
        <v>6032.36</v>
      </c>
      <c r="G1646" s="3">
        <v>6451.72</v>
      </c>
      <c r="H1646" s="3">
        <f>Table1[[#This Row],[Sale]]-Table1[[#This Row],[Cost]]</f>
        <v>419.36000000000058</v>
      </c>
      <c r="I1646" s="4">
        <f>Table1[[#This Row],[Profit]]/Table1[[#This Row],[Sale]]</f>
        <v>6.4999721004631417E-2</v>
      </c>
      <c r="J1646" s="5">
        <f t="shared" si="50"/>
        <v>2005</v>
      </c>
      <c r="K1646" s="5">
        <f>MONTH(Table1[[#This Row],[Date]])</f>
        <v>4</v>
      </c>
      <c r="L1646" s="5">
        <f>DAY(Table1[[#This Row],[Date]])</f>
        <v>1</v>
      </c>
      <c r="M1646" s="5" t="str">
        <f t="shared" si="51"/>
        <v>Apr</v>
      </c>
    </row>
    <row r="1647" spans="1:13" x14ac:dyDescent="0.25">
      <c r="A1647" s="2">
        <v>38390</v>
      </c>
      <c r="B1647" t="s">
        <v>21</v>
      </c>
      <c r="C1647" t="s">
        <v>23</v>
      </c>
      <c r="D1647" t="s">
        <v>13</v>
      </c>
      <c r="E1647" t="s">
        <v>24</v>
      </c>
      <c r="F1647" s="3">
        <v>2178.46</v>
      </c>
      <c r="G1647" s="3">
        <v>4841.03</v>
      </c>
      <c r="H1647" s="3">
        <f>Table1[[#This Row],[Sale]]-Table1[[#This Row],[Cost]]</f>
        <v>2662.5699999999997</v>
      </c>
      <c r="I1647" s="4">
        <f>Table1[[#This Row],[Profit]]/Table1[[#This Row],[Sale]]</f>
        <v>0.55000072298663716</v>
      </c>
      <c r="J1647" s="5">
        <f t="shared" si="50"/>
        <v>2005</v>
      </c>
      <c r="K1647" s="5">
        <f>MONTH(Table1[[#This Row],[Date]])</f>
        <v>2</v>
      </c>
      <c r="L1647" s="5">
        <f>DAY(Table1[[#This Row],[Date]])</f>
        <v>7</v>
      </c>
      <c r="M1647" s="5" t="str">
        <f t="shared" si="51"/>
        <v>Feb</v>
      </c>
    </row>
    <row r="1648" spans="1:13" x14ac:dyDescent="0.25">
      <c r="A1648" s="2">
        <v>38401</v>
      </c>
      <c r="B1648" t="s">
        <v>11</v>
      </c>
      <c r="C1648" t="s">
        <v>23</v>
      </c>
      <c r="D1648" t="s">
        <v>16</v>
      </c>
      <c r="E1648" t="s">
        <v>24</v>
      </c>
      <c r="F1648" s="3">
        <v>3065.08</v>
      </c>
      <c r="G1648" s="3">
        <v>8283.99</v>
      </c>
      <c r="H1648" s="3">
        <f>Table1[[#This Row],[Sale]]-Table1[[#This Row],[Cost]]</f>
        <v>5218.91</v>
      </c>
      <c r="I1648" s="4">
        <f>Table1[[#This Row],[Profit]]/Table1[[#This Row],[Sale]]</f>
        <v>0.62999955335532754</v>
      </c>
      <c r="J1648" s="5">
        <f t="shared" si="50"/>
        <v>2005</v>
      </c>
      <c r="K1648" s="5">
        <f>MONTH(Table1[[#This Row],[Date]])</f>
        <v>2</v>
      </c>
      <c r="L1648" s="5">
        <f>DAY(Table1[[#This Row],[Date]])</f>
        <v>18</v>
      </c>
      <c r="M1648" s="5" t="str">
        <f t="shared" si="51"/>
        <v>Feb</v>
      </c>
    </row>
    <row r="1649" spans="1:13" x14ac:dyDescent="0.25">
      <c r="A1649" s="2">
        <v>38855</v>
      </c>
      <c r="B1649" t="s">
        <v>15</v>
      </c>
      <c r="C1649" t="s">
        <v>12</v>
      </c>
      <c r="D1649" t="s">
        <v>16</v>
      </c>
      <c r="E1649" t="s">
        <v>24</v>
      </c>
      <c r="F1649" s="3">
        <v>4246.57</v>
      </c>
      <c r="G1649" s="3">
        <v>4541.79</v>
      </c>
      <c r="H1649" s="3">
        <f>Table1[[#This Row],[Sale]]-Table1[[#This Row],[Cost]]</f>
        <v>295.22000000000025</v>
      </c>
      <c r="I1649" s="4">
        <f>Table1[[#This Row],[Profit]]/Table1[[#This Row],[Sale]]</f>
        <v>6.5000803647900993E-2</v>
      </c>
      <c r="J1649" s="5">
        <f t="shared" si="50"/>
        <v>2006</v>
      </c>
      <c r="K1649" s="5">
        <f>MONTH(Table1[[#This Row],[Date]])</f>
        <v>5</v>
      </c>
      <c r="L1649" s="5">
        <f>DAY(Table1[[#This Row],[Date]])</f>
        <v>18</v>
      </c>
      <c r="M1649" s="5" t="str">
        <f t="shared" si="51"/>
        <v>May</v>
      </c>
    </row>
    <row r="1650" spans="1:13" x14ac:dyDescent="0.25">
      <c r="A1650" s="2">
        <v>38313</v>
      </c>
      <c r="B1650" t="s">
        <v>21</v>
      </c>
      <c r="C1650" t="s">
        <v>27</v>
      </c>
      <c r="D1650" t="s">
        <v>28</v>
      </c>
      <c r="E1650" t="s">
        <v>25</v>
      </c>
      <c r="F1650" s="3">
        <v>7012.77</v>
      </c>
      <c r="G1650" s="3">
        <v>7500.29</v>
      </c>
      <c r="H1650" s="3">
        <f>Table1[[#This Row],[Sale]]-Table1[[#This Row],[Cost]]</f>
        <v>487.51999999999953</v>
      </c>
      <c r="I1650" s="4">
        <f>Table1[[#This Row],[Profit]]/Table1[[#This Row],[Sale]]</f>
        <v>6.5000153327404608E-2</v>
      </c>
      <c r="J1650" s="5">
        <f t="shared" si="50"/>
        <v>2004</v>
      </c>
      <c r="K1650" s="5">
        <f>MONTH(Table1[[#This Row],[Date]])</f>
        <v>11</v>
      </c>
      <c r="L1650" s="5">
        <f>DAY(Table1[[#This Row],[Date]])</f>
        <v>22</v>
      </c>
      <c r="M1650" s="5" t="str">
        <f t="shared" si="51"/>
        <v>Nov</v>
      </c>
    </row>
    <row r="1651" spans="1:13" x14ac:dyDescent="0.25">
      <c r="A1651" s="2">
        <v>38286</v>
      </c>
      <c r="B1651" t="s">
        <v>15</v>
      </c>
      <c r="C1651" t="s">
        <v>29</v>
      </c>
      <c r="D1651" t="s">
        <v>16</v>
      </c>
      <c r="E1651" t="s">
        <v>25</v>
      </c>
      <c r="F1651" s="3">
        <v>2137.29</v>
      </c>
      <c r="G1651" s="3">
        <v>3622.53</v>
      </c>
      <c r="H1651" s="3">
        <f>Table1[[#This Row],[Sale]]-Table1[[#This Row],[Cost]]</f>
        <v>1485.2400000000002</v>
      </c>
      <c r="I1651" s="4">
        <f>Table1[[#This Row],[Profit]]/Table1[[#This Row],[Sale]]</f>
        <v>0.4100007453354424</v>
      </c>
      <c r="J1651" s="5">
        <f t="shared" si="50"/>
        <v>2004</v>
      </c>
      <c r="K1651" s="5">
        <f>MONTH(Table1[[#This Row],[Date]])</f>
        <v>10</v>
      </c>
      <c r="L1651" s="5">
        <f>DAY(Table1[[#This Row],[Date]])</f>
        <v>26</v>
      </c>
      <c r="M1651" s="5" t="str">
        <f t="shared" si="51"/>
        <v>Oct</v>
      </c>
    </row>
    <row r="1652" spans="1:13" x14ac:dyDescent="0.25">
      <c r="A1652" s="2">
        <v>38521</v>
      </c>
      <c r="B1652" t="s">
        <v>26</v>
      </c>
      <c r="C1652" t="s">
        <v>23</v>
      </c>
      <c r="D1652" t="s">
        <v>19</v>
      </c>
      <c r="E1652" t="s">
        <v>14</v>
      </c>
      <c r="F1652" s="3">
        <v>2042.11</v>
      </c>
      <c r="G1652" s="3">
        <v>3712.93</v>
      </c>
      <c r="H1652" s="3">
        <f>Table1[[#This Row],[Sale]]-Table1[[#This Row],[Cost]]</f>
        <v>1670.82</v>
      </c>
      <c r="I1652" s="4">
        <f>Table1[[#This Row],[Profit]]/Table1[[#This Row],[Sale]]</f>
        <v>0.45000040399361152</v>
      </c>
      <c r="J1652" s="5">
        <f t="shared" si="50"/>
        <v>2005</v>
      </c>
      <c r="K1652" s="5">
        <f>MONTH(Table1[[#This Row],[Date]])</f>
        <v>6</v>
      </c>
      <c r="L1652" s="5">
        <f>DAY(Table1[[#This Row],[Date]])</f>
        <v>18</v>
      </c>
      <c r="M1652" s="5" t="str">
        <f t="shared" si="51"/>
        <v>Jun</v>
      </c>
    </row>
    <row r="1653" spans="1:13" x14ac:dyDescent="0.25">
      <c r="A1653" s="2">
        <v>38780</v>
      </c>
      <c r="B1653" t="s">
        <v>26</v>
      </c>
      <c r="C1653" t="s">
        <v>12</v>
      </c>
      <c r="D1653" t="s">
        <v>16</v>
      </c>
      <c r="E1653" t="s">
        <v>14</v>
      </c>
      <c r="F1653" s="3">
        <v>361.34</v>
      </c>
      <c r="G1653" s="3">
        <v>976.59</v>
      </c>
      <c r="H1653" s="3">
        <f>Table1[[#This Row],[Sale]]-Table1[[#This Row],[Cost]]</f>
        <v>615.25</v>
      </c>
      <c r="I1653" s="4">
        <f>Table1[[#This Row],[Profit]]/Table1[[#This Row],[Sale]]</f>
        <v>0.62999825924901953</v>
      </c>
      <c r="J1653" s="5">
        <f t="shared" si="50"/>
        <v>2006</v>
      </c>
      <c r="K1653" s="5">
        <f>MONTH(Table1[[#This Row],[Date]])</f>
        <v>3</v>
      </c>
      <c r="L1653" s="5">
        <f>DAY(Table1[[#This Row],[Date]])</f>
        <v>4</v>
      </c>
      <c r="M1653" s="5" t="str">
        <f t="shared" si="51"/>
        <v>Mar</v>
      </c>
    </row>
    <row r="1654" spans="1:13" x14ac:dyDescent="0.25">
      <c r="A1654" s="2">
        <v>38683</v>
      </c>
      <c r="B1654" t="s">
        <v>21</v>
      </c>
      <c r="C1654" t="s">
        <v>23</v>
      </c>
      <c r="D1654" t="s">
        <v>13</v>
      </c>
      <c r="E1654" t="s">
        <v>14</v>
      </c>
      <c r="F1654" s="3">
        <v>1483.93</v>
      </c>
      <c r="G1654" s="3">
        <v>4010.61</v>
      </c>
      <c r="H1654" s="3">
        <f>Table1[[#This Row],[Sale]]-Table1[[#This Row],[Cost]]</f>
        <v>2526.6800000000003</v>
      </c>
      <c r="I1654" s="4">
        <f>Table1[[#This Row],[Profit]]/Table1[[#This Row],[Sale]]</f>
        <v>0.62999892784389411</v>
      </c>
      <c r="J1654" s="5">
        <f t="shared" si="50"/>
        <v>2005</v>
      </c>
      <c r="K1654" s="5">
        <f>MONTH(Table1[[#This Row],[Date]])</f>
        <v>11</v>
      </c>
      <c r="L1654" s="5">
        <f>DAY(Table1[[#This Row],[Date]])</f>
        <v>27</v>
      </c>
      <c r="M1654" s="5" t="str">
        <f t="shared" si="51"/>
        <v>Nov</v>
      </c>
    </row>
    <row r="1655" spans="1:13" x14ac:dyDescent="0.25">
      <c r="A1655" s="2">
        <v>38858</v>
      </c>
      <c r="B1655" t="s">
        <v>21</v>
      </c>
      <c r="C1655" t="s">
        <v>29</v>
      </c>
      <c r="D1655" t="s">
        <v>16</v>
      </c>
      <c r="E1655" t="s">
        <v>24</v>
      </c>
      <c r="F1655" s="3">
        <v>1658.33</v>
      </c>
      <c r="G1655" s="3">
        <v>3685.18</v>
      </c>
      <c r="H1655" s="3">
        <f>Table1[[#This Row],[Sale]]-Table1[[#This Row],[Cost]]</f>
        <v>2026.85</v>
      </c>
      <c r="I1655" s="4">
        <f>Table1[[#This Row],[Profit]]/Table1[[#This Row],[Sale]]</f>
        <v>0.55000027135716578</v>
      </c>
      <c r="J1655" s="5">
        <f t="shared" si="50"/>
        <v>2006</v>
      </c>
      <c r="K1655" s="5">
        <f>MONTH(Table1[[#This Row],[Date]])</f>
        <v>5</v>
      </c>
      <c r="L1655" s="5">
        <f>DAY(Table1[[#This Row],[Date]])</f>
        <v>21</v>
      </c>
      <c r="M1655" s="5" t="str">
        <f t="shared" si="51"/>
        <v>May</v>
      </c>
    </row>
    <row r="1656" spans="1:13" x14ac:dyDescent="0.25">
      <c r="A1656" s="2">
        <v>38313</v>
      </c>
      <c r="B1656" t="s">
        <v>17</v>
      </c>
      <c r="C1656" t="s">
        <v>12</v>
      </c>
      <c r="D1656" t="s">
        <v>28</v>
      </c>
      <c r="E1656" t="s">
        <v>14</v>
      </c>
      <c r="F1656" s="3">
        <v>4711.2299999999996</v>
      </c>
      <c r="G1656" s="3">
        <v>5353.67</v>
      </c>
      <c r="H1656" s="3">
        <f>Table1[[#This Row],[Sale]]-Table1[[#This Row],[Cost]]</f>
        <v>642.44000000000051</v>
      </c>
      <c r="I1656" s="4">
        <f>Table1[[#This Row],[Profit]]/Table1[[#This Row],[Sale]]</f>
        <v>0.11999992528489811</v>
      </c>
      <c r="J1656" s="5">
        <f t="shared" si="50"/>
        <v>2004</v>
      </c>
      <c r="K1656" s="5">
        <f>MONTH(Table1[[#This Row],[Date]])</f>
        <v>11</v>
      </c>
      <c r="L1656" s="5">
        <f>DAY(Table1[[#This Row],[Date]])</f>
        <v>22</v>
      </c>
      <c r="M1656" s="5" t="str">
        <f t="shared" si="51"/>
        <v>Nov</v>
      </c>
    </row>
    <row r="1657" spans="1:13" x14ac:dyDescent="0.25">
      <c r="A1657" s="2">
        <v>38704</v>
      </c>
      <c r="B1657" t="s">
        <v>17</v>
      </c>
      <c r="C1657" t="s">
        <v>29</v>
      </c>
      <c r="D1657" t="s">
        <v>19</v>
      </c>
      <c r="E1657" t="s">
        <v>24</v>
      </c>
      <c r="F1657" s="3">
        <v>829.8</v>
      </c>
      <c r="G1657" s="3">
        <v>1406.44</v>
      </c>
      <c r="H1657" s="3">
        <f>Table1[[#This Row],[Sale]]-Table1[[#This Row],[Cost]]</f>
        <v>576.6400000000001</v>
      </c>
      <c r="I1657" s="4">
        <f>Table1[[#This Row],[Profit]]/Table1[[#This Row],[Sale]]</f>
        <v>0.40999971559398202</v>
      </c>
      <c r="J1657" s="5">
        <f t="shared" si="50"/>
        <v>2005</v>
      </c>
      <c r="K1657" s="5">
        <f>MONTH(Table1[[#This Row],[Date]])</f>
        <v>12</v>
      </c>
      <c r="L1657" s="5">
        <f>DAY(Table1[[#This Row],[Date]])</f>
        <v>18</v>
      </c>
      <c r="M1657" s="5" t="str">
        <f t="shared" si="51"/>
        <v>Dec</v>
      </c>
    </row>
    <row r="1658" spans="1:13" x14ac:dyDescent="0.25">
      <c r="A1658" s="2">
        <v>38328</v>
      </c>
      <c r="B1658" t="s">
        <v>22</v>
      </c>
      <c r="C1658" t="s">
        <v>12</v>
      </c>
      <c r="D1658" t="s">
        <v>28</v>
      </c>
      <c r="E1658" t="s">
        <v>25</v>
      </c>
      <c r="F1658" s="3">
        <v>3649.08</v>
      </c>
      <c r="G1658" s="3">
        <v>8109.06</v>
      </c>
      <c r="H1658" s="3">
        <f>Table1[[#This Row],[Sale]]-Table1[[#This Row],[Cost]]</f>
        <v>4459.9800000000005</v>
      </c>
      <c r="I1658" s="4">
        <f>Table1[[#This Row],[Profit]]/Table1[[#This Row],[Sale]]</f>
        <v>0.54999963004343289</v>
      </c>
      <c r="J1658" s="5">
        <f t="shared" si="50"/>
        <v>2004</v>
      </c>
      <c r="K1658" s="5">
        <f>MONTH(Table1[[#This Row],[Date]])</f>
        <v>12</v>
      </c>
      <c r="L1658" s="5">
        <f>DAY(Table1[[#This Row],[Date]])</f>
        <v>7</v>
      </c>
      <c r="M1658" s="5" t="str">
        <f t="shared" si="51"/>
        <v>Dec</v>
      </c>
    </row>
    <row r="1659" spans="1:13" x14ac:dyDescent="0.25">
      <c r="A1659" s="2">
        <v>38592</v>
      </c>
      <c r="B1659" t="s">
        <v>26</v>
      </c>
      <c r="C1659" t="s">
        <v>18</v>
      </c>
      <c r="D1659" t="s">
        <v>19</v>
      </c>
      <c r="E1659" t="s">
        <v>24</v>
      </c>
      <c r="F1659" s="3">
        <v>5349.44</v>
      </c>
      <c r="G1659" s="3">
        <v>7866.83</v>
      </c>
      <c r="H1659" s="3">
        <f>Table1[[#This Row],[Sale]]-Table1[[#This Row],[Cost]]</f>
        <v>2517.3900000000003</v>
      </c>
      <c r="I1659" s="4">
        <f>Table1[[#This Row],[Profit]]/Table1[[#This Row],[Sale]]</f>
        <v>0.32000055931042115</v>
      </c>
      <c r="J1659" s="5">
        <f t="shared" si="50"/>
        <v>2005</v>
      </c>
      <c r="K1659" s="5">
        <f>MONTH(Table1[[#This Row],[Date]])</f>
        <v>8</v>
      </c>
      <c r="L1659" s="5">
        <f>DAY(Table1[[#This Row],[Date]])</f>
        <v>28</v>
      </c>
      <c r="M1659" s="5" t="str">
        <f t="shared" si="51"/>
        <v>Aug</v>
      </c>
    </row>
    <row r="1660" spans="1:13" x14ac:dyDescent="0.25">
      <c r="A1660" s="2">
        <v>38185</v>
      </c>
      <c r="B1660" t="s">
        <v>21</v>
      </c>
      <c r="C1660" t="s">
        <v>12</v>
      </c>
      <c r="D1660" t="s">
        <v>13</v>
      </c>
      <c r="E1660" t="s">
        <v>25</v>
      </c>
      <c r="F1660" s="3">
        <v>5456</v>
      </c>
      <c r="G1660" s="3">
        <v>9247.4599999999991</v>
      </c>
      <c r="H1660" s="3">
        <f>Table1[[#This Row],[Sale]]-Table1[[#This Row],[Cost]]</f>
        <v>3791.4599999999991</v>
      </c>
      <c r="I1660" s="4">
        <f>Table1[[#This Row],[Profit]]/Table1[[#This Row],[Sale]]</f>
        <v>0.41000015139292295</v>
      </c>
      <c r="J1660" s="5">
        <f t="shared" si="50"/>
        <v>2004</v>
      </c>
      <c r="K1660" s="5">
        <f>MONTH(Table1[[#This Row],[Date]])</f>
        <v>7</v>
      </c>
      <c r="L1660" s="5">
        <f>DAY(Table1[[#This Row],[Date]])</f>
        <v>17</v>
      </c>
      <c r="M1660" s="5" t="str">
        <f t="shared" si="51"/>
        <v>Jul</v>
      </c>
    </row>
    <row r="1661" spans="1:13" x14ac:dyDescent="0.25">
      <c r="A1661" s="2">
        <v>38336</v>
      </c>
      <c r="B1661" t="s">
        <v>17</v>
      </c>
      <c r="C1661" t="s">
        <v>12</v>
      </c>
      <c r="D1661" t="s">
        <v>28</v>
      </c>
      <c r="E1661" t="s">
        <v>25</v>
      </c>
      <c r="F1661" s="3">
        <v>1838.23</v>
      </c>
      <c r="G1661" s="3">
        <v>4274.96</v>
      </c>
      <c r="H1661" s="3">
        <f>Table1[[#This Row],[Sale]]-Table1[[#This Row],[Cost]]</f>
        <v>2436.73</v>
      </c>
      <c r="I1661" s="4">
        <f>Table1[[#This Row],[Profit]]/Table1[[#This Row],[Sale]]</f>
        <v>0.57000065497688868</v>
      </c>
      <c r="J1661" s="5">
        <f t="shared" si="50"/>
        <v>2004</v>
      </c>
      <c r="K1661" s="5">
        <f>MONTH(Table1[[#This Row],[Date]])</f>
        <v>12</v>
      </c>
      <c r="L1661" s="5">
        <f>DAY(Table1[[#This Row],[Date]])</f>
        <v>15</v>
      </c>
      <c r="M1661" s="5" t="str">
        <f t="shared" si="51"/>
        <v>Dec</v>
      </c>
    </row>
    <row r="1662" spans="1:13" x14ac:dyDescent="0.25">
      <c r="A1662" s="2">
        <v>38171</v>
      </c>
      <c r="B1662" t="s">
        <v>11</v>
      </c>
      <c r="C1662" t="s">
        <v>12</v>
      </c>
      <c r="D1662" t="s">
        <v>28</v>
      </c>
      <c r="E1662" t="s">
        <v>25</v>
      </c>
      <c r="F1662" s="3">
        <v>1160.9100000000001</v>
      </c>
      <c r="G1662" s="3">
        <v>2579.81</v>
      </c>
      <c r="H1662" s="3">
        <f>Table1[[#This Row],[Sale]]-Table1[[#This Row],[Cost]]</f>
        <v>1418.8999999999999</v>
      </c>
      <c r="I1662" s="4">
        <f>Table1[[#This Row],[Profit]]/Table1[[#This Row],[Sale]]</f>
        <v>0.55000174431450377</v>
      </c>
      <c r="J1662" s="5">
        <f t="shared" si="50"/>
        <v>2004</v>
      </c>
      <c r="K1662" s="5">
        <f>MONTH(Table1[[#This Row],[Date]])</f>
        <v>7</v>
      </c>
      <c r="L1662" s="5">
        <f>DAY(Table1[[#This Row],[Date]])</f>
        <v>3</v>
      </c>
      <c r="M1662" s="5" t="str">
        <f t="shared" si="51"/>
        <v>Jul</v>
      </c>
    </row>
    <row r="1663" spans="1:13" x14ac:dyDescent="0.25">
      <c r="A1663" s="2">
        <v>38427</v>
      </c>
      <c r="B1663" t="s">
        <v>21</v>
      </c>
      <c r="C1663" t="s">
        <v>23</v>
      </c>
      <c r="D1663" t="s">
        <v>19</v>
      </c>
      <c r="E1663" t="s">
        <v>14</v>
      </c>
      <c r="F1663" s="3">
        <v>4446.21</v>
      </c>
      <c r="G1663" s="3">
        <v>4755.3</v>
      </c>
      <c r="H1663" s="3">
        <f>Table1[[#This Row],[Sale]]-Table1[[#This Row],[Cost]]</f>
        <v>309.09000000000015</v>
      </c>
      <c r="I1663" s="4">
        <f>Table1[[#This Row],[Profit]]/Table1[[#This Row],[Sale]]</f>
        <v>6.4999053687464545E-2</v>
      </c>
      <c r="J1663" s="5">
        <f t="shared" si="50"/>
        <v>2005</v>
      </c>
      <c r="K1663" s="5">
        <f>MONTH(Table1[[#This Row],[Date]])</f>
        <v>3</v>
      </c>
      <c r="L1663" s="5">
        <f>DAY(Table1[[#This Row],[Date]])</f>
        <v>16</v>
      </c>
      <c r="M1663" s="5" t="str">
        <f t="shared" si="51"/>
        <v>Mar</v>
      </c>
    </row>
    <row r="1664" spans="1:13" x14ac:dyDescent="0.25">
      <c r="A1664" s="2">
        <v>38204</v>
      </c>
      <c r="B1664" t="s">
        <v>17</v>
      </c>
      <c r="C1664" t="s">
        <v>27</v>
      </c>
      <c r="D1664" t="s">
        <v>19</v>
      </c>
      <c r="E1664" t="s">
        <v>25</v>
      </c>
      <c r="F1664" s="3">
        <v>3793.53</v>
      </c>
      <c r="G1664" s="3">
        <v>8822.16</v>
      </c>
      <c r="H1664" s="3">
        <f>Table1[[#This Row],[Sale]]-Table1[[#This Row],[Cost]]</f>
        <v>5028.6299999999992</v>
      </c>
      <c r="I1664" s="4">
        <f>Table1[[#This Row],[Profit]]/Table1[[#This Row],[Sale]]</f>
        <v>0.56999986397888946</v>
      </c>
      <c r="J1664" s="5">
        <f t="shared" si="50"/>
        <v>2004</v>
      </c>
      <c r="K1664" s="5">
        <f>MONTH(Table1[[#This Row],[Date]])</f>
        <v>8</v>
      </c>
      <c r="L1664" s="5">
        <f>DAY(Table1[[#This Row],[Date]])</f>
        <v>5</v>
      </c>
      <c r="M1664" s="5" t="str">
        <f t="shared" si="51"/>
        <v>Aug</v>
      </c>
    </row>
    <row r="1665" spans="1:13" x14ac:dyDescent="0.25">
      <c r="A1665" s="2">
        <v>38779</v>
      </c>
      <c r="B1665" t="s">
        <v>17</v>
      </c>
      <c r="C1665" t="s">
        <v>18</v>
      </c>
      <c r="D1665" t="s">
        <v>19</v>
      </c>
      <c r="E1665" t="s">
        <v>24</v>
      </c>
      <c r="F1665" s="3">
        <v>428.12</v>
      </c>
      <c r="G1665" s="3">
        <v>738.14</v>
      </c>
      <c r="H1665" s="3">
        <f>Table1[[#This Row],[Sale]]-Table1[[#This Row],[Cost]]</f>
        <v>310.02</v>
      </c>
      <c r="I1665" s="4">
        <f>Table1[[#This Row],[Profit]]/Table1[[#This Row],[Sale]]</f>
        <v>0.42000162570786026</v>
      </c>
      <c r="J1665" s="5">
        <f t="shared" si="50"/>
        <v>2006</v>
      </c>
      <c r="K1665" s="5">
        <f>MONTH(Table1[[#This Row],[Date]])</f>
        <v>3</v>
      </c>
      <c r="L1665" s="5">
        <f>DAY(Table1[[#This Row],[Date]])</f>
        <v>3</v>
      </c>
      <c r="M1665" s="5" t="str">
        <f t="shared" si="51"/>
        <v>Mar</v>
      </c>
    </row>
    <row r="1666" spans="1:13" x14ac:dyDescent="0.25">
      <c r="A1666" s="2">
        <v>38190</v>
      </c>
      <c r="B1666" t="s">
        <v>11</v>
      </c>
      <c r="C1666" t="s">
        <v>12</v>
      </c>
      <c r="D1666" t="s">
        <v>13</v>
      </c>
      <c r="E1666" t="s">
        <v>25</v>
      </c>
      <c r="F1666" s="3">
        <v>3116.74</v>
      </c>
      <c r="G1666" s="3">
        <v>7248.24</v>
      </c>
      <c r="H1666" s="3">
        <f>Table1[[#This Row],[Sale]]-Table1[[#This Row],[Cost]]</f>
        <v>4131.5</v>
      </c>
      <c r="I1666" s="4">
        <f>Table1[[#This Row],[Profit]]/Table1[[#This Row],[Sale]]</f>
        <v>0.57000044148648499</v>
      </c>
      <c r="J1666" s="5">
        <f t="shared" ref="J1666:J1729" si="52">YEAR(A:A)</f>
        <v>2004</v>
      </c>
      <c r="K1666" s="5">
        <f>MONTH(Table1[[#This Row],[Date]])</f>
        <v>7</v>
      </c>
      <c r="L1666" s="5">
        <f>DAY(Table1[[#This Row],[Date]])</f>
        <v>22</v>
      </c>
      <c r="M1666" s="5" t="str">
        <f t="shared" ref="M1666:M1729" si="53">CHOOSE(K1666,"Jan", "Feb", "Mar", "Apr", "May", "Jun", "Jul", "Aug", "Sep", "Oct", "Nov", "Dec")</f>
        <v>Jul</v>
      </c>
    </row>
    <row r="1667" spans="1:13" x14ac:dyDescent="0.25">
      <c r="A1667" s="2">
        <v>38307</v>
      </c>
      <c r="B1667" t="s">
        <v>17</v>
      </c>
      <c r="C1667" t="s">
        <v>23</v>
      </c>
      <c r="D1667" t="s">
        <v>19</v>
      </c>
      <c r="E1667" t="s">
        <v>14</v>
      </c>
      <c r="F1667" s="3">
        <v>5399.02</v>
      </c>
      <c r="G1667" s="3">
        <v>9308.65</v>
      </c>
      <c r="H1667" s="3">
        <f>Table1[[#This Row],[Sale]]-Table1[[#This Row],[Cost]]</f>
        <v>3909.6299999999992</v>
      </c>
      <c r="I1667" s="4">
        <f>Table1[[#This Row],[Profit]]/Table1[[#This Row],[Sale]]</f>
        <v>0.41999967771911068</v>
      </c>
      <c r="J1667" s="5">
        <f t="shared" si="52"/>
        <v>2004</v>
      </c>
      <c r="K1667" s="5">
        <f>MONTH(Table1[[#This Row],[Date]])</f>
        <v>11</v>
      </c>
      <c r="L1667" s="5">
        <f>DAY(Table1[[#This Row],[Date]])</f>
        <v>16</v>
      </c>
      <c r="M1667" s="5" t="str">
        <f t="shared" si="53"/>
        <v>Nov</v>
      </c>
    </row>
    <row r="1668" spans="1:13" x14ac:dyDescent="0.25">
      <c r="A1668" s="2">
        <v>38836</v>
      </c>
      <c r="B1668" t="s">
        <v>21</v>
      </c>
      <c r="C1668" t="s">
        <v>18</v>
      </c>
      <c r="D1668" t="s">
        <v>28</v>
      </c>
      <c r="E1668" t="s">
        <v>20</v>
      </c>
      <c r="F1668" s="3">
        <v>3491.38</v>
      </c>
      <c r="G1668" s="3">
        <v>6347.97</v>
      </c>
      <c r="H1668" s="3">
        <f>Table1[[#This Row],[Sale]]-Table1[[#This Row],[Cost]]</f>
        <v>2856.59</v>
      </c>
      <c r="I1668" s="4">
        <f>Table1[[#This Row],[Profit]]/Table1[[#This Row],[Sale]]</f>
        <v>0.45000055135736305</v>
      </c>
      <c r="J1668" s="5">
        <f t="shared" si="52"/>
        <v>2006</v>
      </c>
      <c r="K1668" s="5">
        <f>MONTH(Table1[[#This Row],[Date]])</f>
        <v>4</v>
      </c>
      <c r="L1668" s="5">
        <f>DAY(Table1[[#This Row],[Date]])</f>
        <v>29</v>
      </c>
      <c r="M1668" s="5" t="str">
        <f t="shared" si="53"/>
        <v>Apr</v>
      </c>
    </row>
    <row r="1669" spans="1:13" x14ac:dyDescent="0.25">
      <c r="A1669" s="2">
        <v>38614</v>
      </c>
      <c r="B1669" t="s">
        <v>11</v>
      </c>
      <c r="C1669" t="s">
        <v>18</v>
      </c>
      <c r="D1669" t="s">
        <v>13</v>
      </c>
      <c r="E1669" t="s">
        <v>25</v>
      </c>
      <c r="F1669" s="3">
        <v>1622.29</v>
      </c>
      <c r="G1669" s="3">
        <v>4384.57</v>
      </c>
      <c r="H1669" s="3">
        <f>Table1[[#This Row],[Sale]]-Table1[[#This Row],[Cost]]</f>
        <v>2762.2799999999997</v>
      </c>
      <c r="I1669" s="4">
        <f>Table1[[#This Row],[Profit]]/Table1[[#This Row],[Sale]]</f>
        <v>0.63000020526528255</v>
      </c>
      <c r="J1669" s="5">
        <f t="shared" si="52"/>
        <v>2005</v>
      </c>
      <c r="K1669" s="5">
        <f>MONTH(Table1[[#This Row],[Date]])</f>
        <v>9</v>
      </c>
      <c r="L1669" s="5">
        <f>DAY(Table1[[#This Row],[Date]])</f>
        <v>19</v>
      </c>
      <c r="M1669" s="5" t="str">
        <f t="shared" si="53"/>
        <v>Sep</v>
      </c>
    </row>
    <row r="1670" spans="1:13" x14ac:dyDescent="0.25">
      <c r="A1670" s="2">
        <v>38574</v>
      </c>
      <c r="B1670" t="s">
        <v>15</v>
      </c>
      <c r="C1670" t="s">
        <v>27</v>
      </c>
      <c r="D1670" t="s">
        <v>19</v>
      </c>
      <c r="E1670" t="s">
        <v>20</v>
      </c>
      <c r="F1670" s="3">
        <v>2140.52</v>
      </c>
      <c r="G1670" s="3">
        <v>3891.86</v>
      </c>
      <c r="H1670" s="3">
        <f>Table1[[#This Row],[Sale]]-Table1[[#This Row],[Cost]]</f>
        <v>1751.3400000000001</v>
      </c>
      <c r="I1670" s="4">
        <f>Table1[[#This Row],[Profit]]/Table1[[#This Row],[Sale]]</f>
        <v>0.45000077083964996</v>
      </c>
      <c r="J1670" s="5">
        <f t="shared" si="52"/>
        <v>2005</v>
      </c>
      <c r="K1670" s="5">
        <f>MONTH(Table1[[#This Row],[Date]])</f>
        <v>8</v>
      </c>
      <c r="L1670" s="5">
        <f>DAY(Table1[[#This Row],[Date]])</f>
        <v>10</v>
      </c>
      <c r="M1670" s="5" t="str">
        <f t="shared" si="53"/>
        <v>Aug</v>
      </c>
    </row>
    <row r="1671" spans="1:13" x14ac:dyDescent="0.25">
      <c r="A1671" s="2">
        <v>38542</v>
      </c>
      <c r="B1671" t="s">
        <v>22</v>
      </c>
      <c r="C1671" t="s">
        <v>27</v>
      </c>
      <c r="D1671" t="s">
        <v>19</v>
      </c>
      <c r="E1671" t="s">
        <v>20</v>
      </c>
      <c r="F1671" s="3">
        <v>3730.96</v>
      </c>
      <c r="G1671" s="3">
        <v>3990.33</v>
      </c>
      <c r="H1671" s="3">
        <f>Table1[[#This Row],[Sale]]-Table1[[#This Row],[Cost]]</f>
        <v>259.36999999999989</v>
      </c>
      <c r="I1671" s="4">
        <f>Table1[[#This Row],[Profit]]/Table1[[#This Row],[Sale]]</f>
        <v>6.4999636621532533E-2</v>
      </c>
      <c r="J1671" s="5">
        <f t="shared" si="52"/>
        <v>2005</v>
      </c>
      <c r="K1671" s="5">
        <f>MONTH(Table1[[#This Row],[Date]])</f>
        <v>7</v>
      </c>
      <c r="L1671" s="5">
        <f>DAY(Table1[[#This Row],[Date]])</f>
        <v>9</v>
      </c>
      <c r="M1671" s="5" t="str">
        <f t="shared" si="53"/>
        <v>Jul</v>
      </c>
    </row>
    <row r="1672" spans="1:13" x14ac:dyDescent="0.25">
      <c r="A1672" s="2">
        <v>38584</v>
      </c>
      <c r="B1672" t="s">
        <v>21</v>
      </c>
      <c r="C1672" t="s">
        <v>18</v>
      </c>
      <c r="D1672" t="s">
        <v>19</v>
      </c>
      <c r="E1672" t="s">
        <v>25</v>
      </c>
      <c r="F1672" s="3">
        <v>2368.06</v>
      </c>
      <c r="G1672" s="3">
        <v>5507.11</v>
      </c>
      <c r="H1672" s="3">
        <f>Table1[[#This Row],[Sale]]-Table1[[#This Row],[Cost]]</f>
        <v>3139.0499999999997</v>
      </c>
      <c r="I1672" s="4">
        <f>Table1[[#This Row],[Profit]]/Table1[[#This Row],[Sale]]</f>
        <v>0.56999950972470137</v>
      </c>
      <c r="J1672" s="5">
        <f t="shared" si="52"/>
        <v>2005</v>
      </c>
      <c r="K1672" s="5">
        <f>MONTH(Table1[[#This Row],[Date]])</f>
        <v>8</v>
      </c>
      <c r="L1672" s="5">
        <f>DAY(Table1[[#This Row],[Date]])</f>
        <v>20</v>
      </c>
      <c r="M1672" s="5" t="str">
        <f t="shared" si="53"/>
        <v>Aug</v>
      </c>
    </row>
    <row r="1673" spans="1:13" x14ac:dyDescent="0.25">
      <c r="A1673" s="2">
        <v>38738</v>
      </c>
      <c r="B1673" t="s">
        <v>21</v>
      </c>
      <c r="C1673" t="s">
        <v>18</v>
      </c>
      <c r="D1673" t="s">
        <v>19</v>
      </c>
      <c r="E1673" t="s">
        <v>20</v>
      </c>
      <c r="F1673" s="3">
        <v>7438.07</v>
      </c>
      <c r="G1673" s="3">
        <v>8452.35</v>
      </c>
      <c r="H1673" s="3">
        <f>Table1[[#This Row],[Sale]]-Table1[[#This Row],[Cost]]</f>
        <v>1014.2800000000007</v>
      </c>
      <c r="I1673" s="4">
        <f>Table1[[#This Row],[Profit]]/Table1[[#This Row],[Sale]]</f>
        <v>0.11999976337941526</v>
      </c>
      <c r="J1673" s="5">
        <f t="shared" si="52"/>
        <v>2006</v>
      </c>
      <c r="K1673" s="5">
        <f>MONTH(Table1[[#This Row],[Date]])</f>
        <v>1</v>
      </c>
      <c r="L1673" s="5">
        <f>DAY(Table1[[#This Row],[Date]])</f>
        <v>21</v>
      </c>
      <c r="M1673" s="5" t="str">
        <f t="shared" si="53"/>
        <v>Jan</v>
      </c>
    </row>
    <row r="1674" spans="1:13" x14ac:dyDescent="0.25">
      <c r="A1674" s="2">
        <v>38664</v>
      </c>
      <c r="B1674" t="s">
        <v>11</v>
      </c>
      <c r="C1674" t="s">
        <v>23</v>
      </c>
      <c r="D1674" t="s">
        <v>16</v>
      </c>
      <c r="E1674" t="s">
        <v>24</v>
      </c>
      <c r="F1674" s="3">
        <v>3336.16</v>
      </c>
      <c r="G1674" s="3">
        <v>5654.5</v>
      </c>
      <c r="H1674" s="3">
        <f>Table1[[#This Row],[Sale]]-Table1[[#This Row],[Cost]]</f>
        <v>2318.34</v>
      </c>
      <c r="I1674" s="4">
        <f>Table1[[#This Row],[Profit]]/Table1[[#This Row],[Sale]]</f>
        <v>0.40999911574851888</v>
      </c>
      <c r="J1674" s="5">
        <f t="shared" si="52"/>
        <v>2005</v>
      </c>
      <c r="K1674" s="5">
        <f>MONTH(Table1[[#This Row],[Date]])</f>
        <v>11</v>
      </c>
      <c r="L1674" s="5">
        <f>DAY(Table1[[#This Row],[Date]])</f>
        <v>8</v>
      </c>
      <c r="M1674" s="5" t="str">
        <f t="shared" si="53"/>
        <v>Nov</v>
      </c>
    </row>
    <row r="1675" spans="1:13" x14ac:dyDescent="0.25">
      <c r="A1675" s="2">
        <v>38587</v>
      </c>
      <c r="B1675" t="s">
        <v>17</v>
      </c>
      <c r="C1675" t="s">
        <v>18</v>
      </c>
      <c r="D1675" t="s">
        <v>19</v>
      </c>
      <c r="E1675" t="s">
        <v>25</v>
      </c>
      <c r="F1675" s="3">
        <v>5301.92</v>
      </c>
      <c r="G1675" s="3">
        <v>8986.2999999999993</v>
      </c>
      <c r="H1675" s="3">
        <f>Table1[[#This Row],[Sale]]-Table1[[#This Row],[Cost]]</f>
        <v>3684.3799999999992</v>
      </c>
      <c r="I1675" s="4">
        <f>Table1[[#This Row],[Profit]]/Table1[[#This Row],[Sale]]</f>
        <v>0.40999966615848565</v>
      </c>
      <c r="J1675" s="5">
        <f t="shared" si="52"/>
        <v>2005</v>
      </c>
      <c r="K1675" s="5">
        <f>MONTH(Table1[[#This Row],[Date]])</f>
        <v>8</v>
      </c>
      <c r="L1675" s="5">
        <f>DAY(Table1[[#This Row],[Date]])</f>
        <v>23</v>
      </c>
      <c r="M1675" s="5" t="str">
        <f t="shared" si="53"/>
        <v>Aug</v>
      </c>
    </row>
    <row r="1676" spans="1:13" x14ac:dyDescent="0.25">
      <c r="A1676" s="2">
        <v>38325</v>
      </c>
      <c r="B1676" t="s">
        <v>26</v>
      </c>
      <c r="C1676" t="s">
        <v>29</v>
      </c>
      <c r="D1676" t="s">
        <v>13</v>
      </c>
      <c r="E1676" t="s">
        <v>14</v>
      </c>
      <c r="F1676" s="3">
        <v>1980.14</v>
      </c>
      <c r="G1676" s="3">
        <v>2640.18</v>
      </c>
      <c r="H1676" s="3">
        <f>Table1[[#This Row],[Sale]]-Table1[[#This Row],[Cost]]</f>
        <v>660.03999999999974</v>
      </c>
      <c r="I1676" s="4">
        <f>Table1[[#This Row],[Profit]]/Table1[[#This Row],[Sale]]</f>
        <v>0.2499981061897294</v>
      </c>
      <c r="J1676" s="5">
        <f t="shared" si="52"/>
        <v>2004</v>
      </c>
      <c r="K1676" s="5">
        <f>MONTH(Table1[[#This Row],[Date]])</f>
        <v>12</v>
      </c>
      <c r="L1676" s="5">
        <f>DAY(Table1[[#This Row],[Date]])</f>
        <v>4</v>
      </c>
      <c r="M1676" s="5" t="str">
        <f t="shared" si="53"/>
        <v>Dec</v>
      </c>
    </row>
    <row r="1677" spans="1:13" x14ac:dyDescent="0.25">
      <c r="A1677" s="2">
        <v>38661</v>
      </c>
      <c r="B1677" t="s">
        <v>17</v>
      </c>
      <c r="C1677" t="s">
        <v>12</v>
      </c>
      <c r="D1677" t="s">
        <v>19</v>
      </c>
      <c r="E1677" t="s">
        <v>20</v>
      </c>
      <c r="F1677" s="3">
        <v>2510.19</v>
      </c>
      <c r="G1677" s="3">
        <v>5837.66</v>
      </c>
      <c r="H1677" s="3">
        <f>Table1[[#This Row],[Sale]]-Table1[[#This Row],[Cost]]</f>
        <v>3327.47</v>
      </c>
      <c r="I1677" s="4">
        <f>Table1[[#This Row],[Profit]]/Table1[[#This Row],[Sale]]</f>
        <v>0.57000065094575569</v>
      </c>
      <c r="J1677" s="5">
        <f t="shared" si="52"/>
        <v>2005</v>
      </c>
      <c r="K1677" s="5">
        <f>MONTH(Table1[[#This Row],[Date]])</f>
        <v>11</v>
      </c>
      <c r="L1677" s="5">
        <f>DAY(Table1[[#This Row],[Date]])</f>
        <v>5</v>
      </c>
      <c r="M1677" s="5" t="str">
        <f t="shared" si="53"/>
        <v>Nov</v>
      </c>
    </row>
    <row r="1678" spans="1:13" x14ac:dyDescent="0.25">
      <c r="A1678" s="2">
        <v>38598</v>
      </c>
      <c r="B1678" t="s">
        <v>21</v>
      </c>
      <c r="C1678" t="s">
        <v>23</v>
      </c>
      <c r="D1678" t="s">
        <v>13</v>
      </c>
      <c r="E1678" t="s">
        <v>25</v>
      </c>
      <c r="F1678" s="3">
        <v>610.14</v>
      </c>
      <c r="G1678" s="3">
        <v>1355.86</v>
      </c>
      <c r="H1678" s="3">
        <f>Table1[[#This Row],[Sale]]-Table1[[#This Row],[Cost]]</f>
        <v>745.71999999999991</v>
      </c>
      <c r="I1678" s="4">
        <f>Table1[[#This Row],[Profit]]/Table1[[#This Row],[Sale]]</f>
        <v>0.54999778738217808</v>
      </c>
      <c r="J1678" s="5">
        <f t="shared" si="52"/>
        <v>2005</v>
      </c>
      <c r="K1678" s="5">
        <f>MONTH(Table1[[#This Row],[Date]])</f>
        <v>9</v>
      </c>
      <c r="L1678" s="5">
        <f>DAY(Table1[[#This Row],[Date]])</f>
        <v>3</v>
      </c>
      <c r="M1678" s="5" t="str">
        <f t="shared" si="53"/>
        <v>Sep</v>
      </c>
    </row>
    <row r="1679" spans="1:13" x14ac:dyDescent="0.25">
      <c r="A1679" s="2">
        <v>38591</v>
      </c>
      <c r="B1679" t="s">
        <v>22</v>
      </c>
      <c r="C1679" t="s">
        <v>29</v>
      </c>
      <c r="D1679" t="s">
        <v>16</v>
      </c>
      <c r="E1679" t="s">
        <v>20</v>
      </c>
      <c r="F1679" s="3">
        <v>5843.45</v>
      </c>
      <c r="G1679" s="3">
        <v>6249.68</v>
      </c>
      <c r="H1679" s="3">
        <f>Table1[[#This Row],[Sale]]-Table1[[#This Row],[Cost]]</f>
        <v>406.23000000000047</v>
      </c>
      <c r="I1679" s="4">
        <f>Table1[[#This Row],[Profit]]/Table1[[#This Row],[Sale]]</f>
        <v>6.5000128006554012E-2</v>
      </c>
      <c r="J1679" s="5">
        <f t="shared" si="52"/>
        <v>2005</v>
      </c>
      <c r="K1679" s="5">
        <f>MONTH(Table1[[#This Row],[Date]])</f>
        <v>8</v>
      </c>
      <c r="L1679" s="5">
        <f>DAY(Table1[[#This Row],[Date]])</f>
        <v>27</v>
      </c>
      <c r="M1679" s="5" t="str">
        <f t="shared" si="53"/>
        <v>Aug</v>
      </c>
    </row>
    <row r="1680" spans="1:13" x14ac:dyDescent="0.25">
      <c r="A1680" s="2">
        <v>38608</v>
      </c>
      <c r="B1680" t="s">
        <v>21</v>
      </c>
      <c r="C1680" t="s">
        <v>27</v>
      </c>
      <c r="D1680" t="s">
        <v>16</v>
      </c>
      <c r="E1680" t="s">
        <v>24</v>
      </c>
      <c r="F1680" s="3">
        <v>4882.32</v>
      </c>
      <c r="G1680" s="3">
        <v>8417.7900000000009</v>
      </c>
      <c r="H1680" s="3">
        <f>Table1[[#This Row],[Sale]]-Table1[[#This Row],[Cost]]</f>
        <v>3535.4700000000012</v>
      </c>
      <c r="I1680" s="4">
        <f>Table1[[#This Row],[Profit]]/Table1[[#This Row],[Sale]]</f>
        <v>0.41999978616715322</v>
      </c>
      <c r="J1680" s="5">
        <f t="shared" si="52"/>
        <v>2005</v>
      </c>
      <c r="K1680" s="5">
        <f>MONTH(Table1[[#This Row],[Date]])</f>
        <v>9</v>
      </c>
      <c r="L1680" s="5">
        <f>DAY(Table1[[#This Row],[Date]])</f>
        <v>13</v>
      </c>
      <c r="M1680" s="5" t="str">
        <f t="shared" si="53"/>
        <v>Sep</v>
      </c>
    </row>
    <row r="1681" spans="1:13" x14ac:dyDescent="0.25">
      <c r="A1681" s="2">
        <v>38384</v>
      </c>
      <c r="B1681" t="s">
        <v>17</v>
      </c>
      <c r="C1681" t="s">
        <v>23</v>
      </c>
      <c r="D1681" t="s">
        <v>16</v>
      </c>
      <c r="E1681" t="s">
        <v>14</v>
      </c>
      <c r="F1681" s="3">
        <v>5841.01</v>
      </c>
      <c r="G1681" s="3">
        <v>8589.7199999999993</v>
      </c>
      <c r="H1681" s="3">
        <f>Table1[[#This Row],[Sale]]-Table1[[#This Row],[Cost]]</f>
        <v>2748.7099999999991</v>
      </c>
      <c r="I1681" s="4">
        <f>Table1[[#This Row],[Profit]]/Table1[[#This Row],[Sale]]</f>
        <v>0.31999995343270787</v>
      </c>
      <c r="J1681" s="5">
        <f t="shared" si="52"/>
        <v>2005</v>
      </c>
      <c r="K1681" s="5">
        <f>MONTH(Table1[[#This Row],[Date]])</f>
        <v>2</v>
      </c>
      <c r="L1681" s="5">
        <f>DAY(Table1[[#This Row],[Date]])</f>
        <v>1</v>
      </c>
      <c r="M1681" s="5" t="str">
        <f t="shared" si="53"/>
        <v>Feb</v>
      </c>
    </row>
    <row r="1682" spans="1:13" x14ac:dyDescent="0.25">
      <c r="A1682" s="2">
        <v>38805</v>
      </c>
      <c r="B1682" t="s">
        <v>26</v>
      </c>
      <c r="C1682" t="s">
        <v>29</v>
      </c>
      <c r="D1682" t="s">
        <v>16</v>
      </c>
      <c r="E1682" t="s">
        <v>14</v>
      </c>
      <c r="F1682" s="3">
        <v>4241.54</v>
      </c>
      <c r="G1682" s="3">
        <v>6237.56</v>
      </c>
      <c r="H1682" s="3">
        <f>Table1[[#This Row],[Sale]]-Table1[[#This Row],[Cost]]</f>
        <v>1996.0200000000004</v>
      </c>
      <c r="I1682" s="4">
        <f>Table1[[#This Row],[Profit]]/Table1[[#This Row],[Sale]]</f>
        <v>0.32000012825527935</v>
      </c>
      <c r="J1682" s="5">
        <f t="shared" si="52"/>
        <v>2006</v>
      </c>
      <c r="K1682" s="5">
        <f>MONTH(Table1[[#This Row],[Date]])</f>
        <v>3</v>
      </c>
      <c r="L1682" s="5">
        <f>DAY(Table1[[#This Row],[Date]])</f>
        <v>29</v>
      </c>
      <c r="M1682" s="5" t="str">
        <f t="shared" si="53"/>
        <v>Mar</v>
      </c>
    </row>
    <row r="1683" spans="1:13" x14ac:dyDescent="0.25">
      <c r="A1683" s="2">
        <v>38247</v>
      </c>
      <c r="B1683" t="s">
        <v>21</v>
      </c>
      <c r="C1683" t="s">
        <v>27</v>
      </c>
      <c r="D1683" t="s">
        <v>16</v>
      </c>
      <c r="E1683" t="s">
        <v>24</v>
      </c>
      <c r="F1683" s="3">
        <v>2680.15</v>
      </c>
      <c r="G1683" s="3">
        <v>7243.65</v>
      </c>
      <c r="H1683" s="3">
        <f>Table1[[#This Row],[Sale]]-Table1[[#This Row],[Cost]]</f>
        <v>4563.5</v>
      </c>
      <c r="I1683" s="4">
        <f>Table1[[#This Row],[Profit]]/Table1[[#This Row],[Sale]]</f>
        <v>0.6300000690259745</v>
      </c>
      <c r="J1683" s="5">
        <f t="shared" si="52"/>
        <v>2004</v>
      </c>
      <c r="K1683" s="5">
        <f>MONTH(Table1[[#This Row],[Date]])</f>
        <v>9</v>
      </c>
      <c r="L1683" s="5">
        <f>DAY(Table1[[#This Row],[Date]])</f>
        <v>17</v>
      </c>
      <c r="M1683" s="5" t="str">
        <f t="shared" si="53"/>
        <v>Sep</v>
      </c>
    </row>
    <row r="1684" spans="1:13" x14ac:dyDescent="0.25">
      <c r="A1684" s="2">
        <v>38547</v>
      </c>
      <c r="B1684" t="s">
        <v>22</v>
      </c>
      <c r="C1684" t="s">
        <v>23</v>
      </c>
      <c r="D1684" t="s">
        <v>16</v>
      </c>
      <c r="E1684" t="s">
        <v>14</v>
      </c>
      <c r="F1684" s="3">
        <v>2148.6</v>
      </c>
      <c r="G1684" s="3">
        <v>3641.69</v>
      </c>
      <c r="H1684" s="3">
        <f>Table1[[#This Row],[Sale]]-Table1[[#This Row],[Cost]]</f>
        <v>1493.0900000000001</v>
      </c>
      <c r="I1684" s="4">
        <f>Table1[[#This Row],[Profit]]/Table1[[#This Row],[Sale]]</f>
        <v>0.40999920366642961</v>
      </c>
      <c r="J1684" s="5">
        <f t="shared" si="52"/>
        <v>2005</v>
      </c>
      <c r="K1684" s="5">
        <f>MONTH(Table1[[#This Row],[Date]])</f>
        <v>7</v>
      </c>
      <c r="L1684" s="5">
        <f>DAY(Table1[[#This Row],[Date]])</f>
        <v>14</v>
      </c>
      <c r="M1684" s="5" t="str">
        <f t="shared" si="53"/>
        <v>Jul</v>
      </c>
    </row>
    <row r="1685" spans="1:13" x14ac:dyDescent="0.25">
      <c r="A1685" s="2">
        <v>38821</v>
      </c>
      <c r="B1685" t="s">
        <v>11</v>
      </c>
      <c r="C1685" t="s">
        <v>29</v>
      </c>
      <c r="D1685" t="s">
        <v>16</v>
      </c>
      <c r="E1685" t="s">
        <v>25</v>
      </c>
      <c r="F1685" s="3">
        <v>5082.08</v>
      </c>
      <c r="G1685" s="3">
        <v>7473.64</v>
      </c>
      <c r="H1685" s="3">
        <f>Table1[[#This Row],[Sale]]-Table1[[#This Row],[Cost]]</f>
        <v>2391.5600000000004</v>
      </c>
      <c r="I1685" s="4">
        <f>Table1[[#This Row],[Profit]]/Table1[[#This Row],[Sale]]</f>
        <v>0.31999935774267962</v>
      </c>
      <c r="J1685" s="5">
        <f t="shared" si="52"/>
        <v>2006</v>
      </c>
      <c r="K1685" s="5">
        <f>MONTH(Table1[[#This Row],[Date]])</f>
        <v>4</v>
      </c>
      <c r="L1685" s="5">
        <f>DAY(Table1[[#This Row],[Date]])</f>
        <v>14</v>
      </c>
      <c r="M1685" s="5" t="str">
        <f t="shared" si="53"/>
        <v>Apr</v>
      </c>
    </row>
    <row r="1686" spans="1:13" x14ac:dyDescent="0.25">
      <c r="A1686" s="2">
        <v>38504</v>
      </c>
      <c r="B1686" t="s">
        <v>21</v>
      </c>
      <c r="C1686" t="s">
        <v>27</v>
      </c>
      <c r="D1686" t="s">
        <v>13</v>
      </c>
      <c r="E1686" t="s">
        <v>24</v>
      </c>
      <c r="F1686" s="3">
        <v>4504.03</v>
      </c>
      <c r="G1686" s="3">
        <v>6005.37</v>
      </c>
      <c r="H1686" s="3">
        <f>Table1[[#This Row],[Sale]]-Table1[[#This Row],[Cost]]</f>
        <v>1501.3400000000001</v>
      </c>
      <c r="I1686" s="4">
        <f>Table1[[#This Row],[Profit]]/Table1[[#This Row],[Sale]]</f>
        <v>0.24999958370591657</v>
      </c>
      <c r="J1686" s="5">
        <f t="shared" si="52"/>
        <v>2005</v>
      </c>
      <c r="K1686" s="5">
        <f>MONTH(Table1[[#This Row],[Date]])</f>
        <v>6</v>
      </c>
      <c r="L1686" s="5">
        <f>DAY(Table1[[#This Row],[Date]])</f>
        <v>1</v>
      </c>
      <c r="M1686" s="5" t="str">
        <f t="shared" si="53"/>
        <v>Jun</v>
      </c>
    </row>
    <row r="1687" spans="1:13" x14ac:dyDescent="0.25">
      <c r="A1687" s="2">
        <v>38199</v>
      </c>
      <c r="B1687" t="s">
        <v>21</v>
      </c>
      <c r="C1687" t="s">
        <v>27</v>
      </c>
      <c r="D1687" t="s">
        <v>13</v>
      </c>
      <c r="E1687" t="s">
        <v>14</v>
      </c>
      <c r="F1687" s="3">
        <v>798.2</v>
      </c>
      <c r="G1687" s="3">
        <v>1856.27</v>
      </c>
      <c r="H1687" s="3">
        <f>Table1[[#This Row],[Sale]]-Table1[[#This Row],[Cost]]</f>
        <v>1058.07</v>
      </c>
      <c r="I1687" s="4">
        <f>Table1[[#This Row],[Profit]]/Table1[[#This Row],[Sale]]</f>
        <v>0.56999789901253584</v>
      </c>
      <c r="J1687" s="5">
        <f t="shared" si="52"/>
        <v>2004</v>
      </c>
      <c r="K1687" s="5">
        <f>MONTH(Table1[[#This Row],[Date]])</f>
        <v>7</v>
      </c>
      <c r="L1687" s="5">
        <f>DAY(Table1[[#This Row],[Date]])</f>
        <v>31</v>
      </c>
      <c r="M1687" s="5" t="str">
        <f t="shared" si="53"/>
        <v>Jul</v>
      </c>
    </row>
    <row r="1688" spans="1:13" x14ac:dyDescent="0.25">
      <c r="A1688" s="2">
        <v>38587</v>
      </c>
      <c r="B1688" t="s">
        <v>11</v>
      </c>
      <c r="C1688" t="s">
        <v>12</v>
      </c>
      <c r="D1688" t="s">
        <v>16</v>
      </c>
      <c r="E1688" t="s">
        <v>25</v>
      </c>
      <c r="F1688" s="3">
        <v>3775.92</v>
      </c>
      <c r="G1688" s="3">
        <v>4038.42</v>
      </c>
      <c r="H1688" s="3">
        <f>Table1[[#This Row],[Sale]]-Table1[[#This Row],[Cost]]</f>
        <v>262.5</v>
      </c>
      <c r="I1688" s="4">
        <f>Table1[[#This Row],[Profit]]/Table1[[#This Row],[Sale]]</f>
        <v>6.5000668578305373E-2</v>
      </c>
      <c r="J1688" s="5">
        <f t="shared" si="52"/>
        <v>2005</v>
      </c>
      <c r="K1688" s="5">
        <f>MONTH(Table1[[#This Row],[Date]])</f>
        <v>8</v>
      </c>
      <c r="L1688" s="5">
        <f>DAY(Table1[[#This Row],[Date]])</f>
        <v>23</v>
      </c>
      <c r="M1688" s="5" t="str">
        <f t="shared" si="53"/>
        <v>Aug</v>
      </c>
    </row>
    <row r="1689" spans="1:13" x14ac:dyDescent="0.25">
      <c r="A1689" s="2">
        <v>38392</v>
      </c>
      <c r="B1689" t="s">
        <v>22</v>
      </c>
      <c r="C1689" t="s">
        <v>18</v>
      </c>
      <c r="D1689" t="s">
        <v>19</v>
      </c>
      <c r="E1689" t="s">
        <v>24</v>
      </c>
      <c r="F1689" s="3">
        <v>3654.05</v>
      </c>
      <c r="G1689" s="3">
        <v>4872.07</v>
      </c>
      <c r="H1689" s="3">
        <f>Table1[[#This Row],[Sale]]-Table1[[#This Row],[Cost]]</f>
        <v>1218.0199999999995</v>
      </c>
      <c r="I1689" s="4">
        <f>Table1[[#This Row],[Profit]]/Table1[[#This Row],[Sale]]</f>
        <v>0.25000051312891636</v>
      </c>
      <c r="J1689" s="5">
        <f t="shared" si="52"/>
        <v>2005</v>
      </c>
      <c r="K1689" s="5">
        <f>MONTH(Table1[[#This Row],[Date]])</f>
        <v>2</v>
      </c>
      <c r="L1689" s="5">
        <f>DAY(Table1[[#This Row],[Date]])</f>
        <v>9</v>
      </c>
      <c r="M1689" s="5" t="str">
        <f t="shared" si="53"/>
        <v>Feb</v>
      </c>
    </row>
    <row r="1690" spans="1:13" x14ac:dyDescent="0.25">
      <c r="A1690" s="2">
        <v>38228</v>
      </c>
      <c r="B1690" t="s">
        <v>17</v>
      </c>
      <c r="C1690" t="s">
        <v>23</v>
      </c>
      <c r="D1690" t="s">
        <v>13</v>
      </c>
      <c r="E1690" t="s">
        <v>14</v>
      </c>
      <c r="F1690" s="3">
        <v>3887.32</v>
      </c>
      <c r="G1690" s="3">
        <v>5716.65</v>
      </c>
      <c r="H1690" s="3">
        <f>Table1[[#This Row],[Sale]]-Table1[[#This Row],[Cost]]</f>
        <v>1829.3299999999995</v>
      </c>
      <c r="I1690" s="4">
        <f>Table1[[#This Row],[Profit]]/Table1[[#This Row],[Sale]]</f>
        <v>0.32000034985524733</v>
      </c>
      <c r="J1690" s="5">
        <f t="shared" si="52"/>
        <v>2004</v>
      </c>
      <c r="K1690" s="5">
        <f>MONTH(Table1[[#This Row],[Date]])</f>
        <v>8</v>
      </c>
      <c r="L1690" s="5">
        <f>DAY(Table1[[#This Row],[Date]])</f>
        <v>29</v>
      </c>
      <c r="M1690" s="5" t="str">
        <f t="shared" si="53"/>
        <v>Aug</v>
      </c>
    </row>
    <row r="1691" spans="1:13" x14ac:dyDescent="0.25">
      <c r="A1691" s="2">
        <v>38265</v>
      </c>
      <c r="B1691" t="s">
        <v>21</v>
      </c>
      <c r="C1691" t="s">
        <v>27</v>
      </c>
      <c r="D1691" t="s">
        <v>13</v>
      </c>
      <c r="E1691" t="s">
        <v>24</v>
      </c>
      <c r="F1691" s="3">
        <v>2580.17</v>
      </c>
      <c r="G1691" s="3">
        <v>6000.4</v>
      </c>
      <c r="H1691" s="3">
        <f>Table1[[#This Row],[Sale]]-Table1[[#This Row],[Cost]]</f>
        <v>3420.2299999999996</v>
      </c>
      <c r="I1691" s="4">
        <f>Table1[[#This Row],[Profit]]/Table1[[#This Row],[Sale]]</f>
        <v>0.57000033331111255</v>
      </c>
      <c r="J1691" s="5">
        <f t="shared" si="52"/>
        <v>2004</v>
      </c>
      <c r="K1691" s="5">
        <f>MONTH(Table1[[#This Row],[Date]])</f>
        <v>10</v>
      </c>
      <c r="L1691" s="5">
        <f>DAY(Table1[[#This Row],[Date]])</f>
        <v>5</v>
      </c>
      <c r="M1691" s="5" t="str">
        <f t="shared" si="53"/>
        <v>Oct</v>
      </c>
    </row>
    <row r="1692" spans="1:13" x14ac:dyDescent="0.25">
      <c r="A1692" s="2">
        <v>38795</v>
      </c>
      <c r="B1692" t="s">
        <v>11</v>
      </c>
      <c r="C1692" t="s">
        <v>27</v>
      </c>
      <c r="D1692" t="s">
        <v>13</v>
      </c>
      <c r="E1692" t="s">
        <v>25</v>
      </c>
      <c r="F1692" s="3">
        <v>4976.28</v>
      </c>
      <c r="G1692" s="3">
        <v>8434.3700000000008</v>
      </c>
      <c r="H1692" s="3">
        <f>Table1[[#This Row],[Sale]]-Table1[[#This Row],[Cost]]</f>
        <v>3458.0900000000011</v>
      </c>
      <c r="I1692" s="4">
        <f>Table1[[#This Row],[Profit]]/Table1[[#This Row],[Sale]]</f>
        <v>0.40999979844374868</v>
      </c>
      <c r="J1692" s="5">
        <f t="shared" si="52"/>
        <v>2006</v>
      </c>
      <c r="K1692" s="5">
        <f>MONTH(Table1[[#This Row],[Date]])</f>
        <v>3</v>
      </c>
      <c r="L1692" s="5">
        <f>DAY(Table1[[#This Row],[Date]])</f>
        <v>19</v>
      </c>
      <c r="M1692" s="5" t="str">
        <f t="shared" si="53"/>
        <v>Mar</v>
      </c>
    </row>
    <row r="1693" spans="1:13" x14ac:dyDescent="0.25">
      <c r="A1693" s="2">
        <v>38365</v>
      </c>
      <c r="B1693" t="s">
        <v>17</v>
      </c>
      <c r="C1693" t="s">
        <v>27</v>
      </c>
      <c r="D1693" t="s">
        <v>13</v>
      </c>
      <c r="E1693" t="s">
        <v>20</v>
      </c>
      <c r="F1693" s="3">
        <v>5046.58</v>
      </c>
      <c r="G1693" s="3">
        <v>8553.5300000000007</v>
      </c>
      <c r="H1693" s="3">
        <f>Table1[[#This Row],[Sale]]-Table1[[#This Row],[Cost]]</f>
        <v>3506.9500000000007</v>
      </c>
      <c r="I1693" s="4">
        <f>Table1[[#This Row],[Profit]]/Table1[[#This Row],[Sale]]</f>
        <v>0.41000031565914896</v>
      </c>
      <c r="J1693" s="5">
        <f t="shared" si="52"/>
        <v>2005</v>
      </c>
      <c r="K1693" s="5">
        <f>MONTH(Table1[[#This Row],[Date]])</f>
        <v>1</v>
      </c>
      <c r="L1693" s="5">
        <f>DAY(Table1[[#This Row],[Date]])</f>
        <v>13</v>
      </c>
      <c r="M1693" s="5" t="str">
        <f t="shared" si="53"/>
        <v>Jan</v>
      </c>
    </row>
    <row r="1694" spans="1:13" x14ac:dyDescent="0.25">
      <c r="A1694" s="2">
        <v>38777</v>
      </c>
      <c r="B1694" t="s">
        <v>22</v>
      </c>
      <c r="C1694" t="s">
        <v>29</v>
      </c>
      <c r="D1694" t="s">
        <v>16</v>
      </c>
      <c r="E1694" t="s">
        <v>20</v>
      </c>
      <c r="F1694" s="3">
        <v>1843.84</v>
      </c>
      <c r="G1694" s="3">
        <v>3352.44</v>
      </c>
      <c r="H1694" s="3">
        <f>Table1[[#This Row],[Sale]]-Table1[[#This Row],[Cost]]</f>
        <v>1508.6000000000001</v>
      </c>
      <c r="I1694" s="4">
        <f>Table1[[#This Row],[Profit]]/Table1[[#This Row],[Sale]]</f>
        <v>0.45000059658040115</v>
      </c>
      <c r="J1694" s="5">
        <f t="shared" si="52"/>
        <v>2006</v>
      </c>
      <c r="K1694" s="5">
        <f>MONTH(Table1[[#This Row],[Date]])</f>
        <v>3</v>
      </c>
      <c r="L1694" s="5">
        <f>DAY(Table1[[#This Row],[Date]])</f>
        <v>1</v>
      </c>
      <c r="M1694" s="5" t="str">
        <f t="shared" si="53"/>
        <v>Mar</v>
      </c>
    </row>
    <row r="1695" spans="1:13" x14ac:dyDescent="0.25">
      <c r="A1695" s="2">
        <v>38534</v>
      </c>
      <c r="B1695" t="s">
        <v>15</v>
      </c>
      <c r="C1695" t="s">
        <v>23</v>
      </c>
      <c r="D1695" t="s">
        <v>19</v>
      </c>
      <c r="E1695" t="s">
        <v>14</v>
      </c>
      <c r="F1695" s="3">
        <v>2448.41</v>
      </c>
      <c r="G1695" s="3">
        <v>2618.62</v>
      </c>
      <c r="H1695" s="3">
        <f>Table1[[#This Row],[Sale]]-Table1[[#This Row],[Cost]]</f>
        <v>170.21000000000004</v>
      </c>
      <c r="I1695" s="4">
        <f>Table1[[#This Row],[Profit]]/Table1[[#This Row],[Sale]]</f>
        <v>6.4999885435840274E-2</v>
      </c>
      <c r="J1695" s="5">
        <f t="shared" si="52"/>
        <v>2005</v>
      </c>
      <c r="K1695" s="5">
        <f>MONTH(Table1[[#This Row],[Date]])</f>
        <v>7</v>
      </c>
      <c r="L1695" s="5">
        <f>DAY(Table1[[#This Row],[Date]])</f>
        <v>1</v>
      </c>
      <c r="M1695" s="5" t="str">
        <f t="shared" si="53"/>
        <v>Jul</v>
      </c>
    </row>
    <row r="1696" spans="1:13" x14ac:dyDescent="0.25">
      <c r="A1696" s="2">
        <v>38796</v>
      </c>
      <c r="B1696" t="s">
        <v>21</v>
      </c>
      <c r="C1696" t="s">
        <v>27</v>
      </c>
      <c r="D1696" t="s">
        <v>13</v>
      </c>
      <c r="E1696" t="s">
        <v>14</v>
      </c>
      <c r="F1696" s="3">
        <v>86.16</v>
      </c>
      <c r="G1696" s="3">
        <v>200.37</v>
      </c>
      <c r="H1696" s="3">
        <f>Table1[[#This Row],[Sale]]-Table1[[#This Row],[Cost]]</f>
        <v>114.21000000000001</v>
      </c>
      <c r="I1696" s="4">
        <f>Table1[[#This Row],[Profit]]/Table1[[#This Row],[Sale]]</f>
        <v>0.5699955083096272</v>
      </c>
      <c r="J1696" s="5">
        <f t="shared" si="52"/>
        <v>2006</v>
      </c>
      <c r="K1696" s="5">
        <f>MONTH(Table1[[#This Row],[Date]])</f>
        <v>3</v>
      </c>
      <c r="L1696" s="5">
        <f>DAY(Table1[[#This Row],[Date]])</f>
        <v>20</v>
      </c>
      <c r="M1696" s="5" t="str">
        <f t="shared" si="53"/>
        <v>Mar</v>
      </c>
    </row>
    <row r="1697" spans="1:13" x14ac:dyDescent="0.25">
      <c r="A1697" s="2">
        <v>38737</v>
      </c>
      <c r="B1697" t="s">
        <v>22</v>
      </c>
      <c r="C1697" t="s">
        <v>29</v>
      </c>
      <c r="D1697" t="s">
        <v>16</v>
      </c>
      <c r="E1697" t="s">
        <v>20</v>
      </c>
      <c r="F1697" s="3">
        <v>2705.44</v>
      </c>
      <c r="G1697" s="3">
        <v>4664.5600000000004</v>
      </c>
      <c r="H1697" s="3">
        <f>Table1[[#This Row],[Sale]]-Table1[[#This Row],[Cost]]</f>
        <v>1959.1200000000003</v>
      </c>
      <c r="I1697" s="4">
        <f>Table1[[#This Row],[Profit]]/Table1[[#This Row],[Sale]]</f>
        <v>0.42000102903596487</v>
      </c>
      <c r="J1697" s="5">
        <f t="shared" si="52"/>
        <v>2006</v>
      </c>
      <c r="K1697" s="5">
        <f>MONTH(Table1[[#This Row],[Date]])</f>
        <v>1</v>
      </c>
      <c r="L1697" s="5">
        <f>DAY(Table1[[#This Row],[Date]])</f>
        <v>20</v>
      </c>
      <c r="M1697" s="5" t="str">
        <f t="shared" si="53"/>
        <v>Jan</v>
      </c>
    </row>
    <row r="1698" spans="1:13" x14ac:dyDescent="0.25">
      <c r="A1698" s="2">
        <v>38734</v>
      </c>
      <c r="B1698" t="s">
        <v>21</v>
      </c>
      <c r="C1698" t="s">
        <v>29</v>
      </c>
      <c r="D1698" t="s">
        <v>13</v>
      </c>
      <c r="E1698" t="s">
        <v>20</v>
      </c>
      <c r="F1698" s="3">
        <v>345.52</v>
      </c>
      <c r="G1698" s="3">
        <v>585.62</v>
      </c>
      <c r="H1698" s="3">
        <f>Table1[[#This Row],[Sale]]-Table1[[#This Row],[Cost]]</f>
        <v>240.10000000000002</v>
      </c>
      <c r="I1698" s="4">
        <f>Table1[[#This Row],[Profit]]/Table1[[#This Row],[Sale]]</f>
        <v>0.40999282811379395</v>
      </c>
      <c r="J1698" s="5">
        <f t="shared" si="52"/>
        <v>2006</v>
      </c>
      <c r="K1698" s="5">
        <f>MONTH(Table1[[#This Row],[Date]])</f>
        <v>1</v>
      </c>
      <c r="L1698" s="5">
        <f>DAY(Table1[[#This Row],[Date]])</f>
        <v>17</v>
      </c>
      <c r="M1698" s="5" t="str">
        <f t="shared" si="53"/>
        <v>Jan</v>
      </c>
    </row>
    <row r="1699" spans="1:13" x14ac:dyDescent="0.25">
      <c r="A1699" s="2">
        <v>38366</v>
      </c>
      <c r="B1699" t="s">
        <v>17</v>
      </c>
      <c r="C1699" t="s">
        <v>27</v>
      </c>
      <c r="D1699" t="s">
        <v>13</v>
      </c>
      <c r="E1699" t="s">
        <v>24</v>
      </c>
      <c r="F1699" s="3">
        <v>3241.42</v>
      </c>
      <c r="G1699" s="3">
        <v>3466.76</v>
      </c>
      <c r="H1699" s="3">
        <f>Table1[[#This Row],[Sale]]-Table1[[#This Row],[Cost]]</f>
        <v>225.34000000000015</v>
      </c>
      <c r="I1699" s="4">
        <f>Table1[[#This Row],[Profit]]/Table1[[#This Row],[Sale]]</f>
        <v>6.5000173072263481E-2</v>
      </c>
      <c r="J1699" s="5">
        <f t="shared" si="52"/>
        <v>2005</v>
      </c>
      <c r="K1699" s="5">
        <f>MONTH(Table1[[#This Row],[Date]])</f>
        <v>1</v>
      </c>
      <c r="L1699" s="5">
        <f>DAY(Table1[[#This Row],[Date]])</f>
        <v>14</v>
      </c>
      <c r="M1699" s="5" t="str">
        <f t="shared" si="53"/>
        <v>Jan</v>
      </c>
    </row>
    <row r="1700" spans="1:13" x14ac:dyDescent="0.25">
      <c r="A1700" s="2">
        <v>38406</v>
      </c>
      <c r="B1700" t="s">
        <v>26</v>
      </c>
      <c r="C1700" t="s">
        <v>27</v>
      </c>
      <c r="D1700" t="s">
        <v>13</v>
      </c>
      <c r="E1700" t="s">
        <v>20</v>
      </c>
      <c r="F1700" s="3">
        <v>5808.62</v>
      </c>
      <c r="G1700" s="3">
        <v>8542.09</v>
      </c>
      <c r="H1700" s="3">
        <f>Table1[[#This Row],[Sale]]-Table1[[#This Row],[Cost]]</f>
        <v>2733.4700000000003</v>
      </c>
      <c r="I1700" s="4">
        <f>Table1[[#This Row],[Profit]]/Table1[[#This Row],[Sale]]</f>
        <v>0.32000014048084252</v>
      </c>
      <c r="J1700" s="5">
        <f t="shared" si="52"/>
        <v>2005</v>
      </c>
      <c r="K1700" s="5">
        <f>MONTH(Table1[[#This Row],[Date]])</f>
        <v>2</v>
      </c>
      <c r="L1700" s="5">
        <f>DAY(Table1[[#This Row],[Date]])</f>
        <v>23</v>
      </c>
      <c r="M1700" s="5" t="str">
        <f t="shared" si="53"/>
        <v>Feb</v>
      </c>
    </row>
    <row r="1701" spans="1:13" x14ac:dyDescent="0.25">
      <c r="A1701" s="2">
        <v>38405</v>
      </c>
      <c r="B1701" t="s">
        <v>22</v>
      </c>
      <c r="C1701" t="s">
        <v>18</v>
      </c>
      <c r="D1701" t="s">
        <v>13</v>
      </c>
      <c r="E1701" t="s">
        <v>24</v>
      </c>
      <c r="F1701" s="3">
        <v>5712.86</v>
      </c>
      <c r="G1701" s="3">
        <v>9849.76</v>
      </c>
      <c r="H1701" s="3">
        <f>Table1[[#This Row],[Sale]]-Table1[[#This Row],[Cost]]</f>
        <v>4136.9000000000005</v>
      </c>
      <c r="I1701" s="4">
        <f>Table1[[#This Row],[Profit]]/Table1[[#This Row],[Sale]]</f>
        <v>0.42000008122025312</v>
      </c>
      <c r="J1701" s="5">
        <f t="shared" si="52"/>
        <v>2005</v>
      </c>
      <c r="K1701" s="5">
        <f>MONTH(Table1[[#This Row],[Date]])</f>
        <v>2</v>
      </c>
      <c r="L1701" s="5">
        <f>DAY(Table1[[#This Row],[Date]])</f>
        <v>22</v>
      </c>
      <c r="M1701" s="5" t="str">
        <f t="shared" si="53"/>
        <v>Feb</v>
      </c>
    </row>
    <row r="1702" spans="1:13" x14ac:dyDescent="0.25">
      <c r="A1702" s="2">
        <v>38226</v>
      </c>
      <c r="B1702" t="s">
        <v>17</v>
      </c>
      <c r="C1702" t="s">
        <v>12</v>
      </c>
      <c r="D1702" t="s">
        <v>13</v>
      </c>
      <c r="E1702" t="s">
        <v>24</v>
      </c>
      <c r="F1702" s="3">
        <v>4356.97</v>
      </c>
      <c r="G1702" s="3">
        <v>5809.29</v>
      </c>
      <c r="H1702" s="3">
        <f>Table1[[#This Row],[Sale]]-Table1[[#This Row],[Cost]]</f>
        <v>1452.3199999999997</v>
      </c>
      <c r="I1702" s="4">
        <f>Table1[[#This Row],[Profit]]/Table1[[#This Row],[Sale]]</f>
        <v>0.24999956965481146</v>
      </c>
      <c r="J1702" s="5">
        <f t="shared" si="52"/>
        <v>2004</v>
      </c>
      <c r="K1702" s="5">
        <f>MONTH(Table1[[#This Row],[Date]])</f>
        <v>8</v>
      </c>
      <c r="L1702" s="5">
        <f>DAY(Table1[[#This Row],[Date]])</f>
        <v>27</v>
      </c>
      <c r="M1702" s="5" t="str">
        <f t="shared" si="53"/>
        <v>Aug</v>
      </c>
    </row>
    <row r="1703" spans="1:13" x14ac:dyDescent="0.25">
      <c r="A1703" s="2">
        <v>38468</v>
      </c>
      <c r="B1703" t="s">
        <v>17</v>
      </c>
      <c r="C1703" t="s">
        <v>12</v>
      </c>
      <c r="D1703" t="s">
        <v>19</v>
      </c>
      <c r="E1703" t="s">
        <v>24</v>
      </c>
      <c r="F1703" s="3">
        <v>1136.67</v>
      </c>
      <c r="G1703" s="3">
        <v>2525.94</v>
      </c>
      <c r="H1703" s="3">
        <f>Table1[[#This Row],[Sale]]-Table1[[#This Row],[Cost]]</f>
        <v>1389.27</v>
      </c>
      <c r="I1703" s="4">
        <f>Table1[[#This Row],[Profit]]/Table1[[#This Row],[Sale]]</f>
        <v>0.55000118767666684</v>
      </c>
      <c r="J1703" s="5">
        <f t="shared" si="52"/>
        <v>2005</v>
      </c>
      <c r="K1703" s="5">
        <f>MONTH(Table1[[#This Row],[Date]])</f>
        <v>4</v>
      </c>
      <c r="L1703" s="5">
        <f>DAY(Table1[[#This Row],[Date]])</f>
        <v>26</v>
      </c>
      <c r="M1703" s="5" t="str">
        <f t="shared" si="53"/>
        <v>Apr</v>
      </c>
    </row>
    <row r="1704" spans="1:13" x14ac:dyDescent="0.25">
      <c r="A1704" s="2">
        <v>38510</v>
      </c>
      <c r="B1704" t="s">
        <v>15</v>
      </c>
      <c r="C1704" t="s">
        <v>18</v>
      </c>
      <c r="D1704" t="s">
        <v>13</v>
      </c>
      <c r="E1704" t="s">
        <v>24</v>
      </c>
      <c r="F1704" s="3">
        <v>4687.8999999999996</v>
      </c>
      <c r="G1704" s="3">
        <v>8082.59</v>
      </c>
      <c r="H1704" s="3">
        <f>Table1[[#This Row],[Sale]]-Table1[[#This Row],[Cost]]</f>
        <v>3394.6900000000005</v>
      </c>
      <c r="I1704" s="4">
        <f>Table1[[#This Row],[Profit]]/Table1[[#This Row],[Sale]]</f>
        <v>0.42000027218997876</v>
      </c>
      <c r="J1704" s="5">
        <f t="shared" si="52"/>
        <v>2005</v>
      </c>
      <c r="K1704" s="5">
        <f>MONTH(Table1[[#This Row],[Date]])</f>
        <v>6</v>
      </c>
      <c r="L1704" s="5">
        <f>DAY(Table1[[#This Row],[Date]])</f>
        <v>7</v>
      </c>
      <c r="M1704" s="5" t="str">
        <f t="shared" si="53"/>
        <v>Jun</v>
      </c>
    </row>
    <row r="1705" spans="1:13" x14ac:dyDescent="0.25">
      <c r="A1705" s="2">
        <v>38401</v>
      </c>
      <c r="B1705" t="s">
        <v>22</v>
      </c>
      <c r="C1705" t="s">
        <v>29</v>
      </c>
      <c r="D1705" t="s">
        <v>28</v>
      </c>
      <c r="E1705" t="s">
        <v>14</v>
      </c>
      <c r="F1705" s="3">
        <v>2924.24</v>
      </c>
      <c r="G1705" s="3">
        <v>6800.55</v>
      </c>
      <c r="H1705" s="3">
        <f>Table1[[#This Row],[Sale]]-Table1[[#This Row],[Cost]]</f>
        <v>3876.3100000000004</v>
      </c>
      <c r="I1705" s="4">
        <f>Table1[[#This Row],[Profit]]/Table1[[#This Row],[Sale]]</f>
        <v>0.56999948533574496</v>
      </c>
      <c r="J1705" s="5">
        <f t="shared" si="52"/>
        <v>2005</v>
      </c>
      <c r="K1705" s="5">
        <f>MONTH(Table1[[#This Row],[Date]])</f>
        <v>2</v>
      </c>
      <c r="L1705" s="5">
        <f>DAY(Table1[[#This Row],[Date]])</f>
        <v>18</v>
      </c>
      <c r="M1705" s="5" t="str">
        <f t="shared" si="53"/>
        <v>Feb</v>
      </c>
    </row>
    <row r="1706" spans="1:13" x14ac:dyDescent="0.25">
      <c r="A1706" s="2">
        <v>38777</v>
      </c>
      <c r="B1706" t="s">
        <v>21</v>
      </c>
      <c r="C1706" t="s">
        <v>23</v>
      </c>
      <c r="D1706" t="s">
        <v>28</v>
      </c>
      <c r="E1706" t="s">
        <v>20</v>
      </c>
      <c r="F1706" s="3">
        <v>4421.1899999999996</v>
      </c>
      <c r="G1706" s="3">
        <v>7493.55</v>
      </c>
      <c r="H1706" s="3">
        <f>Table1[[#This Row],[Sale]]-Table1[[#This Row],[Cost]]</f>
        <v>3072.3600000000006</v>
      </c>
      <c r="I1706" s="4">
        <f>Table1[[#This Row],[Profit]]/Table1[[#This Row],[Sale]]</f>
        <v>0.41000060051644421</v>
      </c>
      <c r="J1706" s="5">
        <f t="shared" si="52"/>
        <v>2006</v>
      </c>
      <c r="K1706" s="5">
        <f>MONTH(Table1[[#This Row],[Date]])</f>
        <v>3</v>
      </c>
      <c r="L1706" s="5">
        <f>DAY(Table1[[#This Row],[Date]])</f>
        <v>1</v>
      </c>
      <c r="M1706" s="5" t="str">
        <f t="shared" si="53"/>
        <v>Mar</v>
      </c>
    </row>
    <row r="1707" spans="1:13" x14ac:dyDescent="0.25">
      <c r="A1707" s="2">
        <v>38573</v>
      </c>
      <c r="B1707" t="s">
        <v>21</v>
      </c>
      <c r="C1707" t="s">
        <v>23</v>
      </c>
      <c r="D1707" t="s">
        <v>19</v>
      </c>
      <c r="E1707" t="s">
        <v>20</v>
      </c>
      <c r="F1707" s="3">
        <v>3580.69</v>
      </c>
      <c r="G1707" s="3">
        <v>4774.25</v>
      </c>
      <c r="H1707" s="3">
        <f>Table1[[#This Row],[Sale]]-Table1[[#This Row],[Cost]]</f>
        <v>1193.56</v>
      </c>
      <c r="I1707" s="4">
        <f>Table1[[#This Row],[Profit]]/Table1[[#This Row],[Sale]]</f>
        <v>0.24999947635754305</v>
      </c>
      <c r="J1707" s="5">
        <f t="shared" si="52"/>
        <v>2005</v>
      </c>
      <c r="K1707" s="5">
        <f>MONTH(Table1[[#This Row],[Date]])</f>
        <v>8</v>
      </c>
      <c r="L1707" s="5">
        <f>DAY(Table1[[#This Row],[Date]])</f>
        <v>9</v>
      </c>
      <c r="M1707" s="5" t="str">
        <f t="shared" si="53"/>
        <v>Aug</v>
      </c>
    </row>
    <row r="1708" spans="1:13" x14ac:dyDescent="0.25">
      <c r="A1708" s="2">
        <v>38620</v>
      </c>
      <c r="B1708" t="s">
        <v>21</v>
      </c>
      <c r="C1708" t="s">
        <v>12</v>
      </c>
      <c r="D1708" t="s">
        <v>13</v>
      </c>
      <c r="E1708" t="s">
        <v>14</v>
      </c>
      <c r="F1708" s="3">
        <v>5781.82</v>
      </c>
      <c r="G1708" s="3">
        <v>7709.09</v>
      </c>
      <c r="H1708" s="3">
        <f>Table1[[#This Row],[Sale]]-Table1[[#This Row],[Cost]]</f>
        <v>1927.2700000000004</v>
      </c>
      <c r="I1708" s="4">
        <f>Table1[[#This Row],[Profit]]/Table1[[#This Row],[Sale]]</f>
        <v>0.24999967570750897</v>
      </c>
      <c r="J1708" s="5">
        <f t="shared" si="52"/>
        <v>2005</v>
      </c>
      <c r="K1708" s="5">
        <f>MONTH(Table1[[#This Row],[Date]])</f>
        <v>9</v>
      </c>
      <c r="L1708" s="5">
        <f>DAY(Table1[[#This Row],[Date]])</f>
        <v>25</v>
      </c>
      <c r="M1708" s="5" t="str">
        <f t="shared" si="53"/>
        <v>Sep</v>
      </c>
    </row>
    <row r="1709" spans="1:13" x14ac:dyDescent="0.25">
      <c r="A1709" s="2">
        <v>38847</v>
      </c>
      <c r="B1709" t="s">
        <v>22</v>
      </c>
      <c r="C1709" t="s">
        <v>23</v>
      </c>
      <c r="D1709" t="s">
        <v>19</v>
      </c>
      <c r="E1709" t="s">
        <v>25</v>
      </c>
      <c r="F1709" s="3">
        <v>3475.93</v>
      </c>
      <c r="G1709" s="3">
        <v>6319.87</v>
      </c>
      <c r="H1709" s="3">
        <f>Table1[[#This Row],[Sale]]-Table1[[#This Row],[Cost]]</f>
        <v>2843.94</v>
      </c>
      <c r="I1709" s="4">
        <f>Table1[[#This Row],[Profit]]/Table1[[#This Row],[Sale]]</f>
        <v>0.44999976265334574</v>
      </c>
      <c r="J1709" s="5">
        <f t="shared" si="52"/>
        <v>2006</v>
      </c>
      <c r="K1709" s="5">
        <f>MONTH(Table1[[#This Row],[Date]])</f>
        <v>5</v>
      </c>
      <c r="L1709" s="5">
        <f>DAY(Table1[[#This Row],[Date]])</f>
        <v>10</v>
      </c>
      <c r="M1709" s="5" t="str">
        <f t="shared" si="53"/>
        <v>May</v>
      </c>
    </row>
    <row r="1710" spans="1:13" x14ac:dyDescent="0.25">
      <c r="A1710" s="2">
        <v>38411</v>
      </c>
      <c r="B1710" t="s">
        <v>22</v>
      </c>
      <c r="C1710" t="s">
        <v>29</v>
      </c>
      <c r="D1710" t="s">
        <v>28</v>
      </c>
      <c r="E1710" t="s">
        <v>25</v>
      </c>
      <c r="F1710" s="3">
        <v>854.76</v>
      </c>
      <c r="G1710" s="3">
        <v>1899.47</v>
      </c>
      <c r="H1710" s="3">
        <f>Table1[[#This Row],[Sale]]-Table1[[#This Row],[Cost]]</f>
        <v>1044.71</v>
      </c>
      <c r="I1710" s="4">
        <f>Table1[[#This Row],[Profit]]/Table1[[#This Row],[Sale]]</f>
        <v>0.55000078969396726</v>
      </c>
      <c r="J1710" s="5">
        <f t="shared" si="52"/>
        <v>2005</v>
      </c>
      <c r="K1710" s="5">
        <f>MONTH(Table1[[#This Row],[Date]])</f>
        <v>2</v>
      </c>
      <c r="L1710" s="5">
        <f>DAY(Table1[[#This Row],[Date]])</f>
        <v>28</v>
      </c>
      <c r="M1710" s="5" t="str">
        <f t="shared" si="53"/>
        <v>Feb</v>
      </c>
    </row>
    <row r="1711" spans="1:13" x14ac:dyDescent="0.25">
      <c r="A1711" s="2">
        <v>38367</v>
      </c>
      <c r="B1711" t="s">
        <v>22</v>
      </c>
      <c r="C1711" t="s">
        <v>18</v>
      </c>
      <c r="D1711" t="s">
        <v>13</v>
      </c>
      <c r="E1711" t="s">
        <v>25</v>
      </c>
      <c r="F1711" s="3">
        <v>2303.8200000000002</v>
      </c>
      <c r="G1711" s="3">
        <v>3071.76</v>
      </c>
      <c r="H1711" s="3">
        <f>Table1[[#This Row],[Sale]]-Table1[[#This Row],[Cost]]</f>
        <v>767.94</v>
      </c>
      <c r="I1711" s="4">
        <f>Table1[[#This Row],[Profit]]/Table1[[#This Row],[Sale]]</f>
        <v>0.25</v>
      </c>
      <c r="J1711" s="5">
        <f t="shared" si="52"/>
        <v>2005</v>
      </c>
      <c r="K1711" s="5">
        <f>MONTH(Table1[[#This Row],[Date]])</f>
        <v>1</v>
      </c>
      <c r="L1711" s="5">
        <f>DAY(Table1[[#This Row],[Date]])</f>
        <v>15</v>
      </c>
      <c r="M1711" s="5" t="str">
        <f t="shared" si="53"/>
        <v>Jan</v>
      </c>
    </row>
    <row r="1712" spans="1:13" x14ac:dyDescent="0.25">
      <c r="A1712" s="2">
        <v>38325</v>
      </c>
      <c r="B1712" t="s">
        <v>21</v>
      </c>
      <c r="C1712" t="s">
        <v>18</v>
      </c>
      <c r="D1712" t="s">
        <v>16</v>
      </c>
      <c r="E1712" t="s">
        <v>25</v>
      </c>
      <c r="F1712" s="3">
        <v>2970.7</v>
      </c>
      <c r="G1712" s="3">
        <v>4368.67</v>
      </c>
      <c r="H1712" s="3">
        <f>Table1[[#This Row],[Sale]]-Table1[[#This Row],[Cost]]</f>
        <v>1397.9700000000003</v>
      </c>
      <c r="I1712" s="4">
        <f>Table1[[#This Row],[Profit]]/Table1[[#This Row],[Sale]]</f>
        <v>0.31999899282848104</v>
      </c>
      <c r="J1712" s="5">
        <f t="shared" si="52"/>
        <v>2004</v>
      </c>
      <c r="K1712" s="5">
        <f>MONTH(Table1[[#This Row],[Date]])</f>
        <v>12</v>
      </c>
      <c r="L1712" s="5">
        <f>DAY(Table1[[#This Row],[Date]])</f>
        <v>4</v>
      </c>
      <c r="M1712" s="5" t="str">
        <f t="shared" si="53"/>
        <v>Dec</v>
      </c>
    </row>
    <row r="1713" spans="1:13" x14ac:dyDescent="0.25">
      <c r="A1713" s="2">
        <v>38761</v>
      </c>
      <c r="B1713" t="s">
        <v>22</v>
      </c>
      <c r="C1713" t="s">
        <v>12</v>
      </c>
      <c r="D1713" t="s">
        <v>19</v>
      </c>
      <c r="E1713" t="s">
        <v>14</v>
      </c>
      <c r="F1713" s="3">
        <v>5856.69</v>
      </c>
      <c r="G1713" s="3">
        <v>8612.7800000000007</v>
      </c>
      <c r="H1713" s="3">
        <f>Table1[[#This Row],[Sale]]-Table1[[#This Row],[Cost]]</f>
        <v>2756.0900000000011</v>
      </c>
      <c r="I1713" s="4">
        <f>Table1[[#This Row],[Profit]]/Table1[[#This Row],[Sale]]</f>
        <v>0.3200000464426121</v>
      </c>
      <c r="J1713" s="5">
        <f t="shared" si="52"/>
        <v>2006</v>
      </c>
      <c r="K1713" s="5">
        <f>MONTH(Table1[[#This Row],[Date]])</f>
        <v>2</v>
      </c>
      <c r="L1713" s="5">
        <f>DAY(Table1[[#This Row],[Date]])</f>
        <v>13</v>
      </c>
      <c r="M1713" s="5" t="str">
        <f t="shared" si="53"/>
        <v>Feb</v>
      </c>
    </row>
    <row r="1714" spans="1:13" x14ac:dyDescent="0.25">
      <c r="A1714" s="2">
        <v>38870</v>
      </c>
      <c r="B1714" t="s">
        <v>15</v>
      </c>
      <c r="C1714" t="s">
        <v>12</v>
      </c>
      <c r="D1714" t="s">
        <v>28</v>
      </c>
      <c r="E1714" t="s">
        <v>14</v>
      </c>
      <c r="F1714" s="3">
        <v>4304.3100000000004</v>
      </c>
      <c r="G1714" s="3">
        <v>4603.54</v>
      </c>
      <c r="H1714" s="3">
        <f>Table1[[#This Row],[Sale]]-Table1[[#This Row],[Cost]]</f>
        <v>299.22999999999956</v>
      </c>
      <c r="I1714" s="4">
        <f>Table1[[#This Row],[Profit]]/Table1[[#This Row],[Sale]]</f>
        <v>6.4999978277586287E-2</v>
      </c>
      <c r="J1714" s="5">
        <f t="shared" si="52"/>
        <v>2006</v>
      </c>
      <c r="K1714" s="5">
        <f>MONTH(Table1[[#This Row],[Date]])</f>
        <v>6</v>
      </c>
      <c r="L1714" s="5">
        <f>DAY(Table1[[#This Row],[Date]])</f>
        <v>2</v>
      </c>
      <c r="M1714" s="5" t="str">
        <f t="shared" si="53"/>
        <v>Jun</v>
      </c>
    </row>
    <row r="1715" spans="1:13" x14ac:dyDescent="0.25">
      <c r="A1715" s="2">
        <v>38821</v>
      </c>
      <c r="B1715" t="s">
        <v>17</v>
      </c>
      <c r="C1715" t="s">
        <v>12</v>
      </c>
      <c r="D1715" t="s">
        <v>16</v>
      </c>
      <c r="E1715" t="s">
        <v>20</v>
      </c>
      <c r="F1715" s="3">
        <v>5822.5</v>
      </c>
      <c r="G1715" s="3">
        <v>9868.64</v>
      </c>
      <c r="H1715" s="3">
        <f>Table1[[#This Row],[Sale]]-Table1[[#This Row],[Cost]]</f>
        <v>4046.1399999999994</v>
      </c>
      <c r="I1715" s="4">
        <f>Table1[[#This Row],[Profit]]/Table1[[#This Row],[Sale]]</f>
        <v>0.40999975680539563</v>
      </c>
      <c r="J1715" s="5">
        <f t="shared" si="52"/>
        <v>2006</v>
      </c>
      <c r="K1715" s="5">
        <f>MONTH(Table1[[#This Row],[Date]])</f>
        <v>4</v>
      </c>
      <c r="L1715" s="5">
        <f>DAY(Table1[[#This Row],[Date]])</f>
        <v>14</v>
      </c>
      <c r="M1715" s="5" t="str">
        <f t="shared" si="53"/>
        <v>Apr</v>
      </c>
    </row>
    <row r="1716" spans="1:13" x14ac:dyDescent="0.25">
      <c r="A1716" s="2">
        <v>38556</v>
      </c>
      <c r="B1716" t="s">
        <v>22</v>
      </c>
      <c r="C1716" t="s">
        <v>27</v>
      </c>
      <c r="D1716" t="s">
        <v>13</v>
      </c>
      <c r="E1716" t="s">
        <v>25</v>
      </c>
      <c r="F1716" s="3">
        <v>3913.1</v>
      </c>
      <c r="G1716" s="3">
        <v>8695.77</v>
      </c>
      <c r="H1716" s="3">
        <f>Table1[[#This Row],[Sale]]-Table1[[#This Row],[Cost]]</f>
        <v>4782.67</v>
      </c>
      <c r="I1716" s="4">
        <f>Table1[[#This Row],[Profit]]/Table1[[#This Row],[Sale]]</f>
        <v>0.5499995975054538</v>
      </c>
      <c r="J1716" s="5">
        <f t="shared" si="52"/>
        <v>2005</v>
      </c>
      <c r="K1716" s="5">
        <f>MONTH(Table1[[#This Row],[Date]])</f>
        <v>7</v>
      </c>
      <c r="L1716" s="5">
        <f>DAY(Table1[[#This Row],[Date]])</f>
        <v>23</v>
      </c>
      <c r="M1716" s="5" t="str">
        <f t="shared" si="53"/>
        <v>Jul</v>
      </c>
    </row>
    <row r="1717" spans="1:13" x14ac:dyDescent="0.25">
      <c r="A1717" s="2">
        <v>38168</v>
      </c>
      <c r="B1717" t="s">
        <v>26</v>
      </c>
      <c r="C1717" t="s">
        <v>18</v>
      </c>
      <c r="D1717" t="s">
        <v>28</v>
      </c>
      <c r="E1717" t="s">
        <v>14</v>
      </c>
      <c r="F1717" s="3">
        <v>1223.1199999999999</v>
      </c>
      <c r="G1717" s="3">
        <v>2844.46</v>
      </c>
      <c r="H1717" s="3">
        <f>Table1[[#This Row],[Sale]]-Table1[[#This Row],[Cost]]</f>
        <v>1621.3400000000001</v>
      </c>
      <c r="I1717" s="4">
        <f>Table1[[#This Row],[Profit]]/Table1[[#This Row],[Sale]]</f>
        <v>0.56999922656672974</v>
      </c>
      <c r="J1717" s="5">
        <f t="shared" si="52"/>
        <v>2004</v>
      </c>
      <c r="K1717" s="5">
        <f>MONTH(Table1[[#This Row],[Date]])</f>
        <v>6</v>
      </c>
      <c r="L1717" s="5">
        <f>DAY(Table1[[#This Row],[Date]])</f>
        <v>30</v>
      </c>
      <c r="M1717" s="5" t="str">
        <f t="shared" si="53"/>
        <v>Jun</v>
      </c>
    </row>
    <row r="1718" spans="1:13" x14ac:dyDescent="0.25">
      <c r="A1718" s="2">
        <v>38558</v>
      </c>
      <c r="B1718" t="s">
        <v>15</v>
      </c>
      <c r="C1718" t="s">
        <v>27</v>
      </c>
      <c r="D1718" t="s">
        <v>19</v>
      </c>
      <c r="E1718" t="s">
        <v>24</v>
      </c>
      <c r="F1718" s="3">
        <v>1872.41</v>
      </c>
      <c r="G1718" s="3">
        <v>2127.7399999999998</v>
      </c>
      <c r="H1718" s="3">
        <f>Table1[[#This Row],[Sale]]-Table1[[#This Row],[Cost]]</f>
        <v>255.3299999999997</v>
      </c>
      <c r="I1718" s="4">
        <f>Table1[[#This Row],[Profit]]/Table1[[#This Row],[Sale]]</f>
        <v>0.12000056397868147</v>
      </c>
      <c r="J1718" s="5">
        <f t="shared" si="52"/>
        <v>2005</v>
      </c>
      <c r="K1718" s="5">
        <f>MONTH(Table1[[#This Row],[Date]])</f>
        <v>7</v>
      </c>
      <c r="L1718" s="5">
        <f>DAY(Table1[[#This Row],[Date]])</f>
        <v>25</v>
      </c>
      <c r="M1718" s="5" t="str">
        <f t="shared" si="53"/>
        <v>Jul</v>
      </c>
    </row>
    <row r="1719" spans="1:13" x14ac:dyDescent="0.25">
      <c r="A1719" s="2">
        <v>38852</v>
      </c>
      <c r="B1719" t="s">
        <v>21</v>
      </c>
      <c r="C1719" t="s">
        <v>18</v>
      </c>
      <c r="D1719" t="s">
        <v>16</v>
      </c>
      <c r="E1719" t="s">
        <v>20</v>
      </c>
      <c r="F1719" s="3">
        <v>1018.25</v>
      </c>
      <c r="G1719" s="3">
        <v>2752.03</v>
      </c>
      <c r="H1719" s="3">
        <f>Table1[[#This Row],[Sale]]-Table1[[#This Row],[Cost]]</f>
        <v>1733.7800000000002</v>
      </c>
      <c r="I1719" s="4">
        <f>Table1[[#This Row],[Profit]]/Table1[[#This Row],[Sale]]</f>
        <v>0.63000039970494515</v>
      </c>
      <c r="J1719" s="5">
        <f t="shared" si="52"/>
        <v>2006</v>
      </c>
      <c r="K1719" s="5">
        <f>MONTH(Table1[[#This Row],[Date]])</f>
        <v>5</v>
      </c>
      <c r="L1719" s="5">
        <f>DAY(Table1[[#This Row],[Date]])</f>
        <v>15</v>
      </c>
      <c r="M1719" s="5" t="str">
        <f t="shared" si="53"/>
        <v>May</v>
      </c>
    </row>
    <row r="1720" spans="1:13" x14ac:dyDescent="0.25">
      <c r="A1720" s="2">
        <v>38784</v>
      </c>
      <c r="B1720" t="s">
        <v>22</v>
      </c>
      <c r="C1720" t="s">
        <v>12</v>
      </c>
      <c r="D1720" t="s">
        <v>28</v>
      </c>
      <c r="E1720" t="s">
        <v>20</v>
      </c>
      <c r="F1720" s="3">
        <v>218.27</v>
      </c>
      <c r="G1720" s="3">
        <v>291.02999999999997</v>
      </c>
      <c r="H1720" s="3">
        <f>Table1[[#This Row],[Sale]]-Table1[[#This Row],[Cost]]</f>
        <v>72.759999999999962</v>
      </c>
      <c r="I1720" s="4">
        <f>Table1[[#This Row],[Profit]]/Table1[[#This Row],[Sale]]</f>
        <v>0.25000859017970645</v>
      </c>
      <c r="J1720" s="5">
        <f t="shared" si="52"/>
        <v>2006</v>
      </c>
      <c r="K1720" s="5">
        <f>MONTH(Table1[[#This Row],[Date]])</f>
        <v>3</v>
      </c>
      <c r="L1720" s="5">
        <f>DAY(Table1[[#This Row],[Date]])</f>
        <v>8</v>
      </c>
      <c r="M1720" s="5" t="str">
        <f t="shared" si="53"/>
        <v>Mar</v>
      </c>
    </row>
    <row r="1721" spans="1:13" x14ac:dyDescent="0.25">
      <c r="A1721" s="2">
        <v>38155</v>
      </c>
      <c r="B1721" t="s">
        <v>15</v>
      </c>
      <c r="C1721" t="s">
        <v>29</v>
      </c>
      <c r="D1721" t="s">
        <v>19</v>
      </c>
      <c r="E1721" t="s">
        <v>25</v>
      </c>
      <c r="F1721" s="3">
        <v>5838.15</v>
      </c>
      <c r="G1721" s="3">
        <v>7784.2</v>
      </c>
      <c r="H1721" s="3">
        <f>Table1[[#This Row],[Sale]]-Table1[[#This Row],[Cost]]</f>
        <v>1946.0500000000002</v>
      </c>
      <c r="I1721" s="4">
        <f>Table1[[#This Row],[Profit]]/Table1[[#This Row],[Sale]]</f>
        <v>0.25000000000000006</v>
      </c>
      <c r="J1721" s="5">
        <f t="shared" si="52"/>
        <v>2004</v>
      </c>
      <c r="K1721" s="5">
        <f>MONTH(Table1[[#This Row],[Date]])</f>
        <v>6</v>
      </c>
      <c r="L1721" s="5">
        <f>DAY(Table1[[#This Row],[Date]])</f>
        <v>17</v>
      </c>
      <c r="M1721" s="5" t="str">
        <f t="shared" si="53"/>
        <v>Jun</v>
      </c>
    </row>
    <row r="1722" spans="1:13" x14ac:dyDescent="0.25">
      <c r="A1722" s="2">
        <v>38485</v>
      </c>
      <c r="B1722" t="s">
        <v>17</v>
      </c>
      <c r="C1722" t="s">
        <v>18</v>
      </c>
      <c r="D1722" t="s">
        <v>28</v>
      </c>
      <c r="E1722" t="s">
        <v>25</v>
      </c>
      <c r="F1722" s="3">
        <v>1873.41</v>
      </c>
      <c r="G1722" s="3">
        <v>3406.2</v>
      </c>
      <c r="H1722" s="3">
        <f>Table1[[#This Row],[Sale]]-Table1[[#This Row],[Cost]]</f>
        <v>1532.7899999999997</v>
      </c>
      <c r="I1722" s="4">
        <f>Table1[[#This Row],[Profit]]/Table1[[#This Row],[Sale]]</f>
        <v>0.44999999999999996</v>
      </c>
      <c r="J1722" s="5">
        <f t="shared" si="52"/>
        <v>2005</v>
      </c>
      <c r="K1722" s="5">
        <f>MONTH(Table1[[#This Row],[Date]])</f>
        <v>5</v>
      </c>
      <c r="L1722" s="5">
        <f>DAY(Table1[[#This Row],[Date]])</f>
        <v>13</v>
      </c>
      <c r="M1722" s="5" t="str">
        <f t="shared" si="53"/>
        <v>May</v>
      </c>
    </row>
    <row r="1723" spans="1:13" x14ac:dyDescent="0.25">
      <c r="A1723" s="2">
        <v>38382</v>
      </c>
      <c r="B1723" t="s">
        <v>21</v>
      </c>
      <c r="C1723" t="s">
        <v>12</v>
      </c>
      <c r="D1723" t="s">
        <v>13</v>
      </c>
      <c r="E1723" t="s">
        <v>24</v>
      </c>
      <c r="F1723" s="3">
        <v>1615.26</v>
      </c>
      <c r="G1723" s="3">
        <v>2375.38</v>
      </c>
      <c r="H1723" s="3">
        <f>Table1[[#This Row],[Sale]]-Table1[[#This Row],[Cost]]</f>
        <v>760.12000000000012</v>
      </c>
      <c r="I1723" s="4">
        <f>Table1[[#This Row],[Profit]]/Table1[[#This Row],[Sale]]</f>
        <v>0.31999932642356171</v>
      </c>
      <c r="J1723" s="5">
        <f t="shared" si="52"/>
        <v>2005</v>
      </c>
      <c r="K1723" s="5">
        <f>MONTH(Table1[[#This Row],[Date]])</f>
        <v>1</v>
      </c>
      <c r="L1723" s="5">
        <f>DAY(Table1[[#This Row],[Date]])</f>
        <v>30</v>
      </c>
      <c r="M1723" s="5" t="str">
        <f t="shared" si="53"/>
        <v>Jan</v>
      </c>
    </row>
    <row r="1724" spans="1:13" x14ac:dyDescent="0.25">
      <c r="A1724" s="2">
        <v>38355</v>
      </c>
      <c r="B1724" t="s">
        <v>15</v>
      </c>
      <c r="C1724" t="s">
        <v>12</v>
      </c>
      <c r="D1724" t="s">
        <v>13</v>
      </c>
      <c r="E1724" t="s">
        <v>20</v>
      </c>
      <c r="F1724" s="3">
        <v>854.13</v>
      </c>
      <c r="G1724" s="3">
        <v>2308.4499999999998</v>
      </c>
      <c r="H1724" s="3">
        <f>Table1[[#This Row],[Sale]]-Table1[[#This Row],[Cost]]</f>
        <v>1454.3199999999997</v>
      </c>
      <c r="I1724" s="4">
        <f>Table1[[#This Row],[Profit]]/Table1[[#This Row],[Sale]]</f>
        <v>0.62999848383114199</v>
      </c>
      <c r="J1724" s="5">
        <f t="shared" si="52"/>
        <v>2005</v>
      </c>
      <c r="K1724" s="5">
        <f>MONTH(Table1[[#This Row],[Date]])</f>
        <v>1</v>
      </c>
      <c r="L1724" s="5">
        <f>DAY(Table1[[#This Row],[Date]])</f>
        <v>3</v>
      </c>
      <c r="M1724" s="5" t="str">
        <f t="shared" si="53"/>
        <v>Jan</v>
      </c>
    </row>
    <row r="1725" spans="1:13" x14ac:dyDescent="0.25">
      <c r="A1725" s="2">
        <v>38867</v>
      </c>
      <c r="B1725" t="s">
        <v>11</v>
      </c>
      <c r="C1725" t="s">
        <v>23</v>
      </c>
      <c r="D1725" t="s">
        <v>13</v>
      </c>
      <c r="E1725" t="s">
        <v>14</v>
      </c>
      <c r="F1725" s="3">
        <v>5224.1899999999996</v>
      </c>
      <c r="G1725" s="3">
        <v>5587.37</v>
      </c>
      <c r="H1725" s="3">
        <f>Table1[[#This Row],[Sale]]-Table1[[#This Row],[Cost]]</f>
        <v>363.18000000000029</v>
      </c>
      <c r="I1725" s="4">
        <f>Table1[[#This Row],[Profit]]/Table1[[#This Row],[Sale]]</f>
        <v>6.5000170026327284E-2</v>
      </c>
      <c r="J1725" s="5">
        <f t="shared" si="52"/>
        <v>2006</v>
      </c>
      <c r="K1725" s="5">
        <f>MONTH(Table1[[#This Row],[Date]])</f>
        <v>5</v>
      </c>
      <c r="L1725" s="5">
        <f>DAY(Table1[[#This Row],[Date]])</f>
        <v>30</v>
      </c>
      <c r="M1725" s="5" t="str">
        <f t="shared" si="53"/>
        <v>May</v>
      </c>
    </row>
    <row r="1726" spans="1:13" x14ac:dyDescent="0.25">
      <c r="A1726" s="2">
        <v>38260</v>
      </c>
      <c r="B1726" t="s">
        <v>22</v>
      </c>
      <c r="C1726" t="s">
        <v>27</v>
      </c>
      <c r="D1726" t="s">
        <v>13</v>
      </c>
      <c r="E1726" t="s">
        <v>20</v>
      </c>
      <c r="F1726" s="3">
        <v>444.07</v>
      </c>
      <c r="G1726" s="3">
        <v>807.4</v>
      </c>
      <c r="H1726" s="3">
        <f>Table1[[#This Row],[Sale]]-Table1[[#This Row],[Cost]]</f>
        <v>363.33</v>
      </c>
      <c r="I1726" s="4">
        <f>Table1[[#This Row],[Profit]]/Table1[[#This Row],[Sale]]</f>
        <v>0.45</v>
      </c>
      <c r="J1726" s="5">
        <f t="shared" si="52"/>
        <v>2004</v>
      </c>
      <c r="K1726" s="5">
        <f>MONTH(Table1[[#This Row],[Date]])</f>
        <v>9</v>
      </c>
      <c r="L1726" s="5">
        <f>DAY(Table1[[#This Row],[Date]])</f>
        <v>30</v>
      </c>
      <c r="M1726" s="5" t="str">
        <f t="shared" si="53"/>
        <v>Sep</v>
      </c>
    </row>
    <row r="1727" spans="1:13" x14ac:dyDescent="0.25">
      <c r="A1727" s="2">
        <v>38556</v>
      </c>
      <c r="B1727" t="s">
        <v>11</v>
      </c>
      <c r="C1727" t="s">
        <v>27</v>
      </c>
      <c r="D1727" t="s">
        <v>19</v>
      </c>
      <c r="E1727" t="s">
        <v>14</v>
      </c>
      <c r="F1727" s="3">
        <v>5299.46</v>
      </c>
      <c r="G1727" s="3">
        <v>7793.32</v>
      </c>
      <c r="H1727" s="3">
        <f>Table1[[#This Row],[Sale]]-Table1[[#This Row],[Cost]]</f>
        <v>2493.8599999999997</v>
      </c>
      <c r="I1727" s="4">
        <f>Table1[[#This Row],[Profit]]/Table1[[#This Row],[Sale]]</f>
        <v>0.31999969204395556</v>
      </c>
      <c r="J1727" s="5">
        <f t="shared" si="52"/>
        <v>2005</v>
      </c>
      <c r="K1727" s="5">
        <f>MONTH(Table1[[#This Row],[Date]])</f>
        <v>7</v>
      </c>
      <c r="L1727" s="5">
        <f>DAY(Table1[[#This Row],[Date]])</f>
        <v>23</v>
      </c>
      <c r="M1727" s="5" t="str">
        <f t="shared" si="53"/>
        <v>Jul</v>
      </c>
    </row>
    <row r="1728" spans="1:13" x14ac:dyDescent="0.25">
      <c r="A1728" s="2">
        <v>38541</v>
      </c>
      <c r="B1728" t="s">
        <v>21</v>
      </c>
      <c r="C1728" t="s">
        <v>12</v>
      </c>
      <c r="D1728" t="s">
        <v>28</v>
      </c>
      <c r="E1728" t="s">
        <v>20</v>
      </c>
      <c r="F1728" s="3">
        <v>558.38</v>
      </c>
      <c r="G1728" s="3">
        <v>597.20000000000005</v>
      </c>
      <c r="H1728" s="3">
        <f>Table1[[#This Row],[Sale]]-Table1[[#This Row],[Cost]]</f>
        <v>38.82000000000005</v>
      </c>
      <c r="I1728" s="4">
        <f>Table1[[#This Row],[Profit]]/Table1[[#This Row],[Sale]]</f>
        <v>6.5003348961821916E-2</v>
      </c>
      <c r="J1728" s="5">
        <f t="shared" si="52"/>
        <v>2005</v>
      </c>
      <c r="K1728" s="5">
        <f>MONTH(Table1[[#This Row],[Date]])</f>
        <v>7</v>
      </c>
      <c r="L1728" s="5">
        <f>DAY(Table1[[#This Row],[Date]])</f>
        <v>8</v>
      </c>
      <c r="M1728" s="5" t="str">
        <f t="shared" si="53"/>
        <v>Jul</v>
      </c>
    </row>
    <row r="1729" spans="1:13" x14ac:dyDescent="0.25">
      <c r="A1729" s="2">
        <v>38452</v>
      </c>
      <c r="B1729" t="s">
        <v>11</v>
      </c>
      <c r="C1729" t="s">
        <v>29</v>
      </c>
      <c r="D1729" t="s">
        <v>19</v>
      </c>
      <c r="E1729" t="s">
        <v>25</v>
      </c>
      <c r="F1729" s="3">
        <v>2059.29</v>
      </c>
      <c r="G1729" s="3">
        <v>3490.33</v>
      </c>
      <c r="H1729" s="3">
        <f>Table1[[#This Row],[Sale]]-Table1[[#This Row],[Cost]]</f>
        <v>1431.04</v>
      </c>
      <c r="I1729" s="4">
        <f>Table1[[#This Row],[Profit]]/Table1[[#This Row],[Sale]]</f>
        <v>0.41000134657754422</v>
      </c>
      <c r="J1729" s="5">
        <f t="shared" si="52"/>
        <v>2005</v>
      </c>
      <c r="K1729" s="5">
        <f>MONTH(Table1[[#This Row],[Date]])</f>
        <v>4</v>
      </c>
      <c r="L1729" s="5">
        <f>DAY(Table1[[#This Row],[Date]])</f>
        <v>10</v>
      </c>
      <c r="M1729" s="5" t="str">
        <f t="shared" si="53"/>
        <v>Apr</v>
      </c>
    </row>
    <row r="1730" spans="1:13" x14ac:dyDescent="0.25">
      <c r="A1730" s="2">
        <v>38295</v>
      </c>
      <c r="B1730" t="s">
        <v>22</v>
      </c>
      <c r="C1730" t="s">
        <v>27</v>
      </c>
      <c r="D1730" t="s">
        <v>28</v>
      </c>
      <c r="E1730" t="s">
        <v>20</v>
      </c>
      <c r="F1730" s="3">
        <v>1445.41</v>
      </c>
      <c r="G1730" s="3">
        <v>2449.85</v>
      </c>
      <c r="H1730" s="3">
        <f>Table1[[#This Row],[Sale]]-Table1[[#This Row],[Cost]]</f>
        <v>1004.4399999999998</v>
      </c>
      <c r="I1730" s="4">
        <f>Table1[[#This Row],[Profit]]/Table1[[#This Row],[Sale]]</f>
        <v>0.4100006122823846</v>
      </c>
      <c r="J1730" s="5">
        <f t="shared" ref="J1730:J1793" si="54">YEAR(A:A)</f>
        <v>2004</v>
      </c>
      <c r="K1730" s="5">
        <f>MONTH(Table1[[#This Row],[Date]])</f>
        <v>11</v>
      </c>
      <c r="L1730" s="5">
        <f>DAY(Table1[[#This Row],[Date]])</f>
        <v>4</v>
      </c>
      <c r="M1730" s="5" t="str">
        <f t="shared" ref="M1730:M1793" si="55">CHOOSE(K1730,"Jan", "Feb", "Mar", "Apr", "May", "Jun", "Jul", "Aug", "Sep", "Oct", "Nov", "Dec")</f>
        <v>Nov</v>
      </c>
    </row>
    <row r="1731" spans="1:13" x14ac:dyDescent="0.25">
      <c r="A1731" s="2">
        <v>38837</v>
      </c>
      <c r="B1731" t="s">
        <v>26</v>
      </c>
      <c r="C1731" t="s">
        <v>27</v>
      </c>
      <c r="D1731" t="s">
        <v>16</v>
      </c>
      <c r="E1731" t="s">
        <v>14</v>
      </c>
      <c r="F1731" s="3">
        <v>730.46</v>
      </c>
      <c r="G1731" s="3">
        <v>973.95</v>
      </c>
      <c r="H1731" s="3">
        <f>Table1[[#This Row],[Sale]]-Table1[[#This Row],[Cost]]</f>
        <v>243.49</v>
      </c>
      <c r="I1731" s="4">
        <f>Table1[[#This Row],[Profit]]/Table1[[#This Row],[Sale]]</f>
        <v>0.25000256686688227</v>
      </c>
      <c r="J1731" s="5">
        <f t="shared" si="54"/>
        <v>2006</v>
      </c>
      <c r="K1731" s="5">
        <f>MONTH(Table1[[#This Row],[Date]])</f>
        <v>4</v>
      </c>
      <c r="L1731" s="5">
        <f>DAY(Table1[[#This Row],[Date]])</f>
        <v>30</v>
      </c>
      <c r="M1731" s="5" t="str">
        <f t="shared" si="55"/>
        <v>Apr</v>
      </c>
    </row>
    <row r="1732" spans="1:13" x14ac:dyDescent="0.25">
      <c r="A1732" s="2">
        <v>38781</v>
      </c>
      <c r="B1732" t="s">
        <v>26</v>
      </c>
      <c r="C1732" t="s">
        <v>29</v>
      </c>
      <c r="D1732" t="s">
        <v>19</v>
      </c>
      <c r="E1732" t="s">
        <v>20</v>
      </c>
      <c r="F1732" s="3">
        <v>1032.29</v>
      </c>
      <c r="G1732" s="3">
        <v>2789.98</v>
      </c>
      <c r="H1732" s="3">
        <f>Table1[[#This Row],[Sale]]-Table1[[#This Row],[Cost]]</f>
        <v>1757.69</v>
      </c>
      <c r="I1732" s="4">
        <f>Table1[[#This Row],[Profit]]/Table1[[#This Row],[Sale]]</f>
        <v>0.63000093190632189</v>
      </c>
      <c r="J1732" s="5">
        <f t="shared" si="54"/>
        <v>2006</v>
      </c>
      <c r="K1732" s="5">
        <f>MONTH(Table1[[#This Row],[Date]])</f>
        <v>3</v>
      </c>
      <c r="L1732" s="5">
        <f>DAY(Table1[[#This Row],[Date]])</f>
        <v>5</v>
      </c>
      <c r="M1732" s="5" t="str">
        <f t="shared" si="55"/>
        <v>Mar</v>
      </c>
    </row>
    <row r="1733" spans="1:13" x14ac:dyDescent="0.25">
      <c r="A1733" s="2">
        <v>38561</v>
      </c>
      <c r="B1733" t="s">
        <v>22</v>
      </c>
      <c r="C1733" t="s">
        <v>12</v>
      </c>
      <c r="D1733" t="s">
        <v>28</v>
      </c>
      <c r="E1733" t="s">
        <v>25</v>
      </c>
      <c r="F1733" s="3">
        <v>2875.12</v>
      </c>
      <c r="G1733" s="3">
        <v>5227.5</v>
      </c>
      <c r="H1733" s="3">
        <f>Table1[[#This Row],[Sale]]-Table1[[#This Row],[Cost]]</f>
        <v>2352.38</v>
      </c>
      <c r="I1733" s="4">
        <f>Table1[[#This Row],[Profit]]/Table1[[#This Row],[Sale]]</f>
        <v>0.45000095648015304</v>
      </c>
      <c r="J1733" s="5">
        <f t="shared" si="54"/>
        <v>2005</v>
      </c>
      <c r="K1733" s="5">
        <f>MONTH(Table1[[#This Row],[Date]])</f>
        <v>7</v>
      </c>
      <c r="L1733" s="5">
        <f>DAY(Table1[[#This Row],[Date]])</f>
        <v>28</v>
      </c>
      <c r="M1733" s="5" t="str">
        <f t="shared" si="55"/>
        <v>Jul</v>
      </c>
    </row>
    <row r="1734" spans="1:13" x14ac:dyDescent="0.25">
      <c r="A1734" s="2">
        <v>38860</v>
      </c>
      <c r="B1734" t="s">
        <v>22</v>
      </c>
      <c r="C1734" t="s">
        <v>27</v>
      </c>
      <c r="D1734" t="s">
        <v>16</v>
      </c>
      <c r="E1734" t="s">
        <v>24</v>
      </c>
      <c r="F1734" s="3">
        <v>6767.51</v>
      </c>
      <c r="G1734" s="3">
        <v>7690.35</v>
      </c>
      <c r="H1734" s="3">
        <f>Table1[[#This Row],[Sale]]-Table1[[#This Row],[Cost]]</f>
        <v>922.84000000000015</v>
      </c>
      <c r="I1734" s="4">
        <f>Table1[[#This Row],[Profit]]/Table1[[#This Row],[Sale]]</f>
        <v>0.11999973993381317</v>
      </c>
      <c r="J1734" s="5">
        <f t="shared" si="54"/>
        <v>2006</v>
      </c>
      <c r="K1734" s="5">
        <f>MONTH(Table1[[#This Row],[Date]])</f>
        <v>5</v>
      </c>
      <c r="L1734" s="5">
        <f>DAY(Table1[[#This Row],[Date]])</f>
        <v>23</v>
      </c>
      <c r="M1734" s="5" t="str">
        <f t="shared" si="55"/>
        <v>May</v>
      </c>
    </row>
    <row r="1735" spans="1:13" x14ac:dyDescent="0.25">
      <c r="A1735" s="2">
        <v>38847</v>
      </c>
      <c r="B1735" t="s">
        <v>21</v>
      </c>
      <c r="C1735" t="s">
        <v>23</v>
      </c>
      <c r="D1735" t="s">
        <v>16</v>
      </c>
      <c r="E1735" t="s">
        <v>14</v>
      </c>
      <c r="F1735" s="3">
        <v>1855.42</v>
      </c>
      <c r="G1735" s="3">
        <v>5014.6499999999996</v>
      </c>
      <c r="H1735" s="3">
        <f>Table1[[#This Row],[Sale]]-Table1[[#This Row],[Cost]]</f>
        <v>3159.2299999999996</v>
      </c>
      <c r="I1735" s="4">
        <f>Table1[[#This Row],[Profit]]/Table1[[#This Row],[Sale]]</f>
        <v>0.63000009970785598</v>
      </c>
      <c r="J1735" s="5">
        <f t="shared" si="54"/>
        <v>2006</v>
      </c>
      <c r="K1735" s="5">
        <f>MONTH(Table1[[#This Row],[Date]])</f>
        <v>5</v>
      </c>
      <c r="L1735" s="5">
        <f>DAY(Table1[[#This Row],[Date]])</f>
        <v>10</v>
      </c>
      <c r="M1735" s="5" t="str">
        <f t="shared" si="55"/>
        <v>May</v>
      </c>
    </row>
    <row r="1736" spans="1:13" x14ac:dyDescent="0.25">
      <c r="A1736" s="2">
        <v>38454</v>
      </c>
      <c r="B1736" t="s">
        <v>21</v>
      </c>
      <c r="C1736" t="s">
        <v>12</v>
      </c>
      <c r="D1736" t="s">
        <v>28</v>
      </c>
      <c r="E1736" t="s">
        <v>25</v>
      </c>
      <c r="F1736" s="3">
        <v>2522.29</v>
      </c>
      <c r="G1736" s="3">
        <v>5865.79</v>
      </c>
      <c r="H1736" s="3">
        <f>Table1[[#This Row],[Sale]]-Table1[[#This Row],[Cost]]</f>
        <v>3343.5</v>
      </c>
      <c r="I1736" s="4">
        <f>Table1[[#This Row],[Profit]]/Table1[[#This Row],[Sale]]</f>
        <v>0.56999994885599381</v>
      </c>
      <c r="J1736" s="5">
        <f t="shared" si="54"/>
        <v>2005</v>
      </c>
      <c r="K1736" s="5">
        <f>MONTH(Table1[[#This Row],[Date]])</f>
        <v>4</v>
      </c>
      <c r="L1736" s="5">
        <f>DAY(Table1[[#This Row],[Date]])</f>
        <v>12</v>
      </c>
      <c r="M1736" s="5" t="str">
        <f t="shared" si="55"/>
        <v>Apr</v>
      </c>
    </row>
    <row r="1737" spans="1:13" x14ac:dyDescent="0.25">
      <c r="A1737" s="2">
        <v>38821</v>
      </c>
      <c r="B1737" t="s">
        <v>26</v>
      </c>
      <c r="C1737" t="s">
        <v>18</v>
      </c>
      <c r="D1737" t="s">
        <v>19</v>
      </c>
      <c r="E1737" t="s">
        <v>20</v>
      </c>
      <c r="F1737" s="3">
        <v>6416.84</v>
      </c>
      <c r="G1737" s="3">
        <v>6862.93</v>
      </c>
      <c r="H1737" s="3">
        <f>Table1[[#This Row],[Sale]]-Table1[[#This Row],[Cost]]</f>
        <v>446.09000000000015</v>
      </c>
      <c r="I1737" s="4">
        <f>Table1[[#This Row],[Profit]]/Table1[[#This Row],[Sale]]</f>
        <v>6.499993443033808E-2</v>
      </c>
      <c r="J1737" s="5">
        <f t="shared" si="54"/>
        <v>2006</v>
      </c>
      <c r="K1737" s="5">
        <f>MONTH(Table1[[#This Row],[Date]])</f>
        <v>4</v>
      </c>
      <c r="L1737" s="5">
        <f>DAY(Table1[[#This Row],[Date]])</f>
        <v>14</v>
      </c>
      <c r="M1737" s="5" t="str">
        <f t="shared" si="55"/>
        <v>Apr</v>
      </c>
    </row>
    <row r="1738" spans="1:13" x14ac:dyDescent="0.25">
      <c r="A1738" s="2">
        <v>38291</v>
      </c>
      <c r="B1738" t="s">
        <v>15</v>
      </c>
      <c r="C1738" t="s">
        <v>23</v>
      </c>
      <c r="D1738" t="s">
        <v>16</v>
      </c>
      <c r="E1738" t="s">
        <v>20</v>
      </c>
      <c r="F1738" s="3">
        <v>3871.1</v>
      </c>
      <c r="G1738" s="3">
        <v>5161.46</v>
      </c>
      <c r="H1738" s="3">
        <f>Table1[[#This Row],[Sale]]-Table1[[#This Row],[Cost]]</f>
        <v>1290.3600000000001</v>
      </c>
      <c r="I1738" s="4">
        <f>Table1[[#This Row],[Profit]]/Table1[[#This Row],[Sale]]</f>
        <v>0.24999903128184664</v>
      </c>
      <c r="J1738" s="5">
        <f t="shared" si="54"/>
        <v>2004</v>
      </c>
      <c r="K1738" s="5">
        <f>MONTH(Table1[[#This Row],[Date]])</f>
        <v>10</v>
      </c>
      <c r="L1738" s="5">
        <f>DAY(Table1[[#This Row],[Date]])</f>
        <v>31</v>
      </c>
      <c r="M1738" s="5" t="str">
        <f t="shared" si="55"/>
        <v>Oct</v>
      </c>
    </row>
    <row r="1739" spans="1:13" x14ac:dyDescent="0.25">
      <c r="A1739" s="2">
        <v>38698</v>
      </c>
      <c r="B1739" t="s">
        <v>11</v>
      </c>
      <c r="C1739" t="s">
        <v>27</v>
      </c>
      <c r="D1739" t="s">
        <v>19</v>
      </c>
      <c r="E1739" t="s">
        <v>24</v>
      </c>
      <c r="F1739" s="3">
        <v>1853.22</v>
      </c>
      <c r="G1739" s="3">
        <v>3195.21</v>
      </c>
      <c r="H1739" s="3">
        <f>Table1[[#This Row],[Sale]]-Table1[[#This Row],[Cost]]</f>
        <v>1341.99</v>
      </c>
      <c r="I1739" s="4">
        <f>Table1[[#This Row],[Profit]]/Table1[[#This Row],[Sale]]</f>
        <v>0.42000056334325442</v>
      </c>
      <c r="J1739" s="5">
        <f t="shared" si="54"/>
        <v>2005</v>
      </c>
      <c r="K1739" s="5">
        <f>MONTH(Table1[[#This Row],[Date]])</f>
        <v>12</v>
      </c>
      <c r="L1739" s="5">
        <f>DAY(Table1[[#This Row],[Date]])</f>
        <v>12</v>
      </c>
      <c r="M1739" s="5" t="str">
        <f t="shared" si="55"/>
        <v>Dec</v>
      </c>
    </row>
    <row r="1740" spans="1:13" x14ac:dyDescent="0.25">
      <c r="A1740" s="2">
        <v>38435</v>
      </c>
      <c r="B1740" t="s">
        <v>21</v>
      </c>
      <c r="C1740" t="s">
        <v>29</v>
      </c>
      <c r="D1740" t="s">
        <v>13</v>
      </c>
      <c r="E1740" t="s">
        <v>20</v>
      </c>
      <c r="F1740" s="3">
        <v>1831.19</v>
      </c>
      <c r="G1740" s="3">
        <v>4949.16</v>
      </c>
      <c r="H1740" s="3">
        <f>Table1[[#This Row],[Sale]]-Table1[[#This Row],[Cost]]</f>
        <v>3117.97</v>
      </c>
      <c r="I1740" s="4">
        <f>Table1[[#This Row],[Profit]]/Table1[[#This Row],[Sale]]</f>
        <v>0.62999983835640794</v>
      </c>
      <c r="J1740" s="5">
        <f t="shared" si="54"/>
        <v>2005</v>
      </c>
      <c r="K1740" s="5">
        <f>MONTH(Table1[[#This Row],[Date]])</f>
        <v>3</v>
      </c>
      <c r="L1740" s="5">
        <f>DAY(Table1[[#This Row],[Date]])</f>
        <v>24</v>
      </c>
      <c r="M1740" s="5" t="str">
        <f t="shared" si="55"/>
        <v>Mar</v>
      </c>
    </row>
    <row r="1741" spans="1:13" x14ac:dyDescent="0.25">
      <c r="A1741" s="2">
        <v>38658</v>
      </c>
      <c r="B1741" t="s">
        <v>22</v>
      </c>
      <c r="C1741" t="s">
        <v>27</v>
      </c>
      <c r="D1741" t="s">
        <v>13</v>
      </c>
      <c r="E1741" t="s">
        <v>24</v>
      </c>
      <c r="F1741" s="3">
        <v>1336.62</v>
      </c>
      <c r="G1741" s="3">
        <v>2430.21</v>
      </c>
      <c r="H1741" s="3">
        <f>Table1[[#This Row],[Sale]]-Table1[[#This Row],[Cost]]</f>
        <v>1093.5900000000001</v>
      </c>
      <c r="I1741" s="4">
        <f>Table1[[#This Row],[Profit]]/Table1[[#This Row],[Sale]]</f>
        <v>0.44999814830817098</v>
      </c>
      <c r="J1741" s="5">
        <f t="shared" si="54"/>
        <v>2005</v>
      </c>
      <c r="K1741" s="5">
        <f>MONTH(Table1[[#This Row],[Date]])</f>
        <v>11</v>
      </c>
      <c r="L1741" s="5">
        <f>DAY(Table1[[#This Row],[Date]])</f>
        <v>2</v>
      </c>
      <c r="M1741" s="5" t="str">
        <f t="shared" si="55"/>
        <v>Nov</v>
      </c>
    </row>
    <row r="1742" spans="1:13" x14ac:dyDescent="0.25">
      <c r="A1742" s="2">
        <v>38473</v>
      </c>
      <c r="B1742" t="s">
        <v>17</v>
      </c>
      <c r="C1742" t="s">
        <v>29</v>
      </c>
      <c r="D1742" t="s">
        <v>16</v>
      </c>
      <c r="E1742" t="s">
        <v>24</v>
      </c>
      <c r="F1742" s="3">
        <v>3364.09</v>
      </c>
      <c r="G1742" s="3">
        <v>7475.76</v>
      </c>
      <c r="H1742" s="3">
        <f>Table1[[#This Row],[Sale]]-Table1[[#This Row],[Cost]]</f>
        <v>4111.67</v>
      </c>
      <c r="I1742" s="4">
        <f>Table1[[#This Row],[Profit]]/Table1[[#This Row],[Sale]]</f>
        <v>0.55000026753132791</v>
      </c>
      <c r="J1742" s="5">
        <f t="shared" si="54"/>
        <v>2005</v>
      </c>
      <c r="K1742" s="5">
        <f>MONTH(Table1[[#This Row],[Date]])</f>
        <v>5</v>
      </c>
      <c r="L1742" s="5">
        <f>DAY(Table1[[#This Row],[Date]])</f>
        <v>1</v>
      </c>
      <c r="M1742" s="5" t="str">
        <f t="shared" si="55"/>
        <v>May</v>
      </c>
    </row>
    <row r="1743" spans="1:13" x14ac:dyDescent="0.25">
      <c r="A1743" s="2">
        <v>38839</v>
      </c>
      <c r="B1743" t="s">
        <v>17</v>
      </c>
      <c r="C1743" t="s">
        <v>12</v>
      </c>
      <c r="D1743" t="s">
        <v>28</v>
      </c>
      <c r="E1743" t="s">
        <v>20</v>
      </c>
      <c r="F1743" s="3">
        <v>1265.31</v>
      </c>
      <c r="G1743" s="3">
        <v>1437.85</v>
      </c>
      <c r="H1743" s="3">
        <f>Table1[[#This Row],[Sale]]-Table1[[#This Row],[Cost]]</f>
        <v>172.53999999999996</v>
      </c>
      <c r="I1743" s="4">
        <f>Table1[[#This Row],[Profit]]/Table1[[#This Row],[Sale]]</f>
        <v>0.11999860903432207</v>
      </c>
      <c r="J1743" s="5">
        <f t="shared" si="54"/>
        <v>2006</v>
      </c>
      <c r="K1743" s="5">
        <f>MONTH(Table1[[#This Row],[Date]])</f>
        <v>5</v>
      </c>
      <c r="L1743" s="5">
        <f>DAY(Table1[[#This Row],[Date]])</f>
        <v>2</v>
      </c>
      <c r="M1743" s="5" t="str">
        <f t="shared" si="55"/>
        <v>May</v>
      </c>
    </row>
    <row r="1744" spans="1:13" x14ac:dyDescent="0.25">
      <c r="A1744" s="2">
        <v>38469</v>
      </c>
      <c r="B1744" t="s">
        <v>11</v>
      </c>
      <c r="C1744" t="s">
        <v>27</v>
      </c>
      <c r="D1744" t="s">
        <v>28</v>
      </c>
      <c r="E1744" t="s">
        <v>24</v>
      </c>
      <c r="F1744" s="3">
        <v>8079.5</v>
      </c>
      <c r="G1744" s="3">
        <v>8641.18</v>
      </c>
      <c r="H1744" s="3">
        <f>Table1[[#This Row],[Sale]]-Table1[[#This Row],[Cost]]</f>
        <v>561.68000000000029</v>
      </c>
      <c r="I1744" s="4">
        <f>Table1[[#This Row],[Profit]]/Table1[[#This Row],[Sale]]</f>
        <v>6.5000381892287892E-2</v>
      </c>
      <c r="J1744" s="5">
        <f t="shared" si="54"/>
        <v>2005</v>
      </c>
      <c r="K1744" s="5">
        <f>MONTH(Table1[[#This Row],[Date]])</f>
        <v>4</v>
      </c>
      <c r="L1744" s="5">
        <f>DAY(Table1[[#This Row],[Date]])</f>
        <v>27</v>
      </c>
      <c r="M1744" s="5" t="str">
        <f t="shared" si="55"/>
        <v>Apr</v>
      </c>
    </row>
    <row r="1745" spans="1:13" x14ac:dyDescent="0.25">
      <c r="A1745" s="2">
        <v>38595</v>
      </c>
      <c r="B1745" t="s">
        <v>11</v>
      </c>
      <c r="C1745" t="s">
        <v>23</v>
      </c>
      <c r="D1745" t="s">
        <v>16</v>
      </c>
      <c r="E1745" t="s">
        <v>24</v>
      </c>
      <c r="F1745" s="3">
        <v>677.31</v>
      </c>
      <c r="G1745" s="3">
        <v>1167.78</v>
      </c>
      <c r="H1745" s="3">
        <f>Table1[[#This Row],[Sale]]-Table1[[#This Row],[Cost]]</f>
        <v>490.47</v>
      </c>
      <c r="I1745" s="4">
        <f>Table1[[#This Row],[Profit]]/Table1[[#This Row],[Sale]]</f>
        <v>0.4200020551816267</v>
      </c>
      <c r="J1745" s="5">
        <f t="shared" si="54"/>
        <v>2005</v>
      </c>
      <c r="K1745" s="5">
        <f>MONTH(Table1[[#This Row],[Date]])</f>
        <v>8</v>
      </c>
      <c r="L1745" s="5">
        <f>DAY(Table1[[#This Row],[Date]])</f>
        <v>31</v>
      </c>
      <c r="M1745" s="5" t="str">
        <f t="shared" si="55"/>
        <v>Aug</v>
      </c>
    </row>
    <row r="1746" spans="1:13" x14ac:dyDescent="0.25">
      <c r="A1746" s="2">
        <v>38334</v>
      </c>
      <c r="B1746" t="s">
        <v>21</v>
      </c>
      <c r="C1746" t="s">
        <v>12</v>
      </c>
      <c r="D1746" t="s">
        <v>16</v>
      </c>
      <c r="E1746" t="s">
        <v>14</v>
      </c>
      <c r="F1746" s="3">
        <v>8046.45</v>
      </c>
      <c r="G1746" s="3">
        <v>8605.83</v>
      </c>
      <c r="H1746" s="3">
        <f>Table1[[#This Row],[Sale]]-Table1[[#This Row],[Cost]]</f>
        <v>559.38000000000011</v>
      </c>
      <c r="I1746" s="4">
        <f>Table1[[#This Row],[Profit]]/Table1[[#This Row],[Sale]]</f>
        <v>6.5000122010311634E-2</v>
      </c>
      <c r="J1746" s="5">
        <f t="shared" si="54"/>
        <v>2004</v>
      </c>
      <c r="K1746" s="5">
        <f>MONTH(Table1[[#This Row],[Date]])</f>
        <v>12</v>
      </c>
      <c r="L1746" s="5">
        <f>DAY(Table1[[#This Row],[Date]])</f>
        <v>13</v>
      </c>
      <c r="M1746" s="5" t="str">
        <f t="shared" si="55"/>
        <v>Dec</v>
      </c>
    </row>
    <row r="1747" spans="1:13" x14ac:dyDescent="0.25">
      <c r="A1747" s="2">
        <v>38676</v>
      </c>
      <c r="B1747" t="s">
        <v>26</v>
      </c>
      <c r="C1747" t="s">
        <v>18</v>
      </c>
      <c r="D1747" t="s">
        <v>19</v>
      </c>
      <c r="E1747" t="s">
        <v>14</v>
      </c>
      <c r="F1747" s="3">
        <v>4490.49</v>
      </c>
      <c r="G1747" s="3">
        <v>6603.66</v>
      </c>
      <c r="H1747" s="3">
        <f>Table1[[#This Row],[Sale]]-Table1[[#This Row],[Cost]]</f>
        <v>2113.17</v>
      </c>
      <c r="I1747" s="4">
        <f>Table1[[#This Row],[Profit]]/Table1[[#This Row],[Sale]]</f>
        <v>0.31999981828258878</v>
      </c>
      <c r="J1747" s="5">
        <f t="shared" si="54"/>
        <v>2005</v>
      </c>
      <c r="K1747" s="5">
        <f>MONTH(Table1[[#This Row],[Date]])</f>
        <v>11</v>
      </c>
      <c r="L1747" s="5">
        <f>DAY(Table1[[#This Row],[Date]])</f>
        <v>20</v>
      </c>
      <c r="M1747" s="5" t="str">
        <f t="shared" si="55"/>
        <v>Nov</v>
      </c>
    </row>
    <row r="1748" spans="1:13" x14ac:dyDescent="0.25">
      <c r="A1748" s="2">
        <v>38768</v>
      </c>
      <c r="B1748" t="s">
        <v>22</v>
      </c>
      <c r="C1748" t="s">
        <v>18</v>
      </c>
      <c r="D1748" t="s">
        <v>16</v>
      </c>
      <c r="E1748" t="s">
        <v>25</v>
      </c>
      <c r="F1748" s="3">
        <v>1279.02</v>
      </c>
      <c r="G1748" s="3">
        <v>2325.4899999999998</v>
      </c>
      <c r="H1748" s="3">
        <f>Table1[[#This Row],[Sale]]-Table1[[#This Row],[Cost]]</f>
        <v>1046.4699999999998</v>
      </c>
      <c r="I1748" s="4">
        <f>Table1[[#This Row],[Profit]]/Table1[[#This Row],[Sale]]</f>
        <v>0.44999978499155013</v>
      </c>
      <c r="J1748" s="5">
        <f t="shared" si="54"/>
        <v>2006</v>
      </c>
      <c r="K1748" s="5">
        <f>MONTH(Table1[[#This Row],[Date]])</f>
        <v>2</v>
      </c>
      <c r="L1748" s="5">
        <f>DAY(Table1[[#This Row],[Date]])</f>
        <v>20</v>
      </c>
      <c r="M1748" s="5" t="str">
        <f t="shared" si="55"/>
        <v>Feb</v>
      </c>
    </row>
    <row r="1749" spans="1:13" x14ac:dyDescent="0.25">
      <c r="A1749" s="2">
        <v>38256</v>
      </c>
      <c r="B1749" t="s">
        <v>21</v>
      </c>
      <c r="C1749" t="s">
        <v>12</v>
      </c>
      <c r="D1749" t="s">
        <v>13</v>
      </c>
      <c r="E1749" t="s">
        <v>20</v>
      </c>
      <c r="F1749" s="3">
        <v>3590.77</v>
      </c>
      <c r="G1749" s="3">
        <v>6528.67</v>
      </c>
      <c r="H1749" s="3">
        <f>Table1[[#This Row],[Sale]]-Table1[[#This Row],[Cost]]</f>
        <v>2937.9</v>
      </c>
      <c r="I1749" s="4">
        <f>Table1[[#This Row],[Profit]]/Table1[[#This Row],[Sale]]</f>
        <v>0.44999977024416921</v>
      </c>
      <c r="J1749" s="5">
        <f t="shared" si="54"/>
        <v>2004</v>
      </c>
      <c r="K1749" s="5">
        <f>MONTH(Table1[[#This Row],[Date]])</f>
        <v>9</v>
      </c>
      <c r="L1749" s="5">
        <f>DAY(Table1[[#This Row],[Date]])</f>
        <v>26</v>
      </c>
      <c r="M1749" s="5" t="str">
        <f t="shared" si="55"/>
        <v>Sep</v>
      </c>
    </row>
    <row r="1750" spans="1:13" x14ac:dyDescent="0.25">
      <c r="A1750" s="2">
        <v>38254</v>
      </c>
      <c r="B1750" t="s">
        <v>21</v>
      </c>
      <c r="C1750" t="s">
        <v>29</v>
      </c>
      <c r="D1750" t="s">
        <v>28</v>
      </c>
      <c r="E1750" t="s">
        <v>14</v>
      </c>
      <c r="F1750" s="3">
        <v>2982.53</v>
      </c>
      <c r="G1750" s="3">
        <v>5422.79</v>
      </c>
      <c r="H1750" s="3">
        <f>Table1[[#This Row],[Sale]]-Table1[[#This Row],[Cost]]</f>
        <v>2440.2599999999998</v>
      </c>
      <c r="I1750" s="4">
        <f>Table1[[#This Row],[Profit]]/Table1[[#This Row],[Sale]]</f>
        <v>0.45000082983113854</v>
      </c>
      <c r="J1750" s="5">
        <f t="shared" si="54"/>
        <v>2004</v>
      </c>
      <c r="K1750" s="5">
        <f>MONTH(Table1[[#This Row],[Date]])</f>
        <v>9</v>
      </c>
      <c r="L1750" s="5">
        <f>DAY(Table1[[#This Row],[Date]])</f>
        <v>24</v>
      </c>
      <c r="M1750" s="5" t="str">
        <f t="shared" si="55"/>
        <v>Sep</v>
      </c>
    </row>
    <row r="1751" spans="1:13" x14ac:dyDescent="0.25">
      <c r="A1751" s="2">
        <v>38836</v>
      </c>
      <c r="B1751" t="s">
        <v>11</v>
      </c>
      <c r="C1751" t="s">
        <v>12</v>
      </c>
      <c r="D1751" t="s">
        <v>16</v>
      </c>
      <c r="E1751" t="s">
        <v>14</v>
      </c>
      <c r="F1751" s="3">
        <v>2714.37</v>
      </c>
      <c r="G1751" s="3">
        <v>3991.72</v>
      </c>
      <c r="H1751" s="3">
        <f>Table1[[#This Row],[Sale]]-Table1[[#This Row],[Cost]]</f>
        <v>1277.3499999999999</v>
      </c>
      <c r="I1751" s="4">
        <f>Table1[[#This Row],[Profit]]/Table1[[#This Row],[Sale]]</f>
        <v>0.3199998997925706</v>
      </c>
      <c r="J1751" s="5">
        <f t="shared" si="54"/>
        <v>2006</v>
      </c>
      <c r="K1751" s="5">
        <f>MONTH(Table1[[#This Row],[Date]])</f>
        <v>4</v>
      </c>
      <c r="L1751" s="5">
        <f>DAY(Table1[[#This Row],[Date]])</f>
        <v>29</v>
      </c>
      <c r="M1751" s="5" t="str">
        <f t="shared" si="55"/>
        <v>Apr</v>
      </c>
    </row>
    <row r="1752" spans="1:13" x14ac:dyDescent="0.25">
      <c r="A1752" s="2">
        <v>38511</v>
      </c>
      <c r="B1752" t="s">
        <v>22</v>
      </c>
      <c r="C1752" t="s">
        <v>27</v>
      </c>
      <c r="D1752" t="s">
        <v>16</v>
      </c>
      <c r="E1752" t="s">
        <v>24</v>
      </c>
      <c r="F1752" s="3">
        <v>1030.26</v>
      </c>
      <c r="G1752" s="3">
        <v>1873.2</v>
      </c>
      <c r="H1752" s="3">
        <f>Table1[[#This Row],[Sale]]-Table1[[#This Row],[Cost]]</f>
        <v>842.94</v>
      </c>
      <c r="I1752" s="4">
        <f>Table1[[#This Row],[Profit]]/Table1[[#This Row],[Sale]]</f>
        <v>0.45</v>
      </c>
      <c r="J1752" s="5">
        <f t="shared" si="54"/>
        <v>2005</v>
      </c>
      <c r="K1752" s="5">
        <f>MONTH(Table1[[#This Row],[Date]])</f>
        <v>6</v>
      </c>
      <c r="L1752" s="5">
        <f>DAY(Table1[[#This Row],[Date]])</f>
        <v>8</v>
      </c>
      <c r="M1752" s="5" t="str">
        <f t="shared" si="55"/>
        <v>Jun</v>
      </c>
    </row>
    <row r="1753" spans="1:13" x14ac:dyDescent="0.25">
      <c r="A1753" s="2">
        <v>38511</v>
      </c>
      <c r="B1753" t="s">
        <v>11</v>
      </c>
      <c r="C1753" t="s">
        <v>12</v>
      </c>
      <c r="D1753" t="s">
        <v>19</v>
      </c>
      <c r="E1753" t="s">
        <v>14</v>
      </c>
      <c r="F1753" s="3">
        <v>2426.35</v>
      </c>
      <c r="G1753" s="3">
        <v>5391.88</v>
      </c>
      <c r="H1753" s="3">
        <f>Table1[[#This Row],[Sale]]-Table1[[#This Row],[Cost]]</f>
        <v>2965.53</v>
      </c>
      <c r="I1753" s="4">
        <f>Table1[[#This Row],[Profit]]/Table1[[#This Row],[Sale]]</f>
        <v>0.5499992581437273</v>
      </c>
      <c r="J1753" s="5">
        <f t="shared" si="54"/>
        <v>2005</v>
      </c>
      <c r="K1753" s="5">
        <f>MONTH(Table1[[#This Row],[Date]])</f>
        <v>6</v>
      </c>
      <c r="L1753" s="5">
        <f>DAY(Table1[[#This Row],[Date]])</f>
        <v>8</v>
      </c>
      <c r="M1753" s="5" t="str">
        <f t="shared" si="55"/>
        <v>Jun</v>
      </c>
    </row>
    <row r="1754" spans="1:13" x14ac:dyDescent="0.25">
      <c r="A1754" s="2">
        <v>38593</v>
      </c>
      <c r="B1754" t="s">
        <v>21</v>
      </c>
      <c r="C1754" t="s">
        <v>29</v>
      </c>
      <c r="D1754" t="s">
        <v>19</v>
      </c>
      <c r="E1754" t="s">
        <v>25</v>
      </c>
      <c r="F1754" s="3">
        <v>1420.63</v>
      </c>
      <c r="G1754" s="3">
        <v>2089.16</v>
      </c>
      <c r="H1754" s="3">
        <f>Table1[[#This Row],[Sale]]-Table1[[#This Row],[Cost]]</f>
        <v>668.52999999999975</v>
      </c>
      <c r="I1754" s="4">
        <f>Table1[[#This Row],[Profit]]/Table1[[#This Row],[Sale]]</f>
        <v>0.31999942560646372</v>
      </c>
      <c r="J1754" s="5">
        <f t="shared" si="54"/>
        <v>2005</v>
      </c>
      <c r="K1754" s="5">
        <f>MONTH(Table1[[#This Row],[Date]])</f>
        <v>8</v>
      </c>
      <c r="L1754" s="5">
        <f>DAY(Table1[[#This Row],[Date]])</f>
        <v>29</v>
      </c>
      <c r="M1754" s="5" t="str">
        <f t="shared" si="55"/>
        <v>Aug</v>
      </c>
    </row>
    <row r="1755" spans="1:13" x14ac:dyDescent="0.25">
      <c r="A1755" s="2">
        <v>38537</v>
      </c>
      <c r="B1755" t="s">
        <v>17</v>
      </c>
      <c r="C1755" t="s">
        <v>12</v>
      </c>
      <c r="D1755" t="s">
        <v>16</v>
      </c>
      <c r="E1755" t="s">
        <v>20</v>
      </c>
      <c r="F1755" s="3">
        <v>6603.42</v>
      </c>
      <c r="G1755" s="3">
        <v>8804.56</v>
      </c>
      <c r="H1755" s="3">
        <f>Table1[[#This Row],[Sale]]-Table1[[#This Row],[Cost]]</f>
        <v>2201.1399999999994</v>
      </c>
      <c r="I1755" s="4">
        <f>Table1[[#This Row],[Profit]]/Table1[[#This Row],[Sale]]</f>
        <v>0.24999999999999994</v>
      </c>
      <c r="J1755" s="5">
        <f t="shared" si="54"/>
        <v>2005</v>
      </c>
      <c r="K1755" s="5">
        <f>MONTH(Table1[[#This Row],[Date]])</f>
        <v>7</v>
      </c>
      <c r="L1755" s="5">
        <f>DAY(Table1[[#This Row],[Date]])</f>
        <v>4</v>
      </c>
      <c r="M1755" s="5" t="str">
        <f t="shared" si="55"/>
        <v>Jul</v>
      </c>
    </row>
    <row r="1756" spans="1:13" x14ac:dyDescent="0.25">
      <c r="A1756" s="2">
        <v>38666</v>
      </c>
      <c r="B1756" t="s">
        <v>22</v>
      </c>
      <c r="C1756" t="s">
        <v>12</v>
      </c>
      <c r="D1756" t="s">
        <v>19</v>
      </c>
      <c r="E1756" t="s">
        <v>24</v>
      </c>
      <c r="F1756" s="3">
        <v>8311.6</v>
      </c>
      <c r="G1756" s="3">
        <v>9445</v>
      </c>
      <c r="H1756" s="3">
        <f>Table1[[#This Row],[Sale]]-Table1[[#This Row],[Cost]]</f>
        <v>1133.3999999999996</v>
      </c>
      <c r="I1756" s="4">
        <f>Table1[[#This Row],[Profit]]/Table1[[#This Row],[Sale]]</f>
        <v>0.11999999999999997</v>
      </c>
      <c r="J1756" s="5">
        <f t="shared" si="54"/>
        <v>2005</v>
      </c>
      <c r="K1756" s="5">
        <f>MONTH(Table1[[#This Row],[Date]])</f>
        <v>11</v>
      </c>
      <c r="L1756" s="5">
        <f>DAY(Table1[[#This Row],[Date]])</f>
        <v>10</v>
      </c>
      <c r="M1756" s="5" t="str">
        <f t="shared" si="55"/>
        <v>Nov</v>
      </c>
    </row>
    <row r="1757" spans="1:13" x14ac:dyDescent="0.25">
      <c r="A1757" s="2">
        <v>38473</v>
      </c>
      <c r="B1757" t="s">
        <v>17</v>
      </c>
      <c r="C1757" t="s">
        <v>18</v>
      </c>
      <c r="D1757" t="s">
        <v>13</v>
      </c>
      <c r="E1757" t="s">
        <v>20</v>
      </c>
      <c r="F1757" s="3">
        <v>6820.56</v>
      </c>
      <c r="G1757" s="3">
        <v>9094.08</v>
      </c>
      <c r="H1757" s="3">
        <f>Table1[[#This Row],[Sale]]-Table1[[#This Row],[Cost]]</f>
        <v>2273.5199999999995</v>
      </c>
      <c r="I1757" s="4">
        <f>Table1[[#This Row],[Profit]]/Table1[[#This Row],[Sale]]</f>
        <v>0.24999999999999994</v>
      </c>
      <c r="J1757" s="5">
        <f t="shared" si="54"/>
        <v>2005</v>
      </c>
      <c r="K1757" s="5">
        <f>MONTH(Table1[[#This Row],[Date]])</f>
        <v>5</v>
      </c>
      <c r="L1757" s="5">
        <f>DAY(Table1[[#This Row],[Date]])</f>
        <v>1</v>
      </c>
      <c r="M1757" s="5" t="str">
        <f t="shared" si="55"/>
        <v>May</v>
      </c>
    </row>
    <row r="1758" spans="1:13" x14ac:dyDescent="0.25">
      <c r="A1758" s="2">
        <v>38378</v>
      </c>
      <c r="B1758" t="s">
        <v>26</v>
      </c>
      <c r="C1758" t="s">
        <v>27</v>
      </c>
      <c r="D1758" t="s">
        <v>13</v>
      </c>
      <c r="E1758" t="s">
        <v>24</v>
      </c>
      <c r="F1758" s="3">
        <v>2611.64</v>
      </c>
      <c r="G1758" s="3">
        <v>3840.65</v>
      </c>
      <c r="H1758" s="3">
        <f>Table1[[#This Row],[Sale]]-Table1[[#This Row],[Cost]]</f>
        <v>1229.0100000000002</v>
      </c>
      <c r="I1758" s="4">
        <f>Table1[[#This Row],[Profit]]/Table1[[#This Row],[Sale]]</f>
        <v>0.32000052074518642</v>
      </c>
      <c r="J1758" s="5">
        <f t="shared" si="54"/>
        <v>2005</v>
      </c>
      <c r="K1758" s="5">
        <f>MONTH(Table1[[#This Row],[Date]])</f>
        <v>1</v>
      </c>
      <c r="L1758" s="5">
        <f>DAY(Table1[[#This Row],[Date]])</f>
        <v>26</v>
      </c>
      <c r="M1758" s="5" t="str">
        <f t="shared" si="55"/>
        <v>Jan</v>
      </c>
    </row>
    <row r="1759" spans="1:13" x14ac:dyDescent="0.25">
      <c r="A1759" s="2">
        <v>38768</v>
      </c>
      <c r="B1759" t="s">
        <v>22</v>
      </c>
      <c r="C1759" t="s">
        <v>23</v>
      </c>
      <c r="D1759" t="s">
        <v>13</v>
      </c>
      <c r="E1759" t="s">
        <v>24</v>
      </c>
      <c r="F1759" s="3">
        <v>5014.63</v>
      </c>
      <c r="G1759" s="3">
        <v>6686.17</v>
      </c>
      <c r="H1759" s="3">
        <f>Table1[[#This Row],[Sale]]-Table1[[#This Row],[Cost]]</f>
        <v>1671.54</v>
      </c>
      <c r="I1759" s="4">
        <f>Table1[[#This Row],[Profit]]/Table1[[#This Row],[Sale]]</f>
        <v>0.24999962609386239</v>
      </c>
      <c r="J1759" s="5">
        <f t="shared" si="54"/>
        <v>2006</v>
      </c>
      <c r="K1759" s="5">
        <f>MONTH(Table1[[#This Row],[Date]])</f>
        <v>2</v>
      </c>
      <c r="L1759" s="5">
        <f>DAY(Table1[[#This Row],[Date]])</f>
        <v>20</v>
      </c>
      <c r="M1759" s="5" t="str">
        <f t="shared" si="55"/>
        <v>Feb</v>
      </c>
    </row>
    <row r="1760" spans="1:13" x14ac:dyDescent="0.25">
      <c r="A1760" s="2">
        <v>38204</v>
      </c>
      <c r="B1760" t="s">
        <v>17</v>
      </c>
      <c r="C1760" t="s">
        <v>12</v>
      </c>
      <c r="D1760" t="s">
        <v>13</v>
      </c>
      <c r="E1760" t="s">
        <v>25</v>
      </c>
      <c r="F1760" s="3">
        <v>4561.2</v>
      </c>
      <c r="G1760" s="3">
        <v>5183.18</v>
      </c>
      <c r="H1760" s="3">
        <f>Table1[[#This Row],[Sale]]-Table1[[#This Row],[Cost]]</f>
        <v>621.98000000000047</v>
      </c>
      <c r="I1760" s="4">
        <f>Table1[[#This Row],[Profit]]/Table1[[#This Row],[Sale]]</f>
        <v>0.11999969130919637</v>
      </c>
      <c r="J1760" s="5">
        <f t="shared" si="54"/>
        <v>2004</v>
      </c>
      <c r="K1760" s="5">
        <f>MONTH(Table1[[#This Row],[Date]])</f>
        <v>8</v>
      </c>
      <c r="L1760" s="5">
        <f>DAY(Table1[[#This Row],[Date]])</f>
        <v>5</v>
      </c>
      <c r="M1760" s="5" t="str">
        <f t="shared" si="55"/>
        <v>Aug</v>
      </c>
    </row>
    <row r="1761" spans="1:13" x14ac:dyDescent="0.25">
      <c r="A1761" s="2">
        <v>38767</v>
      </c>
      <c r="B1761" t="s">
        <v>22</v>
      </c>
      <c r="C1761" t="s">
        <v>12</v>
      </c>
      <c r="D1761" t="s">
        <v>13</v>
      </c>
      <c r="E1761" t="s">
        <v>24</v>
      </c>
      <c r="F1761" s="3">
        <v>1530.2</v>
      </c>
      <c r="G1761" s="3">
        <v>2593.56</v>
      </c>
      <c r="H1761" s="3">
        <f>Table1[[#This Row],[Sale]]-Table1[[#This Row],[Cost]]</f>
        <v>1063.3599999999999</v>
      </c>
      <c r="I1761" s="4">
        <f>Table1[[#This Row],[Profit]]/Table1[[#This Row],[Sale]]</f>
        <v>0.4100001542281651</v>
      </c>
      <c r="J1761" s="5">
        <f t="shared" si="54"/>
        <v>2006</v>
      </c>
      <c r="K1761" s="5">
        <f>MONTH(Table1[[#This Row],[Date]])</f>
        <v>2</v>
      </c>
      <c r="L1761" s="5">
        <f>DAY(Table1[[#This Row],[Date]])</f>
        <v>19</v>
      </c>
      <c r="M1761" s="5" t="str">
        <f t="shared" si="55"/>
        <v>Feb</v>
      </c>
    </row>
    <row r="1762" spans="1:13" x14ac:dyDescent="0.25">
      <c r="A1762" s="2">
        <v>38729</v>
      </c>
      <c r="B1762" t="s">
        <v>21</v>
      </c>
      <c r="C1762" t="s">
        <v>12</v>
      </c>
      <c r="D1762" t="s">
        <v>19</v>
      </c>
      <c r="E1762" t="s">
        <v>20</v>
      </c>
      <c r="F1762" s="3">
        <v>2809.57</v>
      </c>
      <c r="G1762" s="3">
        <v>5108.3100000000004</v>
      </c>
      <c r="H1762" s="3">
        <f>Table1[[#This Row],[Sale]]-Table1[[#This Row],[Cost]]</f>
        <v>2298.7400000000002</v>
      </c>
      <c r="I1762" s="4">
        <f>Table1[[#This Row],[Profit]]/Table1[[#This Row],[Sale]]</f>
        <v>0.45000009787972933</v>
      </c>
      <c r="J1762" s="5">
        <f t="shared" si="54"/>
        <v>2006</v>
      </c>
      <c r="K1762" s="5">
        <f>MONTH(Table1[[#This Row],[Date]])</f>
        <v>1</v>
      </c>
      <c r="L1762" s="5">
        <f>DAY(Table1[[#This Row],[Date]])</f>
        <v>12</v>
      </c>
      <c r="M1762" s="5" t="str">
        <f t="shared" si="55"/>
        <v>Jan</v>
      </c>
    </row>
    <row r="1763" spans="1:13" x14ac:dyDescent="0.25">
      <c r="A1763" s="2">
        <v>38373</v>
      </c>
      <c r="B1763" t="s">
        <v>17</v>
      </c>
      <c r="C1763" t="s">
        <v>23</v>
      </c>
      <c r="D1763" t="s">
        <v>19</v>
      </c>
      <c r="E1763" t="s">
        <v>25</v>
      </c>
      <c r="F1763" s="3">
        <v>8615.6200000000008</v>
      </c>
      <c r="G1763" s="3">
        <v>9790.48</v>
      </c>
      <c r="H1763" s="3">
        <f>Table1[[#This Row],[Sale]]-Table1[[#This Row],[Cost]]</f>
        <v>1174.8599999999988</v>
      </c>
      <c r="I1763" s="4">
        <f>Table1[[#This Row],[Profit]]/Table1[[#This Row],[Sale]]</f>
        <v>0.12000024513609127</v>
      </c>
      <c r="J1763" s="5">
        <f t="shared" si="54"/>
        <v>2005</v>
      </c>
      <c r="K1763" s="5">
        <f>MONTH(Table1[[#This Row],[Date]])</f>
        <v>1</v>
      </c>
      <c r="L1763" s="5">
        <f>DAY(Table1[[#This Row],[Date]])</f>
        <v>21</v>
      </c>
      <c r="M1763" s="5" t="str">
        <f t="shared" si="55"/>
        <v>Jan</v>
      </c>
    </row>
    <row r="1764" spans="1:13" x14ac:dyDescent="0.25">
      <c r="A1764" s="2">
        <v>38855</v>
      </c>
      <c r="B1764" t="s">
        <v>17</v>
      </c>
      <c r="C1764" t="s">
        <v>27</v>
      </c>
      <c r="D1764" t="s">
        <v>16</v>
      </c>
      <c r="E1764" t="s">
        <v>20</v>
      </c>
      <c r="F1764" s="3">
        <v>3489.65</v>
      </c>
      <c r="G1764" s="3">
        <v>4652.87</v>
      </c>
      <c r="H1764" s="3">
        <f>Table1[[#This Row],[Sale]]-Table1[[#This Row],[Cost]]</f>
        <v>1163.2199999999998</v>
      </c>
      <c r="I1764" s="4">
        <f>Table1[[#This Row],[Profit]]/Table1[[#This Row],[Sale]]</f>
        <v>0.25000053730278299</v>
      </c>
      <c r="J1764" s="5">
        <f t="shared" si="54"/>
        <v>2006</v>
      </c>
      <c r="K1764" s="5">
        <f>MONTH(Table1[[#This Row],[Date]])</f>
        <v>5</v>
      </c>
      <c r="L1764" s="5">
        <f>DAY(Table1[[#This Row],[Date]])</f>
        <v>18</v>
      </c>
      <c r="M1764" s="5" t="str">
        <f t="shared" si="55"/>
        <v>May</v>
      </c>
    </row>
    <row r="1765" spans="1:13" x14ac:dyDescent="0.25">
      <c r="A1765" s="2">
        <v>38777</v>
      </c>
      <c r="B1765" t="s">
        <v>21</v>
      </c>
      <c r="C1765" t="s">
        <v>29</v>
      </c>
      <c r="D1765" t="s">
        <v>13</v>
      </c>
      <c r="E1765" t="s">
        <v>14</v>
      </c>
      <c r="F1765" s="3">
        <v>3185.71</v>
      </c>
      <c r="G1765" s="3">
        <v>8610.02</v>
      </c>
      <c r="H1765" s="3">
        <f>Table1[[#This Row],[Sale]]-Table1[[#This Row],[Cost]]</f>
        <v>5424.31</v>
      </c>
      <c r="I1765" s="4">
        <f>Table1[[#This Row],[Profit]]/Table1[[#This Row],[Sale]]</f>
        <v>0.62999969802625311</v>
      </c>
      <c r="J1765" s="5">
        <f t="shared" si="54"/>
        <v>2006</v>
      </c>
      <c r="K1765" s="5">
        <f>MONTH(Table1[[#This Row],[Date]])</f>
        <v>3</v>
      </c>
      <c r="L1765" s="5">
        <f>DAY(Table1[[#This Row],[Date]])</f>
        <v>1</v>
      </c>
      <c r="M1765" s="5" t="str">
        <f t="shared" si="55"/>
        <v>Mar</v>
      </c>
    </row>
    <row r="1766" spans="1:13" x14ac:dyDescent="0.25">
      <c r="A1766" s="2">
        <v>38798</v>
      </c>
      <c r="B1766" t="s">
        <v>17</v>
      </c>
      <c r="C1766" t="s">
        <v>27</v>
      </c>
      <c r="D1766" t="s">
        <v>13</v>
      </c>
      <c r="E1766" t="s">
        <v>24</v>
      </c>
      <c r="F1766" s="3">
        <v>4458.37</v>
      </c>
      <c r="G1766" s="3">
        <v>4768.3100000000004</v>
      </c>
      <c r="H1766" s="3">
        <f>Table1[[#This Row],[Sale]]-Table1[[#This Row],[Cost]]</f>
        <v>309.94000000000051</v>
      </c>
      <c r="I1766" s="4">
        <f>Table1[[#This Row],[Profit]]/Table1[[#This Row],[Sale]]</f>
        <v>6.4999968542313838E-2</v>
      </c>
      <c r="J1766" s="5">
        <f t="shared" si="54"/>
        <v>2006</v>
      </c>
      <c r="K1766" s="5">
        <f>MONTH(Table1[[#This Row],[Date]])</f>
        <v>3</v>
      </c>
      <c r="L1766" s="5">
        <f>DAY(Table1[[#This Row],[Date]])</f>
        <v>22</v>
      </c>
      <c r="M1766" s="5" t="str">
        <f t="shared" si="55"/>
        <v>Mar</v>
      </c>
    </row>
    <row r="1767" spans="1:13" x14ac:dyDescent="0.25">
      <c r="A1767" s="2">
        <v>38725</v>
      </c>
      <c r="B1767" t="s">
        <v>11</v>
      </c>
      <c r="C1767" t="s">
        <v>18</v>
      </c>
      <c r="D1767" t="s">
        <v>16</v>
      </c>
      <c r="E1767" t="s">
        <v>14</v>
      </c>
      <c r="F1767" s="3">
        <v>4349.1000000000004</v>
      </c>
      <c r="G1767" s="3">
        <v>4942.16</v>
      </c>
      <c r="H1767" s="3">
        <f>Table1[[#This Row],[Sale]]-Table1[[#This Row],[Cost]]</f>
        <v>593.05999999999949</v>
      </c>
      <c r="I1767" s="4">
        <f>Table1[[#This Row],[Profit]]/Table1[[#This Row],[Sale]]</f>
        <v>0.12000016187254146</v>
      </c>
      <c r="J1767" s="5">
        <f t="shared" si="54"/>
        <v>2006</v>
      </c>
      <c r="K1767" s="5">
        <f>MONTH(Table1[[#This Row],[Date]])</f>
        <v>1</v>
      </c>
      <c r="L1767" s="5">
        <f>DAY(Table1[[#This Row],[Date]])</f>
        <v>8</v>
      </c>
      <c r="M1767" s="5" t="str">
        <f t="shared" si="55"/>
        <v>Jan</v>
      </c>
    </row>
    <row r="1768" spans="1:13" x14ac:dyDescent="0.25">
      <c r="A1768" s="2">
        <v>38467</v>
      </c>
      <c r="B1768" t="s">
        <v>22</v>
      </c>
      <c r="C1768" t="s">
        <v>29</v>
      </c>
      <c r="D1768" t="s">
        <v>16</v>
      </c>
      <c r="E1768" t="s">
        <v>25</v>
      </c>
      <c r="F1768" s="3">
        <v>4662.3</v>
      </c>
      <c r="G1768" s="3">
        <v>6856.33</v>
      </c>
      <c r="H1768" s="3">
        <f>Table1[[#This Row],[Sale]]-Table1[[#This Row],[Cost]]</f>
        <v>2194.0299999999997</v>
      </c>
      <c r="I1768" s="4">
        <f>Table1[[#This Row],[Profit]]/Table1[[#This Row],[Sale]]</f>
        <v>0.3200006417427399</v>
      </c>
      <c r="J1768" s="5">
        <f t="shared" si="54"/>
        <v>2005</v>
      </c>
      <c r="K1768" s="5">
        <f>MONTH(Table1[[#This Row],[Date]])</f>
        <v>4</v>
      </c>
      <c r="L1768" s="5">
        <f>DAY(Table1[[#This Row],[Date]])</f>
        <v>25</v>
      </c>
      <c r="M1768" s="5" t="str">
        <f t="shared" si="55"/>
        <v>Apr</v>
      </c>
    </row>
    <row r="1769" spans="1:13" x14ac:dyDescent="0.25">
      <c r="A1769" s="2">
        <v>38818</v>
      </c>
      <c r="B1769" t="s">
        <v>15</v>
      </c>
      <c r="C1769" t="s">
        <v>18</v>
      </c>
      <c r="D1769" t="s">
        <v>16</v>
      </c>
      <c r="E1769" t="s">
        <v>20</v>
      </c>
      <c r="F1769" s="3">
        <v>3267.6</v>
      </c>
      <c r="G1769" s="3">
        <v>7599.08</v>
      </c>
      <c r="H1769" s="3">
        <f>Table1[[#This Row],[Sale]]-Table1[[#This Row],[Cost]]</f>
        <v>4331.4799999999996</v>
      </c>
      <c r="I1769" s="4">
        <f>Table1[[#This Row],[Profit]]/Table1[[#This Row],[Sale]]</f>
        <v>0.57000057901745993</v>
      </c>
      <c r="J1769" s="5">
        <f t="shared" si="54"/>
        <v>2006</v>
      </c>
      <c r="K1769" s="5">
        <f>MONTH(Table1[[#This Row],[Date]])</f>
        <v>4</v>
      </c>
      <c r="L1769" s="5">
        <f>DAY(Table1[[#This Row],[Date]])</f>
        <v>11</v>
      </c>
      <c r="M1769" s="5" t="str">
        <f t="shared" si="55"/>
        <v>Apr</v>
      </c>
    </row>
    <row r="1770" spans="1:13" x14ac:dyDescent="0.25">
      <c r="A1770" s="2">
        <v>38270</v>
      </c>
      <c r="B1770" t="s">
        <v>17</v>
      </c>
      <c r="C1770" t="s">
        <v>29</v>
      </c>
      <c r="D1770" t="s">
        <v>16</v>
      </c>
      <c r="E1770" t="s">
        <v>14</v>
      </c>
      <c r="F1770" s="3">
        <v>6162.92</v>
      </c>
      <c r="G1770" s="3">
        <v>8217.2199999999993</v>
      </c>
      <c r="H1770" s="3">
        <f>Table1[[#This Row],[Sale]]-Table1[[#This Row],[Cost]]</f>
        <v>2054.2999999999993</v>
      </c>
      <c r="I1770" s="4">
        <f>Table1[[#This Row],[Profit]]/Table1[[#This Row],[Sale]]</f>
        <v>0.24999939152170678</v>
      </c>
      <c r="J1770" s="5">
        <f t="shared" si="54"/>
        <v>2004</v>
      </c>
      <c r="K1770" s="5">
        <f>MONTH(Table1[[#This Row],[Date]])</f>
        <v>10</v>
      </c>
      <c r="L1770" s="5">
        <f>DAY(Table1[[#This Row],[Date]])</f>
        <v>10</v>
      </c>
      <c r="M1770" s="5" t="str">
        <f t="shared" si="55"/>
        <v>Oct</v>
      </c>
    </row>
    <row r="1771" spans="1:13" x14ac:dyDescent="0.25">
      <c r="A1771" s="2">
        <v>38478</v>
      </c>
      <c r="B1771" t="s">
        <v>11</v>
      </c>
      <c r="C1771" t="s">
        <v>12</v>
      </c>
      <c r="D1771" t="s">
        <v>28</v>
      </c>
      <c r="E1771" t="s">
        <v>14</v>
      </c>
      <c r="F1771" s="3">
        <v>3437.81</v>
      </c>
      <c r="G1771" s="3">
        <v>3676.8</v>
      </c>
      <c r="H1771" s="3">
        <f>Table1[[#This Row],[Sale]]-Table1[[#This Row],[Cost]]</f>
        <v>238.99000000000024</v>
      </c>
      <c r="I1771" s="4">
        <f>Table1[[#This Row],[Profit]]/Table1[[#This Row],[Sale]]</f>
        <v>6.4999456048738094E-2</v>
      </c>
      <c r="J1771" s="5">
        <f t="shared" si="54"/>
        <v>2005</v>
      </c>
      <c r="K1771" s="5">
        <f>MONTH(Table1[[#This Row],[Date]])</f>
        <v>5</v>
      </c>
      <c r="L1771" s="5">
        <f>DAY(Table1[[#This Row],[Date]])</f>
        <v>6</v>
      </c>
      <c r="M1771" s="5" t="str">
        <f t="shared" si="55"/>
        <v>May</v>
      </c>
    </row>
    <row r="1772" spans="1:13" x14ac:dyDescent="0.25">
      <c r="A1772" s="2">
        <v>38608</v>
      </c>
      <c r="B1772" t="s">
        <v>26</v>
      </c>
      <c r="C1772" t="s">
        <v>12</v>
      </c>
      <c r="D1772" t="s">
        <v>19</v>
      </c>
      <c r="E1772" t="s">
        <v>24</v>
      </c>
      <c r="F1772" s="3">
        <v>2244.35</v>
      </c>
      <c r="G1772" s="3">
        <v>2400.37</v>
      </c>
      <c r="H1772" s="3">
        <f>Table1[[#This Row],[Sale]]-Table1[[#This Row],[Cost]]</f>
        <v>156.01999999999998</v>
      </c>
      <c r="I1772" s="4">
        <f>Table1[[#This Row],[Profit]]/Table1[[#This Row],[Sale]]</f>
        <v>6.4998312760116139E-2</v>
      </c>
      <c r="J1772" s="5">
        <f t="shared" si="54"/>
        <v>2005</v>
      </c>
      <c r="K1772" s="5">
        <f>MONTH(Table1[[#This Row],[Date]])</f>
        <v>9</v>
      </c>
      <c r="L1772" s="5">
        <f>DAY(Table1[[#This Row],[Date]])</f>
        <v>13</v>
      </c>
      <c r="M1772" s="5" t="str">
        <f t="shared" si="55"/>
        <v>Sep</v>
      </c>
    </row>
    <row r="1773" spans="1:13" x14ac:dyDescent="0.25">
      <c r="A1773" s="2">
        <v>38812</v>
      </c>
      <c r="B1773" t="s">
        <v>15</v>
      </c>
      <c r="C1773" t="s">
        <v>29</v>
      </c>
      <c r="D1773" t="s">
        <v>19</v>
      </c>
      <c r="E1773" t="s">
        <v>25</v>
      </c>
      <c r="F1773" s="3">
        <v>714.63</v>
      </c>
      <c r="G1773" s="3">
        <v>1588.07</v>
      </c>
      <c r="H1773" s="3">
        <f>Table1[[#This Row],[Sale]]-Table1[[#This Row],[Cost]]</f>
        <v>873.43999999999994</v>
      </c>
      <c r="I1773" s="4">
        <f>Table1[[#This Row],[Profit]]/Table1[[#This Row],[Sale]]</f>
        <v>0.55000094454274684</v>
      </c>
      <c r="J1773" s="5">
        <f t="shared" si="54"/>
        <v>2006</v>
      </c>
      <c r="K1773" s="5">
        <f>MONTH(Table1[[#This Row],[Date]])</f>
        <v>4</v>
      </c>
      <c r="L1773" s="5">
        <f>DAY(Table1[[#This Row],[Date]])</f>
        <v>5</v>
      </c>
      <c r="M1773" s="5" t="str">
        <f t="shared" si="55"/>
        <v>Apr</v>
      </c>
    </row>
    <row r="1774" spans="1:13" x14ac:dyDescent="0.25">
      <c r="A1774" s="2">
        <v>38473</v>
      </c>
      <c r="B1774" t="s">
        <v>21</v>
      </c>
      <c r="C1774" t="s">
        <v>23</v>
      </c>
      <c r="D1774" t="s">
        <v>19</v>
      </c>
      <c r="E1774" t="s">
        <v>14</v>
      </c>
      <c r="F1774" s="3">
        <v>3877.48</v>
      </c>
      <c r="G1774" s="3">
        <v>7049.96</v>
      </c>
      <c r="H1774" s="3">
        <f>Table1[[#This Row],[Sale]]-Table1[[#This Row],[Cost]]</f>
        <v>3172.48</v>
      </c>
      <c r="I1774" s="4">
        <f>Table1[[#This Row],[Profit]]/Table1[[#This Row],[Sale]]</f>
        <v>0.44999971631044716</v>
      </c>
      <c r="J1774" s="5">
        <f t="shared" si="54"/>
        <v>2005</v>
      </c>
      <c r="K1774" s="5">
        <f>MONTH(Table1[[#This Row],[Date]])</f>
        <v>5</v>
      </c>
      <c r="L1774" s="5">
        <f>DAY(Table1[[#This Row],[Date]])</f>
        <v>1</v>
      </c>
      <c r="M1774" s="5" t="str">
        <f t="shared" si="55"/>
        <v>May</v>
      </c>
    </row>
    <row r="1775" spans="1:13" x14ac:dyDescent="0.25">
      <c r="A1775" s="2">
        <v>38436</v>
      </c>
      <c r="B1775" t="s">
        <v>17</v>
      </c>
      <c r="C1775" t="s">
        <v>29</v>
      </c>
      <c r="D1775" t="s">
        <v>19</v>
      </c>
      <c r="E1775" t="s">
        <v>25</v>
      </c>
      <c r="F1775" s="3">
        <v>1755.82</v>
      </c>
      <c r="G1775" s="3">
        <v>3027.28</v>
      </c>
      <c r="H1775" s="3">
        <f>Table1[[#This Row],[Sale]]-Table1[[#This Row],[Cost]]</f>
        <v>1271.4600000000003</v>
      </c>
      <c r="I1775" s="4">
        <f>Table1[[#This Row],[Profit]]/Table1[[#This Row],[Sale]]</f>
        <v>0.42000079279088826</v>
      </c>
      <c r="J1775" s="5">
        <f t="shared" si="54"/>
        <v>2005</v>
      </c>
      <c r="K1775" s="5">
        <f>MONTH(Table1[[#This Row],[Date]])</f>
        <v>3</v>
      </c>
      <c r="L1775" s="5">
        <f>DAY(Table1[[#This Row],[Date]])</f>
        <v>25</v>
      </c>
      <c r="M1775" s="5" t="str">
        <f t="shared" si="55"/>
        <v>Mar</v>
      </c>
    </row>
    <row r="1776" spans="1:13" x14ac:dyDescent="0.25">
      <c r="A1776" s="2">
        <v>38878</v>
      </c>
      <c r="B1776" t="s">
        <v>17</v>
      </c>
      <c r="C1776" t="s">
        <v>27</v>
      </c>
      <c r="D1776" t="s">
        <v>16</v>
      </c>
      <c r="E1776" t="s">
        <v>24</v>
      </c>
      <c r="F1776" s="3">
        <v>209.3</v>
      </c>
      <c r="G1776" s="3">
        <v>360.87</v>
      </c>
      <c r="H1776" s="3">
        <f>Table1[[#This Row],[Sale]]-Table1[[#This Row],[Cost]]</f>
        <v>151.57</v>
      </c>
      <c r="I1776" s="4">
        <f>Table1[[#This Row],[Profit]]/Table1[[#This Row],[Sale]]</f>
        <v>0.420012746972594</v>
      </c>
      <c r="J1776" s="5">
        <f t="shared" si="54"/>
        <v>2006</v>
      </c>
      <c r="K1776" s="5">
        <f>MONTH(Table1[[#This Row],[Date]])</f>
        <v>6</v>
      </c>
      <c r="L1776" s="5">
        <f>DAY(Table1[[#This Row],[Date]])</f>
        <v>10</v>
      </c>
      <c r="M1776" s="5" t="str">
        <f t="shared" si="55"/>
        <v>Jun</v>
      </c>
    </row>
    <row r="1777" spans="1:13" x14ac:dyDescent="0.25">
      <c r="A1777" s="2">
        <v>38490</v>
      </c>
      <c r="B1777" t="s">
        <v>22</v>
      </c>
      <c r="C1777" t="s">
        <v>18</v>
      </c>
      <c r="D1777" t="s">
        <v>19</v>
      </c>
      <c r="E1777" t="s">
        <v>24</v>
      </c>
      <c r="F1777" s="3">
        <v>567.88</v>
      </c>
      <c r="G1777" s="3">
        <v>607.36</v>
      </c>
      <c r="H1777" s="3">
        <f>Table1[[#This Row],[Sale]]-Table1[[#This Row],[Cost]]</f>
        <v>39.480000000000018</v>
      </c>
      <c r="I1777" s="4">
        <f>Table1[[#This Row],[Profit]]/Table1[[#This Row],[Sale]]</f>
        <v>6.5002634351949445E-2</v>
      </c>
      <c r="J1777" s="5">
        <f t="shared" si="54"/>
        <v>2005</v>
      </c>
      <c r="K1777" s="5">
        <f>MONTH(Table1[[#This Row],[Date]])</f>
        <v>5</v>
      </c>
      <c r="L1777" s="5">
        <f>DAY(Table1[[#This Row],[Date]])</f>
        <v>18</v>
      </c>
      <c r="M1777" s="5" t="str">
        <f t="shared" si="55"/>
        <v>May</v>
      </c>
    </row>
    <row r="1778" spans="1:13" x14ac:dyDescent="0.25">
      <c r="A1778" s="2">
        <v>38273</v>
      </c>
      <c r="B1778" t="s">
        <v>15</v>
      </c>
      <c r="C1778" t="s">
        <v>23</v>
      </c>
      <c r="D1778" t="s">
        <v>19</v>
      </c>
      <c r="E1778" t="s">
        <v>24</v>
      </c>
      <c r="F1778" s="3">
        <v>1108.81</v>
      </c>
      <c r="G1778" s="3">
        <v>1185.8900000000001</v>
      </c>
      <c r="H1778" s="3">
        <f>Table1[[#This Row],[Sale]]-Table1[[#This Row],[Cost]]</f>
        <v>77.080000000000155</v>
      </c>
      <c r="I1778" s="4">
        <f>Table1[[#This Row],[Profit]]/Table1[[#This Row],[Sale]]</f>
        <v>6.4997596741687799E-2</v>
      </c>
      <c r="J1778" s="5">
        <f t="shared" si="54"/>
        <v>2004</v>
      </c>
      <c r="K1778" s="5">
        <f>MONTH(Table1[[#This Row],[Date]])</f>
        <v>10</v>
      </c>
      <c r="L1778" s="5">
        <f>DAY(Table1[[#This Row],[Date]])</f>
        <v>13</v>
      </c>
      <c r="M1778" s="5" t="str">
        <f t="shared" si="55"/>
        <v>Oct</v>
      </c>
    </row>
    <row r="1779" spans="1:13" x14ac:dyDescent="0.25">
      <c r="A1779" s="2">
        <v>38177</v>
      </c>
      <c r="B1779" t="s">
        <v>21</v>
      </c>
      <c r="C1779" t="s">
        <v>23</v>
      </c>
      <c r="D1779" t="s">
        <v>13</v>
      </c>
      <c r="E1779" t="s">
        <v>25</v>
      </c>
      <c r="F1779" s="3">
        <v>5626.65</v>
      </c>
      <c r="G1779" s="3">
        <v>7502.2</v>
      </c>
      <c r="H1779" s="3">
        <f>Table1[[#This Row],[Sale]]-Table1[[#This Row],[Cost]]</f>
        <v>1875.5500000000002</v>
      </c>
      <c r="I1779" s="4">
        <f>Table1[[#This Row],[Profit]]/Table1[[#This Row],[Sale]]</f>
        <v>0.25000000000000006</v>
      </c>
      <c r="J1779" s="5">
        <f t="shared" si="54"/>
        <v>2004</v>
      </c>
      <c r="K1779" s="5">
        <f>MONTH(Table1[[#This Row],[Date]])</f>
        <v>7</v>
      </c>
      <c r="L1779" s="5">
        <f>DAY(Table1[[#This Row],[Date]])</f>
        <v>9</v>
      </c>
      <c r="M1779" s="5" t="str">
        <f t="shared" si="55"/>
        <v>Jul</v>
      </c>
    </row>
    <row r="1780" spans="1:13" x14ac:dyDescent="0.25">
      <c r="A1780" s="2">
        <v>38588</v>
      </c>
      <c r="B1780" t="s">
        <v>21</v>
      </c>
      <c r="C1780" t="s">
        <v>27</v>
      </c>
      <c r="D1780" t="s">
        <v>13</v>
      </c>
      <c r="E1780" t="s">
        <v>20</v>
      </c>
      <c r="F1780" s="3">
        <v>531.65</v>
      </c>
      <c r="G1780" s="3">
        <v>916.64</v>
      </c>
      <c r="H1780" s="3">
        <f>Table1[[#This Row],[Sale]]-Table1[[#This Row],[Cost]]</f>
        <v>384.99</v>
      </c>
      <c r="I1780" s="4">
        <f>Table1[[#This Row],[Profit]]/Table1[[#This Row],[Sale]]</f>
        <v>0.42000130912899286</v>
      </c>
      <c r="J1780" s="5">
        <f t="shared" si="54"/>
        <v>2005</v>
      </c>
      <c r="K1780" s="5">
        <f>MONTH(Table1[[#This Row],[Date]])</f>
        <v>8</v>
      </c>
      <c r="L1780" s="5">
        <f>DAY(Table1[[#This Row],[Date]])</f>
        <v>24</v>
      </c>
      <c r="M1780" s="5" t="str">
        <f t="shared" si="55"/>
        <v>Aug</v>
      </c>
    </row>
    <row r="1781" spans="1:13" x14ac:dyDescent="0.25">
      <c r="A1781" s="2">
        <v>38875</v>
      </c>
      <c r="B1781" t="s">
        <v>11</v>
      </c>
      <c r="C1781" t="s">
        <v>29</v>
      </c>
      <c r="D1781" t="s">
        <v>19</v>
      </c>
      <c r="E1781" t="s">
        <v>14</v>
      </c>
      <c r="F1781" s="3">
        <v>3401.72</v>
      </c>
      <c r="G1781" s="3">
        <v>9193.84</v>
      </c>
      <c r="H1781" s="3">
        <f>Table1[[#This Row],[Sale]]-Table1[[#This Row],[Cost]]</f>
        <v>5792.1200000000008</v>
      </c>
      <c r="I1781" s="4">
        <f>Table1[[#This Row],[Profit]]/Table1[[#This Row],[Sale]]</f>
        <v>0.63000008701478394</v>
      </c>
      <c r="J1781" s="5">
        <f t="shared" si="54"/>
        <v>2006</v>
      </c>
      <c r="K1781" s="5">
        <f>MONTH(Table1[[#This Row],[Date]])</f>
        <v>6</v>
      </c>
      <c r="L1781" s="5">
        <f>DAY(Table1[[#This Row],[Date]])</f>
        <v>7</v>
      </c>
      <c r="M1781" s="5" t="str">
        <f t="shared" si="55"/>
        <v>Jun</v>
      </c>
    </row>
    <row r="1782" spans="1:13" x14ac:dyDescent="0.25">
      <c r="A1782" s="2">
        <v>38295</v>
      </c>
      <c r="B1782" t="s">
        <v>22</v>
      </c>
      <c r="C1782" t="s">
        <v>23</v>
      </c>
      <c r="D1782" t="s">
        <v>13</v>
      </c>
      <c r="E1782" t="s">
        <v>24</v>
      </c>
      <c r="F1782" s="3">
        <v>5753.49</v>
      </c>
      <c r="G1782" s="3">
        <v>9919.81</v>
      </c>
      <c r="H1782" s="3">
        <f>Table1[[#This Row],[Sale]]-Table1[[#This Row],[Cost]]</f>
        <v>4166.32</v>
      </c>
      <c r="I1782" s="4">
        <f>Table1[[#This Row],[Profit]]/Table1[[#This Row],[Sale]]</f>
        <v>0.41999997983832349</v>
      </c>
      <c r="J1782" s="5">
        <f t="shared" si="54"/>
        <v>2004</v>
      </c>
      <c r="K1782" s="5">
        <f>MONTH(Table1[[#This Row],[Date]])</f>
        <v>11</v>
      </c>
      <c r="L1782" s="5">
        <f>DAY(Table1[[#This Row],[Date]])</f>
        <v>4</v>
      </c>
      <c r="M1782" s="5" t="str">
        <f t="shared" si="55"/>
        <v>Nov</v>
      </c>
    </row>
    <row r="1783" spans="1:13" x14ac:dyDescent="0.25">
      <c r="A1783" s="2">
        <v>38521</v>
      </c>
      <c r="B1783" t="s">
        <v>17</v>
      </c>
      <c r="C1783" t="s">
        <v>12</v>
      </c>
      <c r="D1783" t="s">
        <v>16</v>
      </c>
      <c r="E1783" t="s">
        <v>14</v>
      </c>
      <c r="F1783" s="3">
        <v>1911.54</v>
      </c>
      <c r="G1783" s="3">
        <v>2811.09</v>
      </c>
      <c r="H1783" s="3">
        <f>Table1[[#This Row],[Sale]]-Table1[[#This Row],[Cost]]</f>
        <v>899.55000000000018</v>
      </c>
      <c r="I1783" s="4">
        <f>Table1[[#This Row],[Profit]]/Table1[[#This Row],[Sale]]</f>
        <v>0.3200004268806762</v>
      </c>
      <c r="J1783" s="5">
        <f t="shared" si="54"/>
        <v>2005</v>
      </c>
      <c r="K1783" s="5">
        <f>MONTH(Table1[[#This Row],[Date]])</f>
        <v>6</v>
      </c>
      <c r="L1783" s="5">
        <f>DAY(Table1[[#This Row],[Date]])</f>
        <v>18</v>
      </c>
      <c r="M1783" s="5" t="str">
        <f t="shared" si="55"/>
        <v>Jun</v>
      </c>
    </row>
    <row r="1784" spans="1:13" x14ac:dyDescent="0.25">
      <c r="A1784" s="2">
        <v>38417</v>
      </c>
      <c r="B1784" t="s">
        <v>26</v>
      </c>
      <c r="C1784" t="s">
        <v>23</v>
      </c>
      <c r="D1784" t="s">
        <v>13</v>
      </c>
      <c r="E1784" t="s">
        <v>25</v>
      </c>
      <c r="F1784" s="3">
        <v>2567.09</v>
      </c>
      <c r="G1784" s="3">
        <v>5704.65</v>
      </c>
      <c r="H1784" s="3">
        <f>Table1[[#This Row],[Sale]]-Table1[[#This Row],[Cost]]</f>
        <v>3137.5599999999995</v>
      </c>
      <c r="I1784" s="4">
        <f>Table1[[#This Row],[Profit]]/Table1[[#This Row],[Sale]]</f>
        <v>0.55000043823898037</v>
      </c>
      <c r="J1784" s="5">
        <f t="shared" si="54"/>
        <v>2005</v>
      </c>
      <c r="K1784" s="5">
        <f>MONTH(Table1[[#This Row],[Date]])</f>
        <v>3</v>
      </c>
      <c r="L1784" s="5">
        <f>DAY(Table1[[#This Row],[Date]])</f>
        <v>6</v>
      </c>
      <c r="M1784" s="5" t="str">
        <f t="shared" si="55"/>
        <v>Mar</v>
      </c>
    </row>
    <row r="1785" spans="1:13" x14ac:dyDescent="0.25">
      <c r="A1785" s="2">
        <v>38332</v>
      </c>
      <c r="B1785" t="s">
        <v>15</v>
      </c>
      <c r="C1785" t="s">
        <v>23</v>
      </c>
      <c r="D1785" t="s">
        <v>19</v>
      </c>
      <c r="E1785" t="s">
        <v>14</v>
      </c>
      <c r="F1785" s="3">
        <v>4424.62</v>
      </c>
      <c r="G1785" s="3">
        <v>4732.21</v>
      </c>
      <c r="H1785" s="3">
        <f>Table1[[#This Row],[Sale]]-Table1[[#This Row],[Cost]]</f>
        <v>307.59000000000015</v>
      </c>
      <c r="I1785" s="4">
        <f>Table1[[#This Row],[Profit]]/Table1[[#This Row],[Sale]]</f>
        <v>6.4999228690189176E-2</v>
      </c>
      <c r="J1785" s="5">
        <f t="shared" si="54"/>
        <v>2004</v>
      </c>
      <c r="K1785" s="5">
        <f>MONTH(Table1[[#This Row],[Date]])</f>
        <v>12</v>
      </c>
      <c r="L1785" s="5">
        <f>DAY(Table1[[#This Row],[Date]])</f>
        <v>11</v>
      </c>
      <c r="M1785" s="5" t="str">
        <f t="shared" si="55"/>
        <v>Dec</v>
      </c>
    </row>
    <row r="1786" spans="1:13" x14ac:dyDescent="0.25">
      <c r="A1786" s="2">
        <v>38445</v>
      </c>
      <c r="B1786" t="s">
        <v>17</v>
      </c>
      <c r="C1786" t="s">
        <v>23</v>
      </c>
      <c r="D1786" t="s">
        <v>19</v>
      </c>
      <c r="E1786" t="s">
        <v>25</v>
      </c>
      <c r="F1786" s="3">
        <v>7959.19</v>
      </c>
      <c r="G1786" s="3">
        <v>9044.5300000000007</v>
      </c>
      <c r="H1786" s="3">
        <f>Table1[[#This Row],[Sale]]-Table1[[#This Row],[Cost]]</f>
        <v>1085.3400000000011</v>
      </c>
      <c r="I1786" s="4">
        <f>Table1[[#This Row],[Profit]]/Table1[[#This Row],[Sale]]</f>
        <v>0.11999960196936722</v>
      </c>
      <c r="J1786" s="5">
        <f t="shared" si="54"/>
        <v>2005</v>
      </c>
      <c r="K1786" s="5">
        <f>MONTH(Table1[[#This Row],[Date]])</f>
        <v>4</v>
      </c>
      <c r="L1786" s="5">
        <f>DAY(Table1[[#This Row],[Date]])</f>
        <v>3</v>
      </c>
      <c r="M1786" s="5" t="str">
        <f t="shared" si="55"/>
        <v>Apr</v>
      </c>
    </row>
    <row r="1787" spans="1:13" x14ac:dyDescent="0.25">
      <c r="A1787" s="2">
        <v>38540</v>
      </c>
      <c r="B1787" t="s">
        <v>11</v>
      </c>
      <c r="C1787" t="s">
        <v>27</v>
      </c>
      <c r="D1787" t="s">
        <v>16</v>
      </c>
      <c r="E1787" t="s">
        <v>14</v>
      </c>
      <c r="F1787" s="3">
        <v>1964.04</v>
      </c>
      <c r="G1787" s="3">
        <v>5308.21</v>
      </c>
      <c r="H1787" s="3">
        <f>Table1[[#This Row],[Sale]]-Table1[[#This Row],[Cost]]</f>
        <v>3344.17</v>
      </c>
      <c r="I1787" s="4">
        <f>Table1[[#This Row],[Profit]]/Table1[[#This Row],[Sale]]</f>
        <v>0.6299995667089282</v>
      </c>
      <c r="J1787" s="5">
        <f t="shared" si="54"/>
        <v>2005</v>
      </c>
      <c r="K1787" s="5">
        <f>MONTH(Table1[[#This Row],[Date]])</f>
        <v>7</v>
      </c>
      <c r="L1787" s="5">
        <f>DAY(Table1[[#This Row],[Date]])</f>
        <v>7</v>
      </c>
      <c r="M1787" s="5" t="str">
        <f t="shared" si="55"/>
        <v>Jul</v>
      </c>
    </row>
    <row r="1788" spans="1:13" x14ac:dyDescent="0.25">
      <c r="A1788" s="2">
        <v>38531</v>
      </c>
      <c r="B1788" t="s">
        <v>21</v>
      </c>
      <c r="C1788" t="s">
        <v>23</v>
      </c>
      <c r="D1788" t="s">
        <v>28</v>
      </c>
      <c r="E1788" t="s">
        <v>24</v>
      </c>
      <c r="F1788" s="3">
        <v>3354.58</v>
      </c>
      <c r="G1788" s="3">
        <v>3812.02</v>
      </c>
      <c r="H1788" s="3">
        <f>Table1[[#This Row],[Sale]]-Table1[[#This Row],[Cost]]</f>
        <v>457.44000000000005</v>
      </c>
      <c r="I1788" s="4">
        <f>Table1[[#This Row],[Profit]]/Table1[[#This Row],[Sale]]</f>
        <v>0.11999937041253721</v>
      </c>
      <c r="J1788" s="5">
        <f t="shared" si="54"/>
        <v>2005</v>
      </c>
      <c r="K1788" s="5">
        <f>MONTH(Table1[[#This Row],[Date]])</f>
        <v>6</v>
      </c>
      <c r="L1788" s="5">
        <f>DAY(Table1[[#This Row],[Date]])</f>
        <v>28</v>
      </c>
      <c r="M1788" s="5" t="str">
        <f t="shared" si="55"/>
        <v>Jun</v>
      </c>
    </row>
    <row r="1789" spans="1:13" x14ac:dyDescent="0.25">
      <c r="A1789" s="2">
        <v>38433</v>
      </c>
      <c r="B1789" t="s">
        <v>15</v>
      </c>
      <c r="C1789" t="s">
        <v>29</v>
      </c>
      <c r="D1789" t="s">
        <v>16</v>
      </c>
      <c r="E1789" t="s">
        <v>20</v>
      </c>
      <c r="F1789" s="3">
        <v>1371.71</v>
      </c>
      <c r="G1789" s="3">
        <v>2324.9299999999998</v>
      </c>
      <c r="H1789" s="3">
        <f>Table1[[#This Row],[Sale]]-Table1[[#This Row],[Cost]]</f>
        <v>953.2199999999998</v>
      </c>
      <c r="I1789" s="4">
        <f>Table1[[#This Row],[Profit]]/Table1[[#This Row],[Sale]]</f>
        <v>0.40999944084338019</v>
      </c>
      <c r="J1789" s="5">
        <f t="shared" si="54"/>
        <v>2005</v>
      </c>
      <c r="K1789" s="5">
        <f>MONTH(Table1[[#This Row],[Date]])</f>
        <v>3</v>
      </c>
      <c r="L1789" s="5">
        <f>DAY(Table1[[#This Row],[Date]])</f>
        <v>22</v>
      </c>
      <c r="M1789" s="5" t="str">
        <f t="shared" si="55"/>
        <v>Mar</v>
      </c>
    </row>
    <row r="1790" spans="1:13" x14ac:dyDescent="0.25">
      <c r="A1790" s="2">
        <v>38824</v>
      </c>
      <c r="B1790" t="s">
        <v>11</v>
      </c>
      <c r="C1790" t="s">
        <v>29</v>
      </c>
      <c r="D1790" t="s">
        <v>13</v>
      </c>
      <c r="E1790" t="s">
        <v>24</v>
      </c>
      <c r="F1790" s="3">
        <v>3781.32</v>
      </c>
      <c r="G1790" s="3">
        <v>8402.93</v>
      </c>
      <c r="H1790" s="3">
        <f>Table1[[#This Row],[Sale]]-Table1[[#This Row],[Cost]]</f>
        <v>4621.6100000000006</v>
      </c>
      <c r="I1790" s="4">
        <f>Table1[[#This Row],[Profit]]/Table1[[#This Row],[Sale]]</f>
        <v>0.54999982149083715</v>
      </c>
      <c r="J1790" s="5">
        <f t="shared" si="54"/>
        <v>2006</v>
      </c>
      <c r="K1790" s="5">
        <f>MONTH(Table1[[#This Row],[Date]])</f>
        <v>4</v>
      </c>
      <c r="L1790" s="5">
        <f>DAY(Table1[[#This Row],[Date]])</f>
        <v>17</v>
      </c>
      <c r="M1790" s="5" t="str">
        <f t="shared" si="55"/>
        <v>Apr</v>
      </c>
    </row>
    <row r="1791" spans="1:13" x14ac:dyDescent="0.25">
      <c r="A1791" s="2">
        <v>38460</v>
      </c>
      <c r="B1791" t="s">
        <v>15</v>
      </c>
      <c r="C1791" t="s">
        <v>12</v>
      </c>
      <c r="D1791" t="s">
        <v>13</v>
      </c>
      <c r="E1791" t="s">
        <v>20</v>
      </c>
      <c r="F1791" s="3">
        <v>45.01</v>
      </c>
      <c r="G1791" s="3">
        <v>81.83</v>
      </c>
      <c r="H1791" s="3">
        <f>Table1[[#This Row],[Sale]]-Table1[[#This Row],[Cost]]</f>
        <v>36.82</v>
      </c>
      <c r="I1791" s="4">
        <f>Table1[[#This Row],[Profit]]/Table1[[#This Row],[Sale]]</f>
        <v>0.44995722840034219</v>
      </c>
      <c r="J1791" s="5">
        <f t="shared" si="54"/>
        <v>2005</v>
      </c>
      <c r="K1791" s="5">
        <f>MONTH(Table1[[#This Row],[Date]])</f>
        <v>4</v>
      </c>
      <c r="L1791" s="5">
        <f>DAY(Table1[[#This Row],[Date]])</f>
        <v>18</v>
      </c>
      <c r="M1791" s="5" t="str">
        <f t="shared" si="55"/>
        <v>Apr</v>
      </c>
    </row>
    <row r="1792" spans="1:13" x14ac:dyDescent="0.25">
      <c r="A1792" s="2">
        <v>38800</v>
      </c>
      <c r="B1792" t="s">
        <v>11</v>
      </c>
      <c r="C1792" t="s">
        <v>18</v>
      </c>
      <c r="D1792" t="s">
        <v>13</v>
      </c>
      <c r="E1792" t="s">
        <v>20</v>
      </c>
      <c r="F1792" s="3">
        <v>5628.87</v>
      </c>
      <c r="G1792" s="3">
        <v>8277.75</v>
      </c>
      <c r="H1792" s="3">
        <f>Table1[[#This Row],[Sale]]-Table1[[#This Row],[Cost]]</f>
        <v>2648.88</v>
      </c>
      <c r="I1792" s="4">
        <f>Table1[[#This Row],[Profit]]/Table1[[#This Row],[Sale]]</f>
        <v>0.32</v>
      </c>
      <c r="J1792" s="5">
        <f t="shared" si="54"/>
        <v>2006</v>
      </c>
      <c r="K1792" s="5">
        <f>MONTH(Table1[[#This Row],[Date]])</f>
        <v>3</v>
      </c>
      <c r="L1792" s="5">
        <f>DAY(Table1[[#This Row],[Date]])</f>
        <v>24</v>
      </c>
      <c r="M1792" s="5" t="str">
        <f t="shared" si="55"/>
        <v>Mar</v>
      </c>
    </row>
    <row r="1793" spans="1:13" x14ac:dyDescent="0.25">
      <c r="A1793" s="2">
        <v>38517</v>
      </c>
      <c r="B1793" t="s">
        <v>21</v>
      </c>
      <c r="C1793" t="s">
        <v>27</v>
      </c>
      <c r="D1793" t="s">
        <v>28</v>
      </c>
      <c r="E1793" t="s">
        <v>24</v>
      </c>
      <c r="F1793" s="3">
        <v>1378.24</v>
      </c>
      <c r="G1793" s="3">
        <v>3205.22</v>
      </c>
      <c r="H1793" s="3">
        <f>Table1[[#This Row],[Sale]]-Table1[[#This Row],[Cost]]</f>
        <v>1826.9799999999998</v>
      </c>
      <c r="I1793" s="4">
        <f>Table1[[#This Row],[Profit]]/Table1[[#This Row],[Sale]]</f>
        <v>0.57000143515889701</v>
      </c>
      <c r="J1793" s="5">
        <f t="shared" si="54"/>
        <v>2005</v>
      </c>
      <c r="K1793" s="5">
        <f>MONTH(Table1[[#This Row],[Date]])</f>
        <v>6</v>
      </c>
      <c r="L1793" s="5">
        <f>DAY(Table1[[#This Row],[Date]])</f>
        <v>14</v>
      </c>
      <c r="M1793" s="5" t="str">
        <f t="shared" si="55"/>
        <v>Jun</v>
      </c>
    </row>
    <row r="1794" spans="1:13" x14ac:dyDescent="0.25">
      <c r="A1794" s="2">
        <v>38400</v>
      </c>
      <c r="B1794" t="s">
        <v>21</v>
      </c>
      <c r="C1794" t="s">
        <v>12</v>
      </c>
      <c r="D1794" t="s">
        <v>13</v>
      </c>
      <c r="E1794" t="s">
        <v>20</v>
      </c>
      <c r="F1794" s="3">
        <v>2036.94</v>
      </c>
      <c r="G1794" s="3">
        <v>3703.52</v>
      </c>
      <c r="H1794" s="3">
        <f>Table1[[#This Row],[Sale]]-Table1[[#This Row],[Cost]]</f>
        <v>1666.58</v>
      </c>
      <c r="I1794" s="4">
        <f>Table1[[#This Row],[Profit]]/Table1[[#This Row],[Sale]]</f>
        <v>0.44999891994642932</v>
      </c>
      <c r="J1794" s="5">
        <f t="shared" ref="J1794:J1857" si="56">YEAR(A:A)</f>
        <v>2005</v>
      </c>
      <c r="K1794" s="5">
        <f>MONTH(Table1[[#This Row],[Date]])</f>
        <v>2</v>
      </c>
      <c r="L1794" s="5">
        <f>DAY(Table1[[#This Row],[Date]])</f>
        <v>17</v>
      </c>
      <c r="M1794" s="5" t="str">
        <f t="shared" ref="M1794:M1857" si="57">CHOOSE(K1794,"Jan", "Feb", "Mar", "Apr", "May", "Jun", "Jul", "Aug", "Sep", "Oct", "Nov", "Dec")</f>
        <v>Feb</v>
      </c>
    </row>
    <row r="1795" spans="1:13" x14ac:dyDescent="0.25">
      <c r="A1795" s="2">
        <v>38290</v>
      </c>
      <c r="B1795" t="s">
        <v>17</v>
      </c>
      <c r="C1795" t="s">
        <v>12</v>
      </c>
      <c r="D1795" t="s">
        <v>13</v>
      </c>
      <c r="E1795" t="s">
        <v>14</v>
      </c>
      <c r="F1795" s="3">
        <v>4304</v>
      </c>
      <c r="G1795" s="3">
        <v>7825.46</v>
      </c>
      <c r="H1795" s="3">
        <f>Table1[[#This Row],[Sale]]-Table1[[#This Row],[Cost]]</f>
        <v>3521.46</v>
      </c>
      <c r="I1795" s="4">
        <f>Table1[[#This Row],[Profit]]/Table1[[#This Row],[Sale]]</f>
        <v>0.45000038336404508</v>
      </c>
      <c r="J1795" s="5">
        <f t="shared" si="56"/>
        <v>2004</v>
      </c>
      <c r="K1795" s="5">
        <f>MONTH(Table1[[#This Row],[Date]])</f>
        <v>10</v>
      </c>
      <c r="L1795" s="5">
        <f>DAY(Table1[[#This Row],[Date]])</f>
        <v>30</v>
      </c>
      <c r="M1795" s="5" t="str">
        <f t="shared" si="57"/>
        <v>Oct</v>
      </c>
    </row>
    <row r="1796" spans="1:13" x14ac:dyDescent="0.25">
      <c r="A1796" s="2">
        <v>38840</v>
      </c>
      <c r="B1796" t="s">
        <v>15</v>
      </c>
      <c r="C1796" t="s">
        <v>27</v>
      </c>
      <c r="D1796" t="s">
        <v>16</v>
      </c>
      <c r="E1796" t="s">
        <v>20</v>
      </c>
      <c r="F1796" s="3">
        <v>3904.16</v>
      </c>
      <c r="G1796" s="3">
        <v>5205.54</v>
      </c>
      <c r="H1796" s="3">
        <f>Table1[[#This Row],[Sale]]-Table1[[#This Row],[Cost]]</f>
        <v>1301.3800000000001</v>
      </c>
      <c r="I1796" s="4">
        <f>Table1[[#This Row],[Profit]]/Table1[[#This Row],[Sale]]</f>
        <v>0.24999903948485655</v>
      </c>
      <c r="J1796" s="5">
        <f t="shared" si="56"/>
        <v>2006</v>
      </c>
      <c r="K1796" s="5">
        <f>MONTH(Table1[[#This Row],[Date]])</f>
        <v>5</v>
      </c>
      <c r="L1796" s="5">
        <f>DAY(Table1[[#This Row],[Date]])</f>
        <v>3</v>
      </c>
      <c r="M1796" s="5" t="str">
        <f t="shared" si="57"/>
        <v>May</v>
      </c>
    </row>
    <row r="1797" spans="1:13" x14ac:dyDescent="0.25">
      <c r="A1797" s="2">
        <v>38674</v>
      </c>
      <c r="B1797" t="s">
        <v>26</v>
      </c>
      <c r="C1797" t="s">
        <v>29</v>
      </c>
      <c r="D1797" t="s">
        <v>16</v>
      </c>
      <c r="E1797" t="s">
        <v>25</v>
      </c>
      <c r="F1797" s="3">
        <v>1059.28</v>
      </c>
      <c r="G1797" s="3">
        <v>1557.77</v>
      </c>
      <c r="H1797" s="3">
        <f>Table1[[#This Row],[Sale]]-Table1[[#This Row],[Cost]]</f>
        <v>498.49</v>
      </c>
      <c r="I1797" s="4">
        <f>Table1[[#This Row],[Profit]]/Table1[[#This Row],[Sale]]</f>
        <v>0.32000231099584664</v>
      </c>
      <c r="J1797" s="5">
        <f t="shared" si="56"/>
        <v>2005</v>
      </c>
      <c r="K1797" s="5">
        <f>MONTH(Table1[[#This Row],[Date]])</f>
        <v>11</v>
      </c>
      <c r="L1797" s="5">
        <f>DAY(Table1[[#This Row],[Date]])</f>
        <v>18</v>
      </c>
      <c r="M1797" s="5" t="str">
        <f t="shared" si="57"/>
        <v>Nov</v>
      </c>
    </row>
    <row r="1798" spans="1:13" x14ac:dyDescent="0.25">
      <c r="A1798" s="2">
        <v>38669</v>
      </c>
      <c r="B1798" t="s">
        <v>15</v>
      </c>
      <c r="C1798" t="s">
        <v>18</v>
      </c>
      <c r="D1798" t="s">
        <v>13</v>
      </c>
      <c r="E1798" t="s">
        <v>14</v>
      </c>
      <c r="F1798" s="3">
        <v>4231.46</v>
      </c>
      <c r="G1798" s="3">
        <v>7693.57</v>
      </c>
      <c r="H1798" s="3">
        <f>Table1[[#This Row],[Sale]]-Table1[[#This Row],[Cost]]</f>
        <v>3462.1099999999997</v>
      </c>
      <c r="I1798" s="4">
        <f>Table1[[#This Row],[Profit]]/Table1[[#This Row],[Sale]]</f>
        <v>0.45000045492534674</v>
      </c>
      <c r="J1798" s="5">
        <f t="shared" si="56"/>
        <v>2005</v>
      </c>
      <c r="K1798" s="5">
        <f>MONTH(Table1[[#This Row],[Date]])</f>
        <v>11</v>
      </c>
      <c r="L1798" s="5">
        <f>DAY(Table1[[#This Row],[Date]])</f>
        <v>13</v>
      </c>
      <c r="M1798" s="5" t="str">
        <f t="shared" si="57"/>
        <v>Nov</v>
      </c>
    </row>
    <row r="1799" spans="1:13" x14ac:dyDescent="0.25">
      <c r="A1799" s="2">
        <v>38850</v>
      </c>
      <c r="B1799" t="s">
        <v>21</v>
      </c>
      <c r="C1799" t="s">
        <v>27</v>
      </c>
      <c r="D1799" t="s">
        <v>16</v>
      </c>
      <c r="E1799" t="s">
        <v>24</v>
      </c>
      <c r="F1799" s="3">
        <v>2076.52</v>
      </c>
      <c r="G1799" s="3">
        <v>4614.5</v>
      </c>
      <c r="H1799" s="3">
        <f>Table1[[#This Row],[Sale]]-Table1[[#This Row],[Cost]]</f>
        <v>2537.98</v>
      </c>
      <c r="I1799" s="4">
        <f>Table1[[#This Row],[Profit]]/Table1[[#This Row],[Sale]]</f>
        <v>0.55000108354101207</v>
      </c>
      <c r="J1799" s="5">
        <f t="shared" si="56"/>
        <v>2006</v>
      </c>
      <c r="K1799" s="5">
        <f>MONTH(Table1[[#This Row],[Date]])</f>
        <v>5</v>
      </c>
      <c r="L1799" s="5">
        <f>DAY(Table1[[#This Row],[Date]])</f>
        <v>13</v>
      </c>
      <c r="M1799" s="5" t="str">
        <f t="shared" si="57"/>
        <v>May</v>
      </c>
    </row>
    <row r="1800" spans="1:13" x14ac:dyDescent="0.25">
      <c r="A1800" s="2">
        <v>38312</v>
      </c>
      <c r="B1800" t="s">
        <v>22</v>
      </c>
      <c r="C1800" t="s">
        <v>23</v>
      </c>
      <c r="D1800" t="s">
        <v>28</v>
      </c>
      <c r="E1800" t="s">
        <v>25</v>
      </c>
      <c r="F1800" s="3">
        <v>2500.83</v>
      </c>
      <c r="G1800" s="3">
        <v>6759</v>
      </c>
      <c r="H1800" s="3">
        <f>Table1[[#This Row],[Sale]]-Table1[[#This Row],[Cost]]</f>
        <v>4258.17</v>
      </c>
      <c r="I1800" s="4">
        <f>Table1[[#This Row],[Profit]]/Table1[[#This Row],[Sale]]</f>
        <v>0.63</v>
      </c>
      <c r="J1800" s="5">
        <f t="shared" si="56"/>
        <v>2004</v>
      </c>
      <c r="K1800" s="5">
        <f>MONTH(Table1[[#This Row],[Date]])</f>
        <v>11</v>
      </c>
      <c r="L1800" s="5">
        <f>DAY(Table1[[#This Row],[Date]])</f>
        <v>21</v>
      </c>
      <c r="M1800" s="5" t="str">
        <f t="shared" si="57"/>
        <v>Nov</v>
      </c>
    </row>
    <row r="1801" spans="1:13" x14ac:dyDescent="0.25">
      <c r="A1801" s="2">
        <v>38162</v>
      </c>
      <c r="B1801" t="s">
        <v>22</v>
      </c>
      <c r="C1801" t="s">
        <v>23</v>
      </c>
      <c r="D1801" t="s">
        <v>16</v>
      </c>
      <c r="E1801" t="s">
        <v>14</v>
      </c>
      <c r="F1801" s="3">
        <v>1860.83</v>
      </c>
      <c r="G1801" s="3">
        <v>1990.19</v>
      </c>
      <c r="H1801" s="3">
        <f>Table1[[#This Row],[Sale]]-Table1[[#This Row],[Cost]]</f>
        <v>129.36000000000013</v>
      </c>
      <c r="I1801" s="4">
        <f>Table1[[#This Row],[Profit]]/Table1[[#This Row],[Sale]]</f>
        <v>6.499881920821636E-2</v>
      </c>
      <c r="J1801" s="5">
        <f t="shared" si="56"/>
        <v>2004</v>
      </c>
      <c r="K1801" s="5">
        <f>MONTH(Table1[[#This Row],[Date]])</f>
        <v>6</v>
      </c>
      <c r="L1801" s="5">
        <f>DAY(Table1[[#This Row],[Date]])</f>
        <v>24</v>
      </c>
      <c r="M1801" s="5" t="str">
        <f t="shared" si="57"/>
        <v>Jun</v>
      </c>
    </row>
    <row r="1802" spans="1:13" x14ac:dyDescent="0.25">
      <c r="A1802" s="2">
        <v>38593</v>
      </c>
      <c r="B1802" t="s">
        <v>26</v>
      </c>
      <c r="C1802" t="s">
        <v>29</v>
      </c>
      <c r="D1802" t="s">
        <v>13</v>
      </c>
      <c r="E1802" t="s">
        <v>25</v>
      </c>
      <c r="F1802" s="3">
        <v>3739.07</v>
      </c>
      <c r="G1802" s="3">
        <v>8695.52</v>
      </c>
      <c r="H1802" s="3">
        <f>Table1[[#This Row],[Sale]]-Table1[[#This Row],[Cost]]</f>
        <v>4956.4500000000007</v>
      </c>
      <c r="I1802" s="4">
        <f>Table1[[#This Row],[Profit]]/Table1[[#This Row],[Sale]]</f>
        <v>0.57000041400629298</v>
      </c>
      <c r="J1802" s="5">
        <f t="shared" si="56"/>
        <v>2005</v>
      </c>
      <c r="K1802" s="5">
        <f>MONTH(Table1[[#This Row],[Date]])</f>
        <v>8</v>
      </c>
      <c r="L1802" s="5">
        <f>DAY(Table1[[#This Row],[Date]])</f>
        <v>29</v>
      </c>
      <c r="M1802" s="5" t="str">
        <f t="shared" si="57"/>
        <v>Aug</v>
      </c>
    </row>
    <row r="1803" spans="1:13" x14ac:dyDescent="0.25">
      <c r="A1803" s="2">
        <v>38318</v>
      </c>
      <c r="B1803" t="s">
        <v>21</v>
      </c>
      <c r="C1803" t="s">
        <v>27</v>
      </c>
      <c r="D1803" t="s">
        <v>28</v>
      </c>
      <c r="E1803" t="s">
        <v>24</v>
      </c>
      <c r="F1803" s="3">
        <v>2595.27</v>
      </c>
      <c r="G1803" s="3">
        <v>2775.69</v>
      </c>
      <c r="H1803" s="3">
        <f>Table1[[#This Row],[Sale]]-Table1[[#This Row],[Cost]]</f>
        <v>180.42000000000007</v>
      </c>
      <c r="I1803" s="4">
        <f>Table1[[#This Row],[Profit]]/Table1[[#This Row],[Sale]]</f>
        <v>6.5000054040616956E-2</v>
      </c>
      <c r="J1803" s="5">
        <f t="shared" si="56"/>
        <v>2004</v>
      </c>
      <c r="K1803" s="5">
        <f>MONTH(Table1[[#This Row],[Date]])</f>
        <v>11</v>
      </c>
      <c r="L1803" s="5">
        <f>DAY(Table1[[#This Row],[Date]])</f>
        <v>27</v>
      </c>
      <c r="M1803" s="5" t="str">
        <f t="shared" si="57"/>
        <v>Nov</v>
      </c>
    </row>
    <row r="1804" spans="1:13" x14ac:dyDescent="0.25">
      <c r="A1804" s="2">
        <v>38318</v>
      </c>
      <c r="B1804" t="s">
        <v>17</v>
      </c>
      <c r="C1804" t="s">
        <v>27</v>
      </c>
      <c r="D1804" t="s">
        <v>19</v>
      </c>
      <c r="E1804" t="s">
        <v>14</v>
      </c>
      <c r="F1804" s="3">
        <v>2003.94</v>
      </c>
      <c r="G1804" s="3">
        <v>4453.2</v>
      </c>
      <c r="H1804" s="3">
        <f>Table1[[#This Row],[Sale]]-Table1[[#This Row],[Cost]]</f>
        <v>2449.2599999999998</v>
      </c>
      <c r="I1804" s="4">
        <f>Table1[[#This Row],[Profit]]/Table1[[#This Row],[Sale]]</f>
        <v>0.54999999999999993</v>
      </c>
      <c r="J1804" s="5">
        <f t="shared" si="56"/>
        <v>2004</v>
      </c>
      <c r="K1804" s="5">
        <f>MONTH(Table1[[#This Row],[Date]])</f>
        <v>11</v>
      </c>
      <c r="L1804" s="5">
        <f>DAY(Table1[[#This Row],[Date]])</f>
        <v>27</v>
      </c>
      <c r="M1804" s="5" t="str">
        <f t="shared" si="57"/>
        <v>Nov</v>
      </c>
    </row>
    <row r="1805" spans="1:13" x14ac:dyDescent="0.25">
      <c r="A1805" s="2">
        <v>38261</v>
      </c>
      <c r="B1805" t="s">
        <v>21</v>
      </c>
      <c r="C1805" t="s">
        <v>18</v>
      </c>
      <c r="D1805" t="s">
        <v>19</v>
      </c>
      <c r="E1805" t="s">
        <v>20</v>
      </c>
      <c r="F1805" s="3">
        <v>3017.95</v>
      </c>
      <c r="G1805" s="3">
        <v>5203.3599999999997</v>
      </c>
      <c r="H1805" s="3">
        <f>Table1[[#This Row],[Sale]]-Table1[[#This Row],[Cost]]</f>
        <v>2185.41</v>
      </c>
      <c r="I1805" s="4">
        <f>Table1[[#This Row],[Profit]]/Table1[[#This Row],[Sale]]</f>
        <v>0.41999976937978539</v>
      </c>
      <c r="J1805" s="5">
        <f t="shared" si="56"/>
        <v>2004</v>
      </c>
      <c r="K1805" s="5">
        <f>MONTH(Table1[[#This Row],[Date]])</f>
        <v>10</v>
      </c>
      <c r="L1805" s="5">
        <f>DAY(Table1[[#This Row],[Date]])</f>
        <v>1</v>
      </c>
      <c r="M1805" s="5" t="str">
        <f t="shared" si="57"/>
        <v>Oct</v>
      </c>
    </row>
    <row r="1806" spans="1:13" x14ac:dyDescent="0.25">
      <c r="A1806" s="2">
        <v>38392</v>
      </c>
      <c r="B1806" t="s">
        <v>26</v>
      </c>
      <c r="C1806" t="s">
        <v>27</v>
      </c>
      <c r="D1806" t="s">
        <v>13</v>
      </c>
      <c r="E1806" t="s">
        <v>25</v>
      </c>
      <c r="F1806" s="3">
        <v>2890.4</v>
      </c>
      <c r="G1806" s="3">
        <v>3853.86</v>
      </c>
      <c r="H1806" s="3">
        <f>Table1[[#This Row],[Sale]]-Table1[[#This Row],[Cost]]</f>
        <v>963.46</v>
      </c>
      <c r="I1806" s="4">
        <f>Table1[[#This Row],[Profit]]/Table1[[#This Row],[Sale]]</f>
        <v>0.24999870259947171</v>
      </c>
      <c r="J1806" s="5">
        <f t="shared" si="56"/>
        <v>2005</v>
      </c>
      <c r="K1806" s="5">
        <f>MONTH(Table1[[#This Row],[Date]])</f>
        <v>2</v>
      </c>
      <c r="L1806" s="5">
        <f>DAY(Table1[[#This Row],[Date]])</f>
        <v>9</v>
      </c>
      <c r="M1806" s="5" t="str">
        <f t="shared" si="57"/>
        <v>Feb</v>
      </c>
    </row>
    <row r="1807" spans="1:13" x14ac:dyDescent="0.25">
      <c r="A1807" s="2">
        <v>38430</v>
      </c>
      <c r="B1807" t="s">
        <v>22</v>
      </c>
      <c r="C1807" t="s">
        <v>23</v>
      </c>
      <c r="D1807" t="s">
        <v>19</v>
      </c>
      <c r="E1807" t="s">
        <v>20</v>
      </c>
      <c r="F1807" s="3">
        <v>4351.8</v>
      </c>
      <c r="G1807" s="3">
        <v>7375.94</v>
      </c>
      <c r="H1807" s="3">
        <f>Table1[[#This Row],[Sale]]-Table1[[#This Row],[Cost]]</f>
        <v>3024.1399999999994</v>
      </c>
      <c r="I1807" s="4">
        <f>Table1[[#This Row],[Profit]]/Table1[[#This Row],[Sale]]</f>
        <v>0.41000062364932466</v>
      </c>
      <c r="J1807" s="5">
        <f t="shared" si="56"/>
        <v>2005</v>
      </c>
      <c r="K1807" s="5">
        <f>MONTH(Table1[[#This Row],[Date]])</f>
        <v>3</v>
      </c>
      <c r="L1807" s="5">
        <f>DAY(Table1[[#This Row],[Date]])</f>
        <v>19</v>
      </c>
      <c r="M1807" s="5" t="str">
        <f t="shared" si="57"/>
        <v>Mar</v>
      </c>
    </row>
    <row r="1808" spans="1:13" x14ac:dyDescent="0.25">
      <c r="A1808" s="2">
        <v>38445</v>
      </c>
      <c r="B1808" t="s">
        <v>17</v>
      </c>
      <c r="C1808" t="s">
        <v>23</v>
      </c>
      <c r="D1808" t="s">
        <v>19</v>
      </c>
      <c r="E1808" t="s">
        <v>14</v>
      </c>
      <c r="F1808" s="3">
        <v>1174.98</v>
      </c>
      <c r="G1808" s="3">
        <v>2611.06</v>
      </c>
      <c r="H1808" s="3">
        <f>Table1[[#This Row],[Sale]]-Table1[[#This Row],[Cost]]</f>
        <v>1436.08</v>
      </c>
      <c r="I1808" s="4">
        <f>Table1[[#This Row],[Profit]]/Table1[[#This Row],[Sale]]</f>
        <v>0.5499988510413395</v>
      </c>
      <c r="J1808" s="5">
        <f t="shared" si="56"/>
        <v>2005</v>
      </c>
      <c r="K1808" s="5">
        <f>MONTH(Table1[[#This Row],[Date]])</f>
        <v>4</v>
      </c>
      <c r="L1808" s="5">
        <f>DAY(Table1[[#This Row],[Date]])</f>
        <v>3</v>
      </c>
      <c r="M1808" s="5" t="str">
        <f t="shared" si="57"/>
        <v>Apr</v>
      </c>
    </row>
    <row r="1809" spans="1:13" x14ac:dyDescent="0.25">
      <c r="A1809" s="2">
        <v>38228</v>
      </c>
      <c r="B1809" t="s">
        <v>21</v>
      </c>
      <c r="C1809" t="s">
        <v>29</v>
      </c>
      <c r="D1809" t="s">
        <v>28</v>
      </c>
      <c r="E1809" t="s">
        <v>20</v>
      </c>
      <c r="F1809" s="3">
        <v>1451.19</v>
      </c>
      <c r="G1809" s="3">
        <v>2459.65</v>
      </c>
      <c r="H1809" s="3">
        <f>Table1[[#This Row],[Sale]]-Table1[[#This Row],[Cost]]</f>
        <v>1008.46</v>
      </c>
      <c r="I1809" s="4">
        <f>Table1[[#This Row],[Profit]]/Table1[[#This Row],[Sale]]</f>
        <v>0.41000142296668224</v>
      </c>
      <c r="J1809" s="5">
        <f t="shared" si="56"/>
        <v>2004</v>
      </c>
      <c r="K1809" s="5">
        <f>MONTH(Table1[[#This Row],[Date]])</f>
        <v>8</v>
      </c>
      <c r="L1809" s="5">
        <f>DAY(Table1[[#This Row],[Date]])</f>
        <v>29</v>
      </c>
      <c r="M1809" s="5" t="str">
        <f t="shared" si="57"/>
        <v>Aug</v>
      </c>
    </row>
    <row r="1810" spans="1:13" x14ac:dyDescent="0.25">
      <c r="A1810" s="2">
        <v>38424</v>
      </c>
      <c r="B1810" t="s">
        <v>15</v>
      </c>
      <c r="C1810" t="s">
        <v>23</v>
      </c>
      <c r="D1810" t="s">
        <v>28</v>
      </c>
      <c r="E1810" t="s">
        <v>24</v>
      </c>
      <c r="F1810" s="3">
        <v>3604.66</v>
      </c>
      <c r="G1810" s="3">
        <v>6553.92</v>
      </c>
      <c r="H1810" s="3">
        <f>Table1[[#This Row],[Sale]]-Table1[[#This Row],[Cost]]</f>
        <v>2949.26</v>
      </c>
      <c r="I1810" s="4">
        <f>Table1[[#This Row],[Profit]]/Table1[[#This Row],[Sale]]</f>
        <v>0.44999938967823838</v>
      </c>
      <c r="J1810" s="5">
        <f t="shared" si="56"/>
        <v>2005</v>
      </c>
      <c r="K1810" s="5">
        <f>MONTH(Table1[[#This Row],[Date]])</f>
        <v>3</v>
      </c>
      <c r="L1810" s="5">
        <f>DAY(Table1[[#This Row],[Date]])</f>
        <v>13</v>
      </c>
      <c r="M1810" s="5" t="str">
        <f t="shared" si="57"/>
        <v>Mar</v>
      </c>
    </row>
    <row r="1811" spans="1:13" x14ac:dyDescent="0.25">
      <c r="A1811" s="2">
        <v>38342</v>
      </c>
      <c r="B1811" t="s">
        <v>22</v>
      </c>
      <c r="C1811" t="s">
        <v>23</v>
      </c>
      <c r="D1811" t="s">
        <v>28</v>
      </c>
      <c r="E1811" t="s">
        <v>20</v>
      </c>
      <c r="F1811" s="3">
        <v>2432.7399999999998</v>
      </c>
      <c r="G1811" s="3">
        <v>6574.96</v>
      </c>
      <c r="H1811" s="3">
        <f>Table1[[#This Row],[Sale]]-Table1[[#This Row],[Cost]]</f>
        <v>4142.22</v>
      </c>
      <c r="I1811" s="4">
        <f>Table1[[#This Row],[Profit]]/Table1[[#This Row],[Sale]]</f>
        <v>0.62999926995753586</v>
      </c>
      <c r="J1811" s="5">
        <f t="shared" si="56"/>
        <v>2004</v>
      </c>
      <c r="K1811" s="5">
        <f>MONTH(Table1[[#This Row],[Date]])</f>
        <v>12</v>
      </c>
      <c r="L1811" s="5">
        <f>DAY(Table1[[#This Row],[Date]])</f>
        <v>21</v>
      </c>
      <c r="M1811" s="5" t="str">
        <f t="shared" si="57"/>
        <v>Dec</v>
      </c>
    </row>
    <row r="1812" spans="1:13" x14ac:dyDescent="0.25">
      <c r="A1812" s="2">
        <v>38642</v>
      </c>
      <c r="B1812" t="s">
        <v>22</v>
      </c>
      <c r="C1812" t="s">
        <v>27</v>
      </c>
      <c r="D1812" t="s">
        <v>28</v>
      </c>
      <c r="E1812" t="s">
        <v>14</v>
      </c>
      <c r="F1812" s="3">
        <v>5729.63</v>
      </c>
      <c r="G1812" s="3">
        <v>7639.51</v>
      </c>
      <c r="H1812" s="3">
        <f>Table1[[#This Row],[Sale]]-Table1[[#This Row],[Cost]]</f>
        <v>1909.88</v>
      </c>
      <c r="I1812" s="4">
        <f>Table1[[#This Row],[Profit]]/Table1[[#This Row],[Sale]]</f>
        <v>0.2500003272461192</v>
      </c>
      <c r="J1812" s="5">
        <f t="shared" si="56"/>
        <v>2005</v>
      </c>
      <c r="K1812" s="5">
        <f>MONTH(Table1[[#This Row],[Date]])</f>
        <v>10</v>
      </c>
      <c r="L1812" s="5">
        <f>DAY(Table1[[#This Row],[Date]])</f>
        <v>17</v>
      </c>
      <c r="M1812" s="5" t="str">
        <f t="shared" si="57"/>
        <v>Oct</v>
      </c>
    </row>
    <row r="1813" spans="1:13" x14ac:dyDescent="0.25">
      <c r="A1813" s="2">
        <v>38301</v>
      </c>
      <c r="B1813" t="s">
        <v>22</v>
      </c>
      <c r="C1813" t="s">
        <v>23</v>
      </c>
      <c r="D1813" t="s">
        <v>16</v>
      </c>
      <c r="E1813" t="s">
        <v>25</v>
      </c>
      <c r="F1813" s="3">
        <v>243.9</v>
      </c>
      <c r="G1813" s="3">
        <v>443.46</v>
      </c>
      <c r="H1813" s="3">
        <f>Table1[[#This Row],[Sale]]-Table1[[#This Row],[Cost]]</f>
        <v>199.55999999999997</v>
      </c>
      <c r="I1813" s="4">
        <f>Table1[[#This Row],[Profit]]/Table1[[#This Row],[Sale]]</f>
        <v>0.45000676498444048</v>
      </c>
      <c r="J1813" s="5">
        <f t="shared" si="56"/>
        <v>2004</v>
      </c>
      <c r="K1813" s="5">
        <f>MONTH(Table1[[#This Row],[Date]])</f>
        <v>11</v>
      </c>
      <c r="L1813" s="5">
        <f>DAY(Table1[[#This Row],[Date]])</f>
        <v>10</v>
      </c>
      <c r="M1813" s="5" t="str">
        <f t="shared" si="57"/>
        <v>Nov</v>
      </c>
    </row>
    <row r="1814" spans="1:13" x14ac:dyDescent="0.25">
      <c r="A1814" s="2">
        <v>38425</v>
      </c>
      <c r="B1814" t="s">
        <v>11</v>
      </c>
      <c r="C1814" t="s">
        <v>12</v>
      </c>
      <c r="D1814" t="s">
        <v>28</v>
      </c>
      <c r="E1814" t="s">
        <v>25</v>
      </c>
      <c r="F1814" s="3">
        <v>2282.1799999999998</v>
      </c>
      <c r="G1814" s="3">
        <v>3356.15</v>
      </c>
      <c r="H1814" s="3">
        <f>Table1[[#This Row],[Sale]]-Table1[[#This Row],[Cost]]</f>
        <v>1073.9700000000003</v>
      </c>
      <c r="I1814" s="4">
        <f>Table1[[#This Row],[Profit]]/Table1[[#This Row],[Sale]]</f>
        <v>0.32000059592092134</v>
      </c>
      <c r="J1814" s="5">
        <f t="shared" si="56"/>
        <v>2005</v>
      </c>
      <c r="K1814" s="5">
        <f>MONTH(Table1[[#This Row],[Date]])</f>
        <v>3</v>
      </c>
      <c r="L1814" s="5">
        <f>DAY(Table1[[#This Row],[Date]])</f>
        <v>14</v>
      </c>
      <c r="M1814" s="5" t="str">
        <f t="shared" si="57"/>
        <v>Mar</v>
      </c>
    </row>
    <row r="1815" spans="1:13" x14ac:dyDescent="0.25">
      <c r="A1815" s="2">
        <v>38758</v>
      </c>
      <c r="B1815" t="s">
        <v>17</v>
      </c>
      <c r="C1815" t="s">
        <v>23</v>
      </c>
      <c r="D1815" t="s">
        <v>16</v>
      </c>
      <c r="E1815" t="s">
        <v>14</v>
      </c>
      <c r="F1815" s="3">
        <v>2542.44</v>
      </c>
      <c r="G1815" s="3">
        <v>5912.65</v>
      </c>
      <c r="H1815" s="3">
        <f>Table1[[#This Row],[Sale]]-Table1[[#This Row],[Cost]]</f>
        <v>3370.2099999999996</v>
      </c>
      <c r="I1815" s="4">
        <f>Table1[[#This Row],[Profit]]/Table1[[#This Row],[Sale]]</f>
        <v>0.56999991543554918</v>
      </c>
      <c r="J1815" s="5">
        <f t="shared" si="56"/>
        <v>2006</v>
      </c>
      <c r="K1815" s="5">
        <f>MONTH(Table1[[#This Row],[Date]])</f>
        <v>2</v>
      </c>
      <c r="L1815" s="5">
        <f>DAY(Table1[[#This Row],[Date]])</f>
        <v>10</v>
      </c>
      <c r="M1815" s="5" t="str">
        <f t="shared" si="57"/>
        <v>Feb</v>
      </c>
    </row>
    <row r="1816" spans="1:13" x14ac:dyDescent="0.25">
      <c r="A1816" s="2">
        <v>38703</v>
      </c>
      <c r="B1816" t="s">
        <v>17</v>
      </c>
      <c r="C1816" t="s">
        <v>27</v>
      </c>
      <c r="D1816" t="s">
        <v>13</v>
      </c>
      <c r="E1816" t="s">
        <v>20</v>
      </c>
      <c r="F1816" s="3">
        <v>8077.53</v>
      </c>
      <c r="G1816" s="3">
        <v>8639.07</v>
      </c>
      <c r="H1816" s="3">
        <f>Table1[[#This Row],[Sale]]-Table1[[#This Row],[Cost]]</f>
        <v>561.54</v>
      </c>
      <c r="I1816" s="4">
        <f>Table1[[#This Row],[Profit]]/Table1[[#This Row],[Sale]]</f>
        <v>6.5000052088940122E-2</v>
      </c>
      <c r="J1816" s="5">
        <f t="shared" si="56"/>
        <v>2005</v>
      </c>
      <c r="K1816" s="5">
        <f>MONTH(Table1[[#This Row],[Date]])</f>
        <v>12</v>
      </c>
      <c r="L1816" s="5">
        <f>DAY(Table1[[#This Row],[Date]])</f>
        <v>17</v>
      </c>
      <c r="M1816" s="5" t="str">
        <f t="shared" si="57"/>
        <v>Dec</v>
      </c>
    </row>
    <row r="1817" spans="1:13" x14ac:dyDescent="0.25">
      <c r="A1817" s="2">
        <v>38202</v>
      </c>
      <c r="B1817" t="s">
        <v>26</v>
      </c>
      <c r="C1817" t="s">
        <v>18</v>
      </c>
      <c r="D1817" t="s">
        <v>13</v>
      </c>
      <c r="E1817" t="s">
        <v>24</v>
      </c>
      <c r="F1817" s="3">
        <v>3758.96</v>
      </c>
      <c r="G1817" s="3">
        <v>8741.77</v>
      </c>
      <c r="H1817" s="3">
        <f>Table1[[#This Row],[Sale]]-Table1[[#This Row],[Cost]]</f>
        <v>4982.8100000000004</v>
      </c>
      <c r="I1817" s="4">
        <f>Table1[[#This Row],[Profit]]/Table1[[#This Row],[Sale]]</f>
        <v>0.57000012583264037</v>
      </c>
      <c r="J1817" s="5">
        <f t="shared" si="56"/>
        <v>2004</v>
      </c>
      <c r="K1817" s="5">
        <f>MONTH(Table1[[#This Row],[Date]])</f>
        <v>8</v>
      </c>
      <c r="L1817" s="5">
        <f>DAY(Table1[[#This Row],[Date]])</f>
        <v>3</v>
      </c>
      <c r="M1817" s="5" t="str">
        <f t="shared" si="57"/>
        <v>Aug</v>
      </c>
    </row>
    <row r="1818" spans="1:13" x14ac:dyDescent="0.25">
      <c r="A1818" s="2">
        <v>38568</v>
      </c>
      <c r="B1818" t="s">
        <v>11</v>
      </c>
      <c r="C1818" t="s">
        <v>18</v>
      </c>
      <c r="D1818" t="s">
        <v>16</v>
      </c>
      <c r="E1818" t="s">
        <v>20</v>
      </c>
      <c r="F1818" s="3">
        <v>2881.43</v>
      </c>
      <c r="G1818" s="3">
        <v>6700.99</v>
      </c>
      <c r="H1818" s="3">
        <f>Table1[[#This Row],[Sale]]-Table1[[#This Row],[Cost]]</f>
        <v>3819.56</v>
      </c>
      <c r="I1818" s="4">
        <f>Table1[[#This Row],[Profit]]/Table1[[#This Row],[Sale]]</f>
        <v>0.56999935830377302</v>
      </c>
      <c r="J1818" s="5">
        <f t="shared" si="56"/>
        <v>2005</v>
      </c>
      <c r="K1818" s="5">
        <f>MONTH(Table1[[#This Row],[Date]])</f>
        <v>8</v>
      </c>
      <c r="L1818" s="5">
        <f>DAY(Table1[[#This Row],[Date]])</f>
        <v>4</v>
      </c>
      <c r="M1818" s="5" t="str">
        <f t="shared" si="57"/>
        <v>Aug</v>
      </c>
    </row>
    <row r="1819" spans="1:13" x14ac:dyDescent="0.25">
      <c r="A1819" s="2">
        <v>38715</v>
      </c>
      <c r="B1819" t="s">
        <v>22</v>
      </c>
      <c r="C1819" t="s">
        <v>29</v>
      </c>
      <c r="D1819" t="s">
        <v>28</v>
      </c>
      <c r="E1819" t="s">
        <v>20</v>
      </c>
      <c r="F1819" s="3">
        <v>359.26</v>
      </c>
      <c r="G1819" s="3">
        <v>619.41999999999996</v>
      </c>
      <c r="H1819" s="3">
        <f>Table1[[#This Row],[Sale]]-Table1[[#This Row],[Cost]]</f>
        <v>260.15999999999997</v>
      </c>
      <c r="I1819" s="4">
        <f>Table1[[#This Row],[Profit]]/Table1[[#This Row],[Sale]]</f>
        <v>0.42000581188854086</v>
      </c>
      <c r="J1819" s="5">
        <f t="shared" si="56"/>
        <v>2005</v>
      </c>
      <c r="K1819" s="5">
        <f>MONTH(Table1[[#This Row],[Date]])</f>
        <v>12</v>
      </c>
      <c r="L1819" s="5">
        <f>DAY(Table1[[#This Row],[Date]])</f>
        <v>29</v>
      </c>
      <c r="M1819" s="5" t="str">
        <f t="shared" si="57"/>
        <v>Dec</v>
      </c>
    </row>
    <row r="1820" spans="1:13" x14ac:dyDescent="0.25">
      <c r="A1820" s="2">
        <v>38283</v>
      </c>
      <c r="B1820" t="s">
        <v>15</v>
      </c>
      <c r="C1820" t="s">
        <v>18</v>
      </c>
      <c r="D1820" t="s">
        <v>28</v>
      </c>
      <c r="E1820" t="s">
        <v>20</v>
      </c>
      <c r="F1820" s="3">
        <v>564.32000000000005</v>
      </c>
      <c r="G1820" s="3">
        <v>1026.04</v>
      </c>
      <c r="H1820" s="3">
        <f>Table1[[#This Row],[Sale]]-Table1[[#This Row],[Cost]]</f>
        <v>461.71999999999991</v>
      </c>
      <c r="I1820" s="4">
        <f>Table1[[#This Row],[Profit]]/Table1[[#This Row],[Sale]]</f>
        <v>0.45000194924174491</v>
      </c>
      <c r="J1820" s="5">
        <f t="shared" si="56"/>
        <v>2004</v>
      </c>
      <c r="K1820" s="5">
        <f>MONTH(Table1[[#This Row],[Date]])</f>
        <v>10</v>
      </c>
      <c r="L1820" s="5">
        <f>DAY(Table1[[#This Row],[Date]])</f>
        <v>23</v>
      </c>
      <c r="M1820" s="5" t="str">
        <f t="shared" si="57"/>
        <v>Oct</v>
      </c>
    </row>
    <row r="1821" spans="1:13" x14ac:dyDescent="0.25">
      <c r="A1821" s="2">
        <v>38840</v>
      </c>
      <c r="B1821" t="s">
        <v>11</v>
      </c>
      <c r="C1821" t="s">
        <v>27</v>
      </c>
      <c r="D1821" t="s">
        <v>19</v>
      </c>
      <c r="E1821" t="s">
        <v>24</v>
      </c>
      <c r="F1821" s="3">
        <v>4846.96</v>
      </c>
      <c r="G1821" s="3">
        <v>5183.91</v>
      </c>
      <c r="H1821" s="3">
        <f>Table1[[#This Row],[Sale]]-Table1[[#This Row],[Cost]]</f>
        <v>336.94999999999982</v>
      </c>
      <c r="I1821" s="4">
        <f>Table1[[#This Row],[Profit]]/Table1[[#This Row],[Sale]]</f>
        <v>6.4999199445977998E-2</v>
      </c>
      <c r="J1821" s="5">
        <f t="shared" si="56"/>
        <v>2006</v>
      </c>
      <c r="K1821" s="5">
        <f>MONTH(Table1[[#This Row],[Date]])</f>
        <v>5</v>
      </c>
      <c r="L1821" s="5">
        <f>DAY(Table1[[#This Row],[Date]])</f>
        <v>3</v>
      </c>
      <c r="M1821" s="5" t="str">
        <f t="shared" si="57"/>
        <v>May</v>
      </c>
    </row>
    <row r="1822" spans="1:13" x14ac:dyDescent="0.25">
      <c r="A1822" s="2">
        <v>38192</v>
      </c>
      <c r="B1822" t="s">
        <v>21</v>
      </c>
      <c r="C1822" t="s">
        <v>27</v>
      </c>
      <c r="D1822" t="s">
        <v>13</v>
      </c>
      <c r="E1822" t="s">
        <v>14</v>
      </c>
      <c r="F1822" s="3">
        <v>660.76</v>
      </c>
      <c r="G1822" s="3">
        <v>881.01</v>
      </c>
      <c r="H1822" s="3">
        <f>Table1[[#This Row],[Sale]]-Table1[[#This Row],[Cost]]</f>
        <v>220.25</v>
      </c>
      <c r="I1822" s="4">
        <f>Table1[[#This Row],[Profit]]/Table1[[#This Row],[Sale]]</f>
        <v>0.24999716234775995</v>
      </c>
      <c r="J1822" s="5">
        <f t="shared" si="56"/>
        <v>2004</v>
      </c>
      <c r="K1822" s="5">
        <f>MONTH(Table1[[#This Row],[Date]])</f>
        <v>7</v>
      </c>
      <c r="L1822" s="5">
        <f>DAY(Table1[[#This Row],[Date]])</f>
        <v>24</v>
      </c>
      <c r="M1822" s="5" t="str">
        <f t="shared" si="57"/>
        <v>Jul</v>
      </c>
    </row>
    <row r="1823" spans="1:13" x14ac:dyDescent="0.25">
      <c r="A1823" s="2">
        <v>38524</v>
      </c>
      <c r="B1823" t="s">
        <v>21</v>
      </c>
      <c r="C1823" t="s">
        <v>29</v>
      </c>
      <c r="D1823" t="s">
        <v>16</v>
      </c>
      <c r="E1823" t="s">
        <v>24</v>
      </c>
      <c r="F1823" s="3">
        <v>1874.01</v>
      </c>
      <c r="G1823" s="3">
        <v>2755.9</v>
      </c>
      <c r="H1823" s="3">
        <f>Table1[[#This Row],[Sale]]-Table1[[#This Row],[Cost]]</f>
        <v>881.8900000000001</v>
      </c>
      <c r="I1823" s="4">
        <f>Table1[[#This Row],[Profit]]/Table1[[#This Row],[Sale]]</f>
        <v>0.32000072571573718</v>
      </c>
      <c r="J1823" s="5">
        <f t="shared" si="56"/>
        <v>2005</v>
      </c>
      <c r="K1823" s="5">
        <f>MONTH(Table1[[#This Row],[Date]])</f>
        <v>6</v>
      </c>
      <c r="L1823" s="5">
        <f>DAY(Table1[[#This Row],[Date]])</f>
        <v>21</v>
      </c>
      <c r="M1823" s="5" t="str">
        <f t="shared" si="57"/>
        <v>Jun</v>
      </c>
    </row>
    <row r="1824" spans="1:13" x14ac:dyDescent="0.25">
      <c r="A1824" s="2">
        <v>38155</v>
      </c>
      <c r="B1824" t="s">
        <v>17</v>
      </c>
      <c r="C1824" t="s">
        <v>23</v>
      </c>
      <c r="D1824" t="s">
        <v>28</v>
      </c>
      <c r="E1824" t="s">
        <v>25</v>
      </c>
      <c r="F1824" s="3">
        <v>2181.2399999999998</v>
      </c>
      <c r="G1824" s="3">
        <v>4847.2</v>
      </c>
      <c r="H1824" s="3">
        <f>Table1[[#This Row],[Sale]]-Table1[[#This Row],[Cost]]</f>
        <v>2665.96</v>
      </c>
      <c r="I1824" s="4">
        <f>Table1[[#This Row],[Profit]]/Table1[[#This Row],[Sale]]</f>
        <v>0.55000000000000004</v>
      </c>
      <c r="J1824" s="5">
        <f t="shared" si="56"/>
        <v>2004</v>
      </c>
      <c r="K1824" s="5">
        <f>MONTH(Table1[[#This Row],[Date]])</f>
        <v>6</v>
      </c>
      <c r="L1824" s="5">
        <f>DAY(Table1[[#This Row],[Date]])</f>
        <v>17</v>
      </c>
      <c r="M1824" s="5" t="str">
        <f t="shared" si="57"/>
        <v>Jun</v>
      </c>
    </row>
    <row r="1825" spans="1:13" x14ac:dyDescent="0.25">
      <c r="A1825" s="2">
        <v>38305</v>
      </c>
      <c r="B1825" t="s">
        <v>17</v>
      </c>
      <c r="C1825" t="s">
        <v>27</v>
      </c>
      <c r="D1825" t="s">
        <v>28</v>
      </c>
      <c r="E1825" t="s">
        <v>20</v>
      </c>
      <c r="F1825" s="3">
        <v>28.54</v>
      </c>
      <c r="G1825" s="3">
        <v>48.37</v>
      </c>
      <c r="H1825" s="3">
        <f>Table1[[#This Row],[Sale]]-Table1[[#This Row],[Cost]]</f>
        <v>19.829999999999998</v>
      </c>
      <c r="I1825" s="4">
        <f>Table1[[#This Row],[Profit]]/Table1[[#This Row],[Sale]]</f>
        <v>0.4099648542485011</v>
      </c>
      <c r="J1825" s="5">
        <f t="shared" si="56"/>
        <v>2004</v>
      </c>
      <c r="K1825" s="5">
        <f>MONTH(Table1[[#This Row],[Date]])</f>
        <v>11</v>
      </c>
      <c r="L1825" s="5">
        <f>DAY(Table1[[#This Row],[Date]])</f>
        <v>14</v>
      </c>
      <c r="M1825" s="5" t="str">
        <f t="shared" si="57"/>
        <v>Nov</v>
      </c>
    </row>
    <row r="1826" spans="1:13" x14ac:dyDescent="0.25">
      <c r="A1826" s="2">
        <v>38217</v>
      </c>
      <c r="B1826" t="s">
        <v>15</v>
      </c>
      <c r="C1826" t="s">
        <v>23</v>
      </c>
      <c r="D1826" t="s">
        <v>28</v>
      </c>
      <c r="E1826" t="s">
        <v>24</v>
      </c>
      <c r="F1826" s="3">
        <v>2420.96</v>
      </c>
      <c r="G1826" s="3">
        <v>6543.14</v>
      </c>
      <c r="H1826" s="3">
        <f>Table1[[#This Row],[Sale]]-Table1[[#This Row],[Cost]]</f>
        <v>4122.18</v>
      </c>
      <c r="I1826" s="4">
        <f>Table1[[#This Row],[Profit]]/Table1[[#This Row],[Sale]]</f>
        <v>0.63000027509727752</v>
      </c>
      <c r="J1826" s="5">
        <f t="shared" si="56"/>
        <v>2004</v>
      </c>
      <c r="K1826" s="5">
        <f>MONTH(Table1[[#This Row],[Date]])</f>
        <v>8</v>
      </c>
      <c r="L1826" s="5">
        <f>DAY(Table1[[#This Row],[Date]])</f>
        <v>18</v>
      </c>
      <c r="M1826" s="5" t="str">
        <f t="shared" si="57"/>
        <v>Aug</v>
      </c>
    </row>
    <row r="1827" spans="1:13" x14ac:dyDescent="0.25">
      <c r="A1827" s="2">
        <v>38291</v>
      </c>
      <c r="B1827" t="s">
        <v>26</v>
      </c>
      <c r="C1827" t="s">
        <v>23</v>
      </c>
      <c r="D1827" t="s">
        <v>28</v>
      </c>
      <c r="E1827" t="s">
        <v>20</v>
      </c>
      <c r="F1827" s="3">
        <v>4549.04</v>
      </c>
      <c r="G1827" s="3">
        <v>7710.23</v>
      </c>
      <c r="H1827" s="3">
        <f>Table1[[#This Row],[Sale]]-Table1[[#This Row],[Cost]]</f>
        <v>3161.1899999999996</v>
      </c>
      <c r="I1827" s="4">
        <f>Table1[[#This Row],[Profit]]/Table1[[#This Row],[Sale]]</f>
        <v>0.40999944229938662</v>
      </c>
      <c r="J1827" s="5">
        <f t="shared" si="56"/>
        <v>2004</v>
      </c>
      <c r="K1827" s="5">
        <f>MONTH(Table1[[#This Row],[Date]])</f>
        <v>10</v>
      </c>
      <c r="L1827" s="5">
        <f>DAY(Table1[[#This Row],[Date]])</f>
        <v>31</v>
      </c>
      <c r="M1827" s="5" t="str">
        <f t="shared" si="57"/>
        <v>Oct</v>
      </c>
    </row>
    <row r="1828" spans="1:13" x14ac:dyDescent="0.25">
      <c r="A1828" s="2">
        <v>38549</v>
      </c>
      <c r="B1828" t="s">
        <v>11</v>
      </c>
      <c r="C1828" t="s">
        <v>29</v>
      </c>
      <c r="D1828" t="s">
        <v>19</v>
      </c>
      <c r="E1828" t="s">
        <v>25</v>
      </c>
      <c r="F1828" s="3">
        <v>2287.73</v>
      </c>
      <c r="G1828" s="3">
        <v>3050.31</v>
      </c>
      <c r="H1828" s="3">
        <f>Table1[[#This Row],[Sale]]-Table1[[#This Row],[Cost]]</f>
        <v>762.57999999999993</v>
      </c>
      <c r="I1828" s="4">
        <f>Table1[[#This Row],[Profit]]/Table1[[#This Row],[Sale]]</f>
        <v>0.25000081958882864</v>
      </c>
      <c r="J1828" s="5">
        <f t="shared" si="56"/>
        <v>2005</v>
      </c>
      <c r="K1828" s="5">
        <f>MONTH(Table1[[#This Row],[Date]])</f>
        <v>7</v>
      </c>
      <c r="L1828" s="5">
        <f>DAY(Table1[[#This Row],[Date]])</f>
        <v>16</v>
      </c>
      <c r="M1828" s="5" t="str">
        <f t="shared" si="57"/>
        <v>Jul</v>
      </c>
    </row>
    <row r="1829" spans="1:13" x14ac:dyDescent="0.25">
      <c r="A1829" s="2">
        <v>38732</v>
      </c>
      <c r="B1829" t="s">
        <v>11</v>
      </c>
      <c r="C1829" t="s">
        <v>23</v>
      </c>
      <c r="D1829" t="s">
        <v>19</v>
      </c>
      <c r="E1829" t="s">
        <v>25</v>
      </c>
      <c r="F1829" s="3">
        <v>78.91</v>
      </c>
      <c r="G1829" s="3">
        <v>183.51</v>
      </c>
      <c r="H1829" s="3">
        <f>Table1[[#This Row],[Sale]]-Table1[[#This Row],[Cost]]</f>
        <v>104.6</v>
      </c>
      <c r="I1829" s="4">
        <f>Table1[[#This Row],[Profit]]/Table1[[#This Row],[Sale]]</f>
        <v>0.56999618549397857</v>
      </c>
      <c r="J1829" s="5">
        <f t="shared" si="56"/>
        <v>2006</v>
      </c>
      <c r="K1829" s="5">
        <f>MONTH(Table1[[#This Row],[Date]])</f>
        <v>1</v>
      </c>
      <c r="L1829" s="5">
        <f>DAY(Table1[[#This Row],[Date]])</f>
        <v>15</v>
      </c>
      <c r="M1829" s="5" t="str">
        <f t="shared" si="57"/>
        <v>Jan</v>
      </c>
    </row>
    <row r="1830" spans="1:13" x14ac:dyDescent="0.25">
      <c r="A1830" s="2">
        <v>38271</v>
      </c>
      <c r="B1830" t="s">
        <v>17</v>
      </c>
      <c r="C1830" t="s">
        <v>18</v>
      </c>
      <c r="D1830" t="s">
        <v>19</v>
      </c>
      <c r="E1830" t="s">
        <v>25</v>
      </c>
      <c r="F1830" s="3">
        <v>7307.3</v>
      </c>
      <c r="G1830" s="3">
        <v>7815.29</v>
      </c>
      <c r="H1830" s="3">
        <f>Table1[[#This Row],[Sale]]-Table1[[#This Row],[Cost]]</f>
        <v>507.98999999999978</v>
      </c>
      <c r="I1830" s="4">
        <f>Table1[[#This Row],[Profit]]/Table1[[#This Row],[Sale]]</f>
        <v>6.4999507375925886E-2</v>
      </c>
      <c r="J1830" s="5">
        <f t="shared" si="56"/>
        <v>2004</v>
      </c>
      <c r="K1830" s="5">
        <f>MONTH(Table1[[#This Row],[Date]])</f>
        <v>10</v>
      </c>
      <c r="L1830" s="5">
        <f>DAY(Table1[[#This Row],[Date]])</f>
        <v>11</v>
      </c>
      <c r="M1830" s="5" t="str">
        <f t="shared" si="57"/>
        <v>Oct</v>
      </c>
    </row>
    <row r="1831" spans="1:13" x14ac:dyDescent="0.25">
      <c r="A1831" s="2">
        <v>38470</v>
      </c>
      <c r="B1831" t="s">
        <v>17</v>
      </c>
      <c r="C1831" t="s">
        <v>12</v>
      </c>
      <c r="D1831" t="s">
        <v>19</v>
      </c>
      <c r="E1831" t="s">
        <v>14</v>
      </c>
      <c r="F1831" s="3">
        <v>2659.68</v>
      </c>
      <c r="G1831" s="3">
        <v>4507.9399999999996</v>
      </c>
      <c r="H1831" s="3">
        <f>Table1[[#This Row],[Sale]]-Table1[[#This Row],[Cost]]</f>
        <v>1848.2599999999998</v>
      </c>
      <c r="I1831" s="4">
        <f>Table1[[#This Row],[Profit]]/Table1[[#This Row],[Sale]]</f>
        <v>0.41000102042174474</v>
      </c>
      <c r="J1831" s="5">
        <f t="shared" si="56"/>
        <v>2005</v>
      </c>
      <c r="K1831" s="5">
        <f>MONTH(Table1[[#This Row],[Date]])</f>
        <v>4</v>
      </c>
      <c r="L1831" s="5">
        <f>DAY(Table1[[#This Row],[Date]])</f>
        <v>28</v>
      </c>
      <c r="M1831" s="5" t="str">
        <f t="shared" si="57"/>
        <v>Apr</v>
      </c>
    </row>
    <row r="1832" spans="1:13" x14ac:dyDescent="0.25">
      <c r="A1832" s="2">
        <v>38158</v>
      </c>
      <c r="B1832" t="s">
        <v>21</v>
      </c>
      <c r="C1832" t="s">
        <v>23</v>
      </c>
      <c r="D1832" t="s">
        <v>28</v>
      </c>
      <c r="E1832" t="s">
        <v>24</v>
      </c>
      <c r="F1832" s="3">
        <v>8722.3799999999992</v>
      </c>
      <c r="G1832" s="3">
        <v>9911.7900000000009</v>
      </c>
      <c r="H1832" s="3">
        <f>Table1[[#This Row],[Sale]]-Table1[[#This Row],[Cost]]</f>
        <v>1189.4100000000017</v>
      </c>
      <c r="I1832" s="4">
        <f>Table1[[#This Row],[Profit]]/Table1[[#This Row],[Sale]]</f>
        <v>0.11999951572823896</v>
      </c>
      <c r="J1832" s="5">
        <f t="shared" si="56"/>
        <v>2004</v>
      </c>
      <c r="K1832" s="5">
        <f>MONTH(Table1[[#This Row],[Date]])</f>
        <v>6</v>
      </c>
      <c r="L1832" s="5">
        <f>DAY(Table1[[#This Row],[Date]])</f>
        <v>20</v>
      </c>
      <c r="M1832" s="5" t="str">
        <f t="shared" si="57"/>
        <v>Jun</v>
      </c>
    </row>
    <row r="1833" spans="1:13" x14ac:dyDescent="0.25">
      <c r="A1833" s="2">
        <v>38819</v>
      </c>
      <c r="B1833" t="s">
        <v>15</v>
      </c>
      <c r="C1833" t="s">
        <v>18</v>
      </c>
      <c r="D1833" t="s">
        <v>28</v>
      </c>
      <c r="E1833" t="s">
        <v>14</v>
      </c>
      <c r="F1833" s="3">
        <v>5928.82</v>
      </c>
      <c r="G1833" s="3">
        <v>7905.09</v>
      </c>
      <c r="H1833" s="3">
        <f>Table1[[#This Row],[Sale]]-Table1[[#This Row],[Cost]]</f>
        <v>1976.2700000000004</v>
      </c>
      <c r="I1833" s="4">
        <f>Table1[[#This Row],[Profit]]/Table1[[#This Row],[Sale]]</f>
        <v>0.24999968374806616</v>
      </c>
      <c r="J1833" s="5">
        <f t="shared" si="56"/>
        <v>2006</v>
      </c>
      <c r="K1833" s="5">
        <f>MONTH(Table1[[#This Row],[Date]])</f>
        <v>4</v>
      </c>
      <c r="L1833" s="5">
        <f>DAY(Table1[[#This Row],[Date]])</f>
        <v>12</v>
      </c>
      <c r="M1833" s="5" t="str">
        <f t="shared" si="57"/>
        <v>Apr</v>
      </c>
    </row>
    <row r="1834" spans="1:13" x14ac:dyDescent="0.25">
      <c r="A1834" s="2">
        <v>38799</v>
      </c>
      <c r="B1834" t="s">
        <v>15</v>
      </c>
      <c r="C1834" t="s">
        <v>27</v>
      </c>
      <c r="D1834" t="s">
        <v>19</v>
      </c>
      <c r="E1834" t="s">
        <v>25</v>
      </c>
      <c r="F1834" s="3">
        <v>3132.06</v>
      </c>
      <c r="G1834" s="3">
        <v>5694.65</v>
      </c>
      <c r="H1834" s="3">
        <f>Table1[[#This Row],[Sale]]-Table1[[#This Row],[Cost]]</f>
        <v>2562.5899999999997</v>
      </c>
      <c r="I1834" s="4">
        <f>Table1[[#This Row],[Profit]]/Table1[[#This Row],[Sale]]</f>
        <v>0.44999956099145688</v>
      </c>
      <c r="J1834" s="5">
        <f t="shared" si="56"/>
        <v>2006</v>
      </c>
      <c r="K1834" s="5">
        <f>MONTH(Table1[[#This Row],[Date]])</f>
        <v>3</v>
      </c>
      <c r="L1834" s="5">
        <f>DAY(Table1[[#This Row],[Date]])</f>
        <v>23</v>
      </c>
      <c r="M1834" s="5" t="str">
        <f t="shared" si="57"/>
        <v>Mar</v>
      </c>
    </row>
    <row r="1835" spans="1:13" x14ac:dyDescent="0.25">
      <c r="A1835" s="2">
        <v>38509</v>
      </c>
      <c r="B1835" t="s">
        <v>11</v>
      </c>
      <c r="C1835" t="s">
        <v>27</v>
      </c>
      <c r="D1835" t="s">
        <v>28</v>
      </c>
      <c r="E1835" t="s">
        <v>20</v>
      </c>
      <c r="F1835" s="3">
        <v>3305.37</v>
      </c>
      <c r="G1835" s="3">
        <v>7345.26</v>
      </c>
      <c r="H1835" s="3">
        <f>Table1[[#This Row],[Sale]]-Table1[[#This Row],[Cost]]</f>
        <v>4039.8900000000003</v>
      </c>
      <c r="I1835" s="4">
        <f>Table1[[#This Row],[Profit]]/Table1[[#This Row],[Sale]]</f>
        <v>0.54999959157334122</v>
      </c>
      <c r="J1835" s="5">
        <f t="shared" si="56"/>
        <v>2005</v>
      </c>
      <c r="K1835" s="5">
        <f>MONTH(Table1[[#This Row],[Date]])</f>
        <v>6</v>
      </c>
      <c r="L1835" s="5">
        <f>DAY(Table1[[#This Row],[Date]])</f>
        <v>6</v>
      </c>
      <c r="M1835" s="5" t="str">
        <f t="shared" si="57"/>
        <v>Jun</v>
      </c>
    </row>
    <row r="1836" spans="1:13" x14ac:dyDescent="0.25">
      <c r="A1836" s="2">
        <v>38236</v>
      </c>
      <c r="B1836" t="s">
        <v>22</v>
      </c>
      <c r="C1836" t="s">
        <v>27</v>
      </c>
      <c r="D1836" t="s">
        <v>28</v>
      </c>
      <c r="E1836" t="s">
        <v>14</v>
      </c>
      <c r="F1836" s="3">
        <v>3595.48</v>
      </c>
      <c r="G1836" s="3">
        <v>8361.59</v>
      </c>
      <c r="H1836" s="3">
        <f>Table1[[#This Row],[Sale]]-Table1[[#This Row],[Cost]]</f>
        <v>4766.1100000000006</v>
      </c>
      <c r="I1836" s="4">
        <f>Table1[[#This Row],[Profit]]/Table1[[#This Row],[Sale]]</f>
        <v>0.57000044249957249</v>
      </c>
      <c r="J1836" s="5">
        <f t="shared" si="56"/>
        <v>2004</v>
      </c>
      <c r="K1836" s="5">
        <f>MONTH(Table1[[#This Row],[Date]])</f>
        <v>9</v>
      </c>
      <c r="L1836" s="5">
        <f>DAY(Table1[[#This Row],[Date]])</f>
        <v>6</v>
      </c>
      <c r="M1836" s="5" t="str">
        <f t="shared" si="57"/>
        <v>Sep</v>
      </c>
    </row>
    <row r="1837" spans="1:13" x14ac:dyDescent="0.25">
      <c r="A1837" s="2">
        <v>38629</v>
      </c>
      <c r="B1837" t="s">
        <v>21</v>
      </c>
      <c r="C1837" t="s">
        <v>29</v>
      </c>
      <c r="D1837" t="s">
        <v>19</v>
      </c>
      <c r="E1837" t="s">
        <v>24</v>
      </c>
      <c r="F1837" s="3">
        <v>8748.7800000000007</v>
      </c>
      <c r="G1837" s="3">
        <v>9941.7900000000009</v>
      </c>
      <c r="H1837" s="3">
        <f>Table1[[#This Row],[Sale]]-Table1[[#This Row],[Cost]]</f>
        <v>1193.0100000000002</v>
      </c>
      <c r="I1837" s="4">
        <f>Table1[[#This Row],[Profit]]/Table1[[#This Row],[Sale]]</f>
        <v>0.11999951718956044</v>
      </c>
      <c r="J1837" s="5">
        <f t="shared" si="56"/>
        <v>2005</v>
      </c>
      <c r="K1837" s="5">
        <f>MONTH(Table1[[#This Row],[Date]])</f>
        <v>10</v>
      </c>
      <c r="L1837" s="5">
        <f>DAY(Table1[[#This Row],[Date]])</f>
        <v>4</v>
      </c>
      <c r="M1837" s="5" t="str">
        <f t="shared" si="57"/>
        <v>Oct</v>
      </c>
    </row>
    <row r="1838" spans="1:13" x14ac:dyDescent="0.25">
      <c r="A1838" s="2">
        <v>38743</v>
      </c>
      <c r="B1838" t="s">
        <v>22</v>
      </c>
      <c r="C1838" t="s">
        <v>12</v>
      </c>
      <c r="D1838" t="s">
        <v>28</v>
      </c>
      <c r="E1838" t="s">
        <v>25</v>
      </c>
      <c r="F1838" s="3">
        <v>1404.8</v>
      </c>
      <c r="G1838" s="3">
        <v>3121.78</v>
      </c>
      <c r="H1838" s="3">
        <f>Table1[[#This Row],[Sale]]-Table1[[#This Row],[Cost]]</f>
        <v>1716.9800000000002</v>
      </c>
      <c r="I1838" s="4">
        <f>Table1[[#This Row],[Profit]]/Table1[[#This Row],[Sale]]</f>
        <v>0.55000032033006818</v>
      </c>
      <c r="J1838" s="5">
        <f t="shared" si="56"/>
        <v>2006</v>
      </c>
      <c r="K1838" s="5">
        <f>MONTH(Table1[[#This Row],[Date]])</f>
        <v>1</v>
      </c>
      <c r="L1838" s="5">
        <f>DAY(Table1[[#This Row],[Date]])</f>
        <v>26</v>
      </c>
      <c r="M1838" s="5" t="str">
        <f t="shared" si="57"/>
        <v>Jan</v>
      </c>
    </row>
    <row r="1839" spans="1:13" x14ac:dyDescent="0.25">
      <c r="A1839" s="2">
        <v>38685</v>
      </c>
      <c r="B1839" t="s">
        <v>22</v>
      </c>
      <c r="C1839" t="s">
        <v>18</v>
      </c>
      <c r="D1839" t="s">
        <v>19</v>
      </c>
      <c r="E1839" t="s">
        <v>25</v>
      </c>
      <c r="F1839" s="3">
        <v>840.78</v>
      </c>
      <c r="G1839" s="3">
        <v>1528.69</v>
      </c>
      <c r="H1839" s="3">
        <f>Table1[[#This Row],[Sale]]-Table1[[#This Row],[Cost]]</f>
        <v>687.91000000000008</v>
      </c>
      <c r="I1839" s="4">
        <f>Table1[[#This Row],[Profit]]/Table1[[#This Row],[Sale]]</f>
        <v>0.44999967292256771</v>
      </c>
      <c r="J1839" s="5">
        <f t="shared" si="56"/>
        <v>2005</v>
      </c>
      <c r="K1839" s="5">
        <f>MONTH(Table1[[#This Row],[Date]])</f>
        <v>11</v>
      </c>
      <c r="L1839" s="5">
        <f>DAY(Table1[[#This Row],[Date]])</f>
        <v>29</v>
      </c>
      <c r="M1839" s="5" t="str">
        <f t="shared" si="57"/>
        <v>Nov</v>
      </c>
    </row>
    <row r="1840" spans="1:13" x14ac:dyDescent="0.25">
      <c r="A1840" s="2">
        <v>38826</v>
      </c>
      <c r="B1840" t="s">
        <v>21</v>
      </c>
      <c r="C1840" t="s">
        <v>27</v>
      </c>
      <c r="D1840" t="s">
        <v>13</v>
      </c>
      <c r="E1840" t="s">
        <v>14</v>
      </c>
      <c r="F1840" s="3">
        <v>1741.02</v>
      </c>
      <c r="G1840" s="3">
        <v>4048.89</v>
      </c>
      <c r="H1840" s="3">
        <f>Table1[[#This Row],[Sale]]-Table1[[#This Row],[Cost]]</f>
        <v>2307.87</v>
      </c>
      <c r="I1840" s="4">
        <f>Table1[[#This Row],[Profit]]/Table1[[#This Row],[Sale]]</f>
        <v>0.57000066684943285</v>
      </c>
      <c r="J1840" s="5">
        <f t="shared" si="56"/>
        <v>2006</v>
      </c>
      <c r="K1840" s="5">
        <f>MONTH(Table1[[#This Row],[Date]])</f>
        <v>4</v>
      </c>
      <c r="L1840" s="5">
        <f>DAY(Table1[[#This Row],[Date]])</f>
        <v>19</v>
      </c>
      <c r="M1840" s="5" t="str">
        <f t="shared" si="57"/>
        <v>Apr</v>
      </c>
    </row>
    <row r="1841" spans="1:13" x14ac:dyDescent="0.25">
      <c r="A1841" s="2">
        <v>38718</v>
      </c>
      <c r="B1841" t="s">
        <v>17</v>
      </c>
      <c r="C1841" t="s">
        <v>27</v>
      </c>
      <c r="D1841" t="s">
        <v>19</v>
      </c>
      <c r="E1841" t="s">
        <v>20</v>
      </c>
      <c r="F1841" s="3">
        <v>1251.68</v>
      </c>
      <c r="G1841" s="3">
        <v>2121.5</v>
      </c>
      <c r="H1841" s="3">
        <f>Table1[[#This Row],[Sale]]-Table1[[#This Row],[Cost]]</f>
        <v>869.81999999999994</v>
      </c>
      <c r="I1841" s="4">
        <f>Table1[[#This Row],[Profit]]/Table1[[#This Row],[Sale]]</f>
        <v>0.41000235682300257</v>
      </c>
      <c r="J1841" s="5">
        <f t="shared" si="56"/>
        <v>2006</v>
      </c>
      <c r="K1841" s="5">
        <f>MONTH(Table1[[#This Row],[Date]])</f>
        <v>1</v>
      </c>
      <c r="L1841" s="5">
        <f>DAY(Table1[[#This Row],[Date]])</f>
        <v>1</v>
      </c>
      <c r="M1841" s="5" t="str">
        <f t="shared" si="57"/>
        <v>Jan</v>
      </c>
    </row>
    <row r="1842" spans="1:13" x14ac:dyDescent="0.25">
      <c r="A1842" s="2">
        <v>38501</v>
      </c>
      <c r="B1842" t="s">
        <v>11</v>
      </c>
      <c r="C1842" t="s">
        <v>12</v>
      </c>
      <c r="D1842" t="s">
        <v>13</v>
      </c>
      <c r="E1842" t="s">
        <v>14</v>
      </c>
      <c r="F1842" s="3">
        <v>2669.89</v>
      </c>
      <c r="G1842" s="3">
        <v>4854.34</v>
      </c>
      <c r="H1842" s="3">
        <f>Table1[[#This Row],[Sale]]-Table1[[#This Row],[Cost]]</f>
        <v>2184.4500000000003</v>
      </c>
      <c r="I1842" s="4">
        <f>Table1[[#This Row],[Profit]]/Table1[[#This Row],[Sale]]</f>
        <v>0.44999938199631673</v>
      </c>
      <c r="J1842" s="5">
        <f t="shared" si="56"/>
        <v>2005</v>
      </c>
      <c r="K1842" s="5">
        <f>MONTH(Table1[[#This Row],[Date]])</f>
        <v>5</v>
      </c>
      <c r="L1842" s="5">
        <f>DAY(Table1[[#This Row],[Date]])</f>
        <v>29</v>
      </c>
      <c r="M1842" s="5" t="str">
        <f t="shared" si="57"/>
        <v>May</v>
      </c>
    </row>
    <row r="1843" spans="1:13" x14ac:dyDescent="0.25">
      <c r="A1843" s="2">
        <v>38547</v>
      </c>
      <c r="B1843" t="s">
        <v>21</v>
      </c>
      <c r="C1843" t="s">
        <v>18</v>
      </c>
      <c r="D1843" t="s">
        <v>13</v>
      </c>
      <c r="E1843" t="s">
        <v>25</v>
      </c>
      <c r="F1843" s="3">
        <v>7702.47</v>
      </c>
      <c r="G1843" s="3">
        <v>8237.94</v>
      </c>
      <c r="H1843" s="3">
        <f>Table1[[#This Row],[Sale]]-Table1[[#This Row],[Cost]]</f>
        <v>535.47000000000025</v>
      </c>
      <c r="I1843" s="4">
        <f>Table1[[#This Row],[Profit]]/Table1[[#This Row],[Sale]]</f>
        <v>6.500047341932573E-2</v>
      </c>
      <c r="J1843" s="5">
        <f t="shared" si="56"/>
        <v>2005</v>
      </c>
      <c r="K1843" s="5">
        <f>MONTH(Table1[[#This Row],[Date]])</f>
        <v>7</v>
      </c>
      <c r="L1843" s="5">
        <f>DAY(Table1[[#This Row],[Date]])</f>
        <v>14</v>
      </c>
      <c r="M1843" s="5" t="str">
        <f t="shared" si="57"/>
        <v>Jul</v>
      </c>
    </row>
    <row r="1844" spans="1:13" x14ac:dyDescent="0.25">
      <c r="A1844" s="2">
        <v>38407</v>
      </c>
      <c r="B1844" t="s">
        <v>22</v>
      </c>
      <c r="C1844" t="s">
        <v>12</v>
      </c>
      <c r="D1844" t="s">
        <v>16</v>
      </c>
      <c r="E1844" t="s">
        <v>25</v>
      </c>
      <c r="F1844" s="3">
        <v>1958.97</v>
      </c>
      <c r="G1844" s="3">
        <v>3377.53</v>
      </c>
      <c r="H1844" s="3">
        <f>Table1[[#This Row],[Sale]]-Table1[[#This Row],[Cost]]</f>
        <v>1418.5600000000002</v>
      </c>
      <c r="I1844" s="4">
        <f>Table1[[#This Row],[Profit]]/Table1[[#This Row],[Sale]]</f>
        <v>0.41999923020668956</v>
      </c>
      <c r="J1844" s="5">
        <f t="shared" si="56"/>
        <v>2005</v>
      </c>
      <c r="K1844" s="5">
        <f>MONTH(Table1[[#This Row],[Date]])</f>
        <v>2</v>
      </c>
      <c r="L1844" s="5">
        <f>DAY(Table1[[#This Row],[Date]])</f>
        <v>24</v>
      </c>
      <c r="M1844" s="5" t="str">
        <f t="shared" si="57"/>
        <v>Feb</v>
      </c>
    </row>
    <row r="1845" spans="1:13" x14ac:dyDescent="0.25">
      <c r="A1845" s="2">
        <v>38633</v>
      </c>
      <c r="B1845" t="s">
        <v>21</v>
      </c>
      <c r="C1845" t="s">
        <v>18</v>
      </c>
      <c r="D1845" t="s">
        <v>13</v>
      </c>
      <c r="E1845" t="s">
        <v>25</v>
      </c>
      <c r="F1845" s="3">
        <v>6220.44</v>
      </c>
      <c r="G1845" s="3">
        <v>6652.88</v>
      </c>
      <c r="H1845" s="3">
        <f>Table1[[#This Row],[Sale]]-Table1[[#This Row],[Cost]]</f>
        <v>432.44000000000051</v>
      </c>
      <c r="I1845" s="4">
        <f>Table1[[#This Row],[Profit]]/Table1[[#This Row],[Sale]]</f>
        <v>6.5000420870359982E-2</v>
      </c>
      <c r="J1845" s="5">
        <f t="shared" si="56"/>
        <v>2005</v>
      </c>
      <c r="K1845" s="5">
        <f>MONTH(Table1[[#This Row],[Date]])</f>
        <v>10</v>
      </c>
      <c r="L1845" s="5">
        <f>DAY(Table1[[#This Row],[Date]])</f>
        <v>8</v>
      </c>
      <c r="M1845" s="5" t="str">
        <f t="shared" si="57"/>
        <v>Oct</v>
      </c>
    </row>
    <row r="1846" spans="1:13" x14ac:dyDescent="0.25">
      <c r="A1846" s="2">
        <v>38560</v>
      </c>
      <c r="B1846" t="s">
        <v>15</v>
      </c>
      <c r="C1846" t="s">
        <v>29</v>
      </c>
      <c r="D1846" t="s">
        <v>13</v>
      </c>
      <c r="E1846" t="s">
        <v>24</v>
      </c>
      <c r="F1846" s="3">
        <v>2690.7</v>
      </c>
      <c r="G1846" s="3">
        <v>7272.17</v>
      </c>
      <c r="H1846" s="3">
        <f>Table1[[#This Row],[Sale]]-Table1[[#This Row],[Cost]]</f>
        <v>4581.47</v>
      </c>
      <c r="I1846" s="4">
        <f>Table1[[#This Row],[Profit]]/Table1[[#This Row],[Sale]]</f>
        <v>0.63000039878055658</v>
      </c>
      <c r="J1846" s="5">
        <f t="shared" si="56"/>
        <v>2005</v>
      </c>
      <c r="K1846" s="5">
        <f>MONTH(Table1[[#This Row],[Date]])</f>
        <v>7</v>
      </c>
      <c r="L1846" s="5">
        <f>DAY(Table1[[#This Row],[Date]])</f>
        <v>27</v>
      </c>
      <c r="M1846" s="5" t="str">
        <f t="shared" si="57"/>
        <v>Jul</v>
      </c>
    </row>
    <row r="1847" spans="1:13" x14ac:dyDescent="0.25">
      <c r="A1847" s="2">
        <v>38158</v>
      </c>
      <c r="B1847" t="s">
        <v>17</v>
      </c>
      <c r="C1847" t="s">
        <v>23</v>
      </c>
      <c r="D1847" t="s">
        <v>13</v>
      </c>
      <c r="E1847" t="s">
        <v>25</v>
      </c>
      <c r="F1847" s="3">
        <v>4481.37</v>
      </c>
      <c r="G1847" s="3">
        <v>7595.54</v>
      </c>
      <c r="H1847" s="3">
        <f>Table1[[#This Row],[Sale]]-Table1[[#This Row],[Cost]]</f>
        <v>3114.17</v>
      </c>
      <c r="I1847" s="4">
        <f>Table1[[#This Row],[Profit]]/Table1[[#This Row],[Sale]]</f>
        <v>0.40999981568130772</v>
      </c>
      <c r="J1847" s="5">
        <f t="shared" si="56"/>
        <v>2004</v>
      </c>
      <c r="K1847" s="5">
        <f>MONTH(Table1[[#This Row],[Date]])</f>
        <v>6</v>
      </c>
      <c r="L1847" s="5">
        <f>DAY(Table1[[#This Row],[Date]])</f>
        <v>20</v>
      </c>
      <c r="M1847" s="5" t="str">
        <f t="shared" si="57"/>
        <v>Jun</v>
      </c>
    </row>
    <row r="1848" spans="1:13" x14ac:dyDescent="0.25">
      <c r="A1848" s="2">
        <v>38339</v>
      </c>
      <c r="B1848" t="s">
        <v>26</v>
      </c>
      <c r="C1848" t="s">
        <v>18</v>
      </c>
      <c r="D1848" t="s">
        <v>19</v>
      </c>
      <c r="E1848" t="s">
        <v>14</v>
      </c>
      <c r="F1848" s="3">
        <v>758.19</v>
      </c>
      <c r="G1848" s="3">
        <v>1763.23</v>
      </c>
      <c r="H1848" s="3">
        <f>Table1[[#This Row],[Sale]]-Table1[[#This Row],[Cost]]</f>
        <v>1005.04</v>
      </c>
      <c r="I1848" s="4">
        <f>Table1[[#This Row],[Profit]]/Table1[[#This Row],[Sale]]</f>
        <v>0.5699993761449158</v>
      </c>
      <c r="J1848" s="5">
        <f t="shared" si="56"/>
        <v>2004</v>
      </c>
      <c r="K1848" s="5">
        <f>MONTH(Table1[[#This Row],[Date]])</f>
        <v>12</v>
      </c>
      <c r="L1848" s="5">
        <f>DAY(Table1[[#This Row],[Date]])</f>
        <v>18</v>
      </c>
      <c r="M1848" s="5" t="str">
        <f t="shared" si="57"/>
        <v>Dec</v>
      </c>
    </row>
    <row r="1849" spans="1:13" x14ac:dyDescent="0.25">
      <c r="A1849" s="2">
        <v>38557</v>
      </c>
      <c r="B1849" t="s">
        <v>21</v>
      </c>
      <c r="C1849" t="s">
        <v>23</v>
      </c>
      <c r="D1849" t="s">
        <v>19</v>
      </c>
      <c r="E1849" t="s">
        <v>24</v>
      </c>
      <c r="F1849" s="3">
        <v>3234.28</v>
      </c>
      <c r="G1849" s="3">
        <v>8741.2999999999993</v>
      </c>
      <c r="H1849" s="3">
        <f>Table1[[#This Row],[Sale]]-Table1[[#This Row],[Cost]]</f>
        <v>5507.0199999999986</v>
      </c>
      <c r="I1849" s="4">
        <f>Table1[[#This Row],[Profit]]/Table1[[#This Row],[Sale]]</f>
        <v>0.63000011439945991</v>
      </c>
      <c r="J1849" s="5">
        <f t="shared" si="56"/>
        <v>2005</v>
      </c>
      <c r="K1849" s="5">
        <f>MONTH(Table1[[#This Row],[Date]])</f>
        <v>7</v>
      </c>
      <c r="L1849" s="5">
        <f>DAY(Table1[[#This Row],[Date]])</f>
        <v>24</v>
      </c>
      <c r="M1849" s="5" t="str">
        <f t="shared" si="57"/>
        <v>Jul</v>
      </c>
    </row>
    <row r="1850" spans="1:13" x14ac:dyDescent="0.25">
      <c r="A1850" s="2">
        <v>38198</v>
      </c>
      <c r="B1850" t="s">
        <v>15</v>
      </c>
      <c r="C1850" t="s">
        <v>23</v>
      </c>
      <c r="D1850" t="s">
        <v>16</v>
      </c>
      <c r="E1850" t="s">
        <v>14</v>
      </c>
      <c r="F1850" s="3">
        <v>816.15</v>
      </c>
      <c r="G1850" s="3">
        <v>872.89</v>
      </c>
      <c r="H1850" s="3">
        <f>Table1[[#This Row],[Sale]]-Table1[[#This Row],[Cost]]</f>
        <v>56.740000000000009</v>
      </c>
      <c r="I1850" s="4">
        <f>Table1[[#This Row],[Profit]]/Table1[[#This Row],[Sale]]</f>
        <v>6.5002463082404441E-2</v>
      </c>
      <c r="J1850" s="5">
        <f t="shared" si="56"/>
        <v>2004</v>
      </c>
      <c r="K1850" s="5">
        <f>MONTH(Table1[[#This Row],[Date]])</f>
        <v>7</v>
      </c>
      <c r="L1850" s="5">
        <f>DAY(Table1[[#This Row],[Date]])</f>
        <v>30</v>
      </c>
      <c r="M1850" s="5" t="str">
        <f t="shared" si="57"/>
        <v>Jul</v>
      </c>
    </row>
    <row r="1851" spans="1:13" x14ac:dyDescent="0.25">
      <c r="A1851" s="2">
        <v>38849</v>
      </c>
      <c r="B1851" t="s">
        <v>26</v>
      </c>
      <c r="C1851" t="s">
        <v>27</v>
      </c>
      <c r="D1851" t="s">
        <v>16</v>
      </c>
      <c r="E1851" t="s">
        <v>24</v>
      </c>
      <c r="F1851" s="3">
        <v>4596.96</v>
      </c>
      <c r="G1851" s="3">
        <v>8358.1</v>
      </c>
      <c r="H1851" s="3">
        <f>Table1[[#This Row],[Sale]]-Table1[[#This Row],[Cost]]</f>
        <v>3761.1400000000003</v>
      </c>
      <c r="I1851" s="4">
        <f>Table1[[#This Row],[Profit]]/Table1[[#This Row],[Sale]]</f>
        <v>0.44999940177791603</v>
      </c>
      <c r="J1851" s="5">
        <f t="shared" si="56"/>
        <v>2006</v>
      </c>
      <c r="K1851" s="5">
        <f>MONTH(Table1[[#This Row],[Date]])</f>
        <v>5</v>
      </c>
      <c r="L1851" s="5">
        <f>DAY(Table1[[#This Row],[Date]])</f>
        <v>12</v>
      </c>
      <c r="M1851" s="5" t="str">
        <f t="shared" si="57"/>
        <v>May</v>
      </c>
    </row>
    <row r="1852" spans="1:13" x14ac:dyDescent="0.25">
      <c r="A1852" s="2">
        <v>38242</v>
      </c>
      <c r="B1852" t="s">
        <v>26</v>
      </c>
      <c r="C1852" t="s">
        <v>12</v>
      </c>
      <c r="D1852" t="s">
        <v>13</v>
      </c>
      <c r="E1852" t="s">
        <v>25</v>
      </c>
      <c r="F1852" s="3">
        <v>1454.76</v>
      </c>
      <c r="G1852" s="3">
        <v>1939.68</v>
      </c>
      <c r="H1852" s="3">
        <f>Table1[[#This Row],[Sale]]-Table1[[#This Row],[Cost]]</f>
        <v>484.92000000000007</v>
      </c>
      <c r="I1852" s="4">
        <f>Table1[[#This Row],[Profit]]/Table1[[#This Row],[Sale]]</f>
        <v>0.25000000000000006</v>
      </c>
      <c r="J1852" s="5">
        <f t="shared" si="56"/>
        <v>2004</v>
      </c>
      <c r="K1852" s="5">
        <f>MONTH(Table1[[#This Row],[Date]])</f>
        <v>9</v>
      </c>
      <c r="L1852" s="5">
        <f>DAY(Table1[[#This Row],[Date]])</f>
        <v>12</v>
      </c>
      <c r="M1852" s="5" t="str">
        <f t="shared" si="57"/>
        <v>Sep</v>
      </c>
    </row>
    <row r="1853" spans="1:13" x14ac:dyDescent="0.25">
      <c r="A1853" s="2">
        <v>38640</v>
      </c>
      <c r="B1853" t="s">
        <v>17</v>
      </c>
      <c r="C1853" t="s">
        <v>29</v>
      </c>
      <c r="D1853" t="s">
        <v>19</v>
      </c>
      <c r="E1853" t="s">
        <v>24</v>
      </c>
      <c r="F1853" s="3">
        <v>321.41000000000003</v>
      </c>
      <c r="G1853" s="3">
        <v>584.38</v>
      </c>
      <c r="H1853" s="3">
        <f>Table1[[#This Row],[Sale]]-Table1[[#This Row],[Cost]]</f>
        <v>262.96999999999997</v>
      </c>
      <c r="I1853" s="4">
        <f>Table1[[#This Row],[Profit]]/Table1[[#This Row],[Sale]]</f>
        <v>0.44999828878469483</v>
      </c>
      <c r="J1853" s="5">
        <f t="shared" si="56"/>
        <v>2005</v>
      </c>
      <c r="K1853" s="5">
        <f>MONTH(Table1[[#This Row],[Date]])</f>
        <v>10</v>
      </c>
      <c r="L1853" s="5">
        <f>DAY(Table1[[#This Row],[Date]])</f>
        <v>15</v>
      </c>
      <c r="M1853" s="5" t="str">
        <f t="shared" si="57"/>
        <v>Oct</v>
      </c>
    </row>
    <row r="1854" spans="1:13" x14ac:dyDescent="0.25">
      <c r="A1854" s="2">
        <v>38874</v>
      </c>
      <c r="B1854" t="s">
        <v>15</v>
      </c>
      <c r="C1854" t="s">
        <v>18</v>
      </c>
      <c r="D1854" t="s">
        <v>16</v>
      </c>
      <c r="E1854" t="s">
        <v>25</v>
      </c>
      <c r="F1854" s="3">
        <v>1701.54</v>
      </c>
      <c r="G1854" s="3">
        <v>2883.97</v>
      </c>
      <c r="H1854" s="3">
        <f>Table1[[#This Row],[Sale]]-Table1[[#This Row],[Cost]]</f>
        <v>1182.4299999999998</v>
      </c>
      <c r="I1854" s="4">
        <f>Table1[[#This Row],[Profit]]/Table1[[#This Row],[Sale]]</f>
        <v>0.41000079751176327</v>
      </c>
      <c r="J1854" s="5">
        <f t="shared" si="56"/>
        <v>2006</v>
      </c>
      <c r="K1854" s="5">
        <f>MONTH(Table1[[#This Row],[Date]])</f>
        <v>6</v>
      </c>
      <c r="L1854" s="5">
        <f>DAY(Table1[[#This Row],[Date]])</f>
        <v>6</v>
      </c>
      <c r="M1854" s="5" t="str">
        <f t="shared" si="57"/>
        <v>Jun</v>
      </c>
    </row>
    <row r="1855" spans="1:13" x14ac:dyDescent="0.25">
      <c r="A1855" s="2">
        <v>38193</v>
      </c>
      <c r="B1855" t="s">
        <v>17</v>
      </c>
      <c r="C1855" t="s">
        <v>23</v>
      </c>
      <c r="D1855" t="s">
        <v>28</v>
      </c>
      <c r="E1855" t="s">
        <v>20</v>
      </c>
      <c r="F1855" s="3">
        <v>7400.68</v>
      </c>
      <c r="G1855" s="3">
        <v>9867.57</v>
      </c>
      <c r="H1855" s="3">
        <f>Table1[[#This Row],[Sale]]-Table1[[#This Row],[Cost]]</f>
        <v>2466.8899999999994</v>
      </c>
      <c r="I1855" s="4">
        <f>Table1[[#This Row],[Profit]]/Table1[[#This Row],[Sale]]</f>
        <v>0.24999974664481728</v>
      </c>
      <c r="J1855" s="5">
        <f t="shared" si="56"/>
        <v>2004</v>
      </c>
      <c r="K1855" s="5">
        <f>MONTH(Table1[[#This Row],[Date]])</f>
        <v>7</v>
      </c>
      <c r="L1855" s="5">
        <f>DAY(Table1[[#This Row],[Date]])</f>
        <v>25</v>
      </c>
      <c r="M1855" s="5" t="str">
        <f t="shared" si="57"/>
        <v>Jul</v>
      </c>
    </row>
    <row r="1856" spans="1:13" x14ac:dyDescent="0.25">
      <c r="A1856" s="2">
        <v>38551</v>
      </c>
      <c r="B1856" t="s">
        <v>15</v>
      </c>
      <c r="C1856" t="s">
        <v>29</v>
      </c>
      <c r="D1856" t="s">
        <v>13</v>
      </c>
      <c r="E1856" t="s">
        <v>24</v>
      </c>
      <c r="F1856" s="3">
        <v>4445.83</v>
      </c>
      <c r="G1856" s="3">
        <v>7665.23</v>
      </c>
      <c r="H1856" s="3">
        <f>Table1[[#This Row],[Sale]]-Table1[[#This Row],[Cost]]</f>
        <v>3219.3999999999996</v>
      </c>
      <c r="I1856" s="4">
        <f>Table1[[#This Row],[Profit]]/Table1[[#This Row],[Sale]]</f>
        <v>0.42000044356138039</v>
      </c>
      <c r="J1856" s="5">
        <f t="shared" si="56"/>
        <v>2005</v>
      </c>
      <c r="K1856" s="5">
        <f>MONTH(Table1[[#This Row],[Date]])</f>
        <v>7</v>
      </c>
      <c r="L1856" s="5">
        <f>DAY(Table1[[#This Row],[Date]])</f>
        <v>18</v>
      </c>
      <c r="M1856" s="5" t="str">
        <f t="shared" si="57"/>
        <v>Jul</v>
      </c>
    </row>
    <row r="1857" spans="1:13" x14ac:dyDescent="0.25">
      <c r="A1857" s="2">
        <v>38752</v>
      </c>
      <c r="B1857" t="s">
        <v>22</v>
      </c>
      <c r="C1857" t="s">
        <v>23</v>
      </c>
      <c r="D1857" t="s">
        <v>16</v>
      </c>
      <c r="E1857" t="s">
        <v>20</v>
      </c>
      <c r="F1857" s="3">
        <v>1142.98</v>
      </c>
      <c r="G1857" s="3">
        <v>2658.1</v>
      </c>
      <c r="H1857" s="3">
        <f>Table1[[#This Row],[Sale]]-Table1[[#This Row],[Cost]]</f>
        <v>1515.12</v>
      </c>
      <c r="I1857" s="4">
        <f>Table1[[#This Row],[Profit]]/Table1[[#This Row],[Sale]]</f>
        <v>0.57000112862571006</v>
      </c>
      <c r="J1857" s="5">
        <f t="shared" si="56"/>
        <v>2006</v>
      </c>
      <c r="K1857" s="5">
        <f>MONTH(Table1[[#This Row],[Date]])</f>
        <v>2</v>
      </c>
      <c r="L1857" s="5">
        <f>DAY(Table1[[#This Row],[Date]])</f>
        <v>4</v>
      </c>
      <c r="M1857" s="5" t="str">
        <f t="shared" si="57"/>
        <v>Feb</v>
      </c>
    </row>
    <row r="1858" spans="1:13" x14ac:dyDescent="0.25">
      <c r="A1858" s="2">
        <v>38804</v>
      </c>
      <c r="B1858" t="s">
        <v>21</v>
      </c>
      <c r="C1858" t="s">
        <v>18</v>
      </c>
      <c r="D1858" t="s">
        <v>19</v>
      </c>
      <c r="E1858" t="s">
        <v>25</v>
      </c>
      <c r="F1858" s="3">
        <v>6103.36</v>
      </c>
      <c r="G1858" s="3">
        <v>6935.64</v>
      </c>
      <c r="H1858" s="3">
        <f>Table1[[#This Row],[Sale]]-Table1[[#This Row],[Cost]]</f>
        <v>832.28000000000065</v>
      </c>
      <c r="I1858" s="4">
        <f>Table1[[#This Row],[Profit]]/Table1[[#This Row],[Sale]]</f>
        <v>0.1200004613849624</v>
      </c>
      <c r="J1858" s="5">
        <f t="shared" ref="J1858:J1921" si="58">YEAR(A:A)</f>
        <v>2006</v>
      </c>
      <c r="K1858" s="5">
        <f>MONTH(Table1[[#This Row],[Date]])</f>
        <v>3</v>
      </c>
      <c r="L1858" s="5">
        <f>DAY(Table1[[#This Row],[Date]])</f>
        <v>28</v>
      </c>
      <c r="M1858" s="5" t="str">
        <f t="shared" ref="M1858:M1921" si="59">CHOOSE(K1858,"Jan", "Feb", "Mar", "Apr", "May", "Jun", "Jul", "Aug", "Sep", "Oct", "Nov", "Dec")</f>
        <v>Mar</v>
      </c>
    </row>
    <row r="1859" spans="1:13" x14ac:dyDescent="0.25">
      <c r="A1859" s="2">
        <v>38178</v>
      </c>
      <c r="B1859" t="s">
        <v>21</v>
      </c>
      <c r="C1859" t="s">
        <v>12</v>
      </c>
      <c r="D1859" t="s">
        <v>16</v>
      </c>
      <c r="E1859" t="s">
        <v>24</v>
      </c>
      <c r="F1859" s="3">
        <v>1904.67</v>
      </c>
      <c r="G1859" s="3">
        <v>3228.26</v>
      </c>
      <c r="H1859" s="3">
        <f>Table1[[#This Row],[Sale]]-Table1[[#This Row],[Cost]]</f>
        <v>1323.5900000000001</v>
      </c>
      <c r="I1859" s="4">
        <f>Table1[[#This Row],[Profit]]/Table1[[#This Row],[Sale]]</f>
        <v>0.41000105319893693</v>
      </c>
      <c r="J1859" s="5">
        <f t="shared" si="58"/>
        <v>2004</v>
      </c>
      <c r="K1859" s="5">
        <f>MONTH(Table1[[#This Row],[Date]])</f>
        <v>7</v>
      </c>
      <c r="L1859" s="5">
        <f>DAY(Table1[[#This Row],[Date]])</f>
        <v>10</v>
      </c>
      <c r="M1859" s="5" t="str">
        <f t="shared" si="59"/>
        <v>Jul</v>
      </c>
    </row>
    <row r="1860" spans="1:13" x14ac:dyDescent="0.25">
      <c r="A1860" s="2">
        <v>38693</v>
      </c>
      <c r="B1860" t="s">
        <v>21</v>
      </c>
      <c r="C1860" t="s">
        <v>23</v>
      </c>
      <c r="D1860" t="s">
        <v>28</v>
      </c>
      <c r="E1860" t="s">
        <v>20</v>
      </c>
      <c r="F1860" s="3">
        <v>5858.1</v>
      </c>
      <c r="G1860" s="3">
        <v>9928.99</v>
      </c>
      <c r="H1860" s="3">
        <f>Table1[[#This Row],[Sale]]-Table1[[#This Row],[Cost]]</f>
        <v>4070.8899999999994</v>
      </c>
      <c r="I1860" s="4">
        <f>Table1[[#This Row],[Profit]]/Table1[[#This Row],[Sale]]</f>
        <v>0.41000041293223172</v>
      </c>
      <c r="J1860" s="5">
        <f t="shared" si="58"/>
        <v>2005</v>
      </c>
      <c r="K1860" s="5">
        <f>MONTH(Table1[[#This Row],[Date]])</f>
        <v>12</v>
      </c>
      <c r="L1860" s="5">
        <f>DAY(Table1[[#This Row],[Date]])</f>
        <v>7</v>
      </c>
      <c r="M1860" s="5" t="str">
        <f t="shared" si="59"/>
        <v>Dec</v>
      </c>
    </row>
    <row r="1861" spans="1:13" x14ac:dyDescent="0.25">
      <c r="A1861" s="2">
        <v>38222</v>
      </c>
      <c r="B1861" t="s">
        <v>21</v>
      </c>
      <c r="C1861" t="s">
        <v>27</v>
      </c>
      <c r="D1861" t="s">
        <v>16</v>
      </c>
      <c r="E1861" t="s">
        <v>24</v>
      </c>
      <c r="F1861" s="3">
        <v>969.23</v>
      </c>
      <c r="G1861" s="3">
        <v>1762.24</v>
      </c>
      <c r="H1861" s="3">
        <f>Table1[[#This Row],[Sale]]-Table1[[#This Row],[Cost]]</f>
        <v>793.01</v>
      </c>
      <c r="I1861" s="4">
        <f>Table1[[#This Row],[Profit]]/Table1[[#This Row],[Sale]]</f>
        <v>0.45000113491919375</v>
      </c>
      <c r="J1861" s="5">
        <f t="shared" si="58"/>
        <v>2004</v>
      </c>
      <c r="K1861" s="5">
        <f>MONTH(Table1[[#This Row],[Date]])</f>
        <v>8</v>
      </c>
      <c r="L1861" s="5">
        <f>DAY(Table1[[#This Row],[Date]])</f>
        <v>23</v>
      </c>
      <c r="M1861" s="5" t="str">
        <f t="shared" si="59"/>
        <v>Aug</v>
      </c>
    </row>
    <row r="1862" spans="1:13" x14ac:dyDescent="0.25">
      <c r="A1862" s="2">
        <v>38646</v>
      </c>
      <c r="B1862" t="s">
        <v>22</v>
      </c>
      <c r="C1862" t="s">
        <v>29</v>
      </c>
      <c r="D1862" t="s">
        <v>28</v>
      </c>
      <c r="E1862" t="s">
        <v>24</v>
      </c>
      <c r="F1862" s="3">
        <v>8597.4599999999991</v>
      </c>
      <c r="G1862" s="3">
        <v>9195.14</v>
      </c>
      <c r="H1862" s="3">
        <f>Table1[[#This Row],[Sale]]-Table1[[#This Row],[Cost]]</f>
        <v>597.68000000000029</v>
      </c>
      <c r="I1862" s="4">
        <f>Table1[[#This Row],[Profit]]/Table1[[#This Row],[Sale]]</f>
        <v>6.4999554112281088E-2</v>
      </c>
      <c r="J1862" s="5">
        <f t="shared" si="58"/>
        <v>2005</v>
      </c>
      <c r="K1862" s="5">
        <f>MONTH(Table1[[#This Row],[Date]])</f>
        <v>10</v>
      </c>
      <c r="L1862" s="5">
        <f>DAY(Table1[[#This Row],[Date]])</f>
        <v>21</v>
      </c>
      <c r="M1862" s="5" t="str">
        <f t="shared" si="59"/>
        <v>Oct</v>
      </c>
    </row>
    <row r="1863" spans="1:13" x14ac:dyDescent="0.25">
      <c r="A1863" s="2">
        <v>38837</v>
      </c>
      <c r="B1863" t="s">
        <v>11</v>
      </c>
      <c r="C1863" t="s">
        <v>29</v>
      </c>
      <c r="D1863" t="s">
        <v>13</v>
      </c>
      <c r="E1863" t="s">
        <v>14</v>
      </c>
      <c r="F1863" s="3">
        <v>2796.4</v>
      </c>
      <c r="G1863" s="3">
        <v>3177.73</v>
      </c>
      <c r="H1863" s="3">
        <f>Table1[[#This Row],[Sale]]-Table1[[#This Row],[Cost]]</f>
        <v>381.32999999999993</v>
      </c>
      <c r="I1863" s="4">
        <f>Table1[[#This Row],[Profit]]/Table1[[#This Row],[Sale]]</f>
        <v>0.12000075525611047</v>
      </c>
      <c r="J1863" s="5">
        <f t="shared" si="58"/>
        <v>2006</v>
      </c>
      <c r="K1863" s="5">
        <f>MONTH(Table1[[#This Row],[Date]])</f>
        <v>4</v>
      </c>
      <c r="L1863" s="5">
        <f>DAY(Table1[[#This Row],[Date]])</f>
        <v>30</v>
      </c>
      <c r="M1863" s="5" t="str">
        <f t="shared" si="59"/>
        <v>Apr</v>
      </c>
    </row>
    <row r="1864" spans="1:13" x14ac:dyDescent="0.25">
      <c r="A1864" s="2">
        <v>38563</v>
      </c>
      <c r="B1864" t="s">
        <v>17</v>
      </c>
      <c r="C1864" t="s">
        <v>29</v>
      </c>
      <c r="D1864" t="s">
        <v>16</v>
      </c>
      <c r="E1864" t="s">
        <v>24</v>
      </c>
      <c r="F1864" s="3">
        <v>1054.81</v>
      </c>
      <c r="G1864" s="3">
        <v>1787.81</v>
      </c>
      <c r="H1864" s="3">
        <f>Table1[[#This Row],[Sale]]-Table1[[#This Row],[Cost]]</f>
        <v>733</v>
      </c>
      <c r="I1864" s="4">
        <f>Table1[[#This Row],[Profit]]/Table1[[#This Row],[Sale]]</f>
        <v>0.40999882537853577</v>
      </c>
      <c r="J1864" s="5">
        <f t="shared" si="58"/>
        <v>2005</v>
      </c>
      <c r="K1864" s="5">
        <f>MONTH(Table1[[#This Row],[Date]])</f>
        <v>7</v>
      </c>
      <c r="L1864" s="5">
        <f>DAY(Table1[[#This Row],[Date]])</f>
        <v>30</v>
      </c>
      <c r="M1864" s="5" t="str">
        <f t="shared" si="59"/>
        <v>Jul</v>
      </c>
    </row>
    <row r="1865" spans="1:13" x14ac:dyDescent="0.25">
      <c r="A1865" s="2">
        <v>38349</v>
      </c>
      <c r="B1865" t="s">
        <v>11</v>
      </c>
      <c r="C1865" t="s">
        <v>12</v>
      </c>
      <c r="D1865" t="s">
        <v>28</v>
      </c>
      <c r="E1865" t="s">
        <v>24</v>
      </c>
      <c r="F1865" s="3">
        <v>3621.75</v>
      </c>
      <c r="G1865" s="3">
        <v>9788.51</v>
      </c>
      <c r="H1865" s="3">
        <f>Table1[[#This Row],[Sale]]-Table1[[#This Row],[Cost]]</f>
        <v>6166.76</v>
      </c>
      <c r="I1865" s="4">
        <f>Table1[[#This Row],[Profit]]/Table1[[#This Row],[Sale]]</f>
        <v>0.62999986719122725</v>
      </c>
      <c r="J1865" s="5">
        <f t="shared" si="58"/>
        <v>2004</v>
      </c>
      <c r="K1865" s="5">
        <f>MONTH(Table1[[#This Row],[Date]])</f>
        <v>12</v>
      </c>
      <c r="L1865" s="5">
        <f>DAY(Table1[[#This Row],[Date]])</f>
        <v>28</v>
      </c>
      <c r="M1865" s="5" t="str">
        <f t="shared" si="59"/>
        <v>Dec</v>
      </c>
    </row>
    <row r="1866" spans="1:13" x14ac:dyDescent="0.25">
      <c r="A1866" s="2">
        <v>38298</v>
      </c>
      <c r="B1866" t="s">
        <v>26</v>
      </c>
      <c r="C1866" t="s">
        <v>12</v>
      </c>
      <c r="D1866" t="s">
        <v>16</v>
      </c>
      <c r="E1866" t="s">
        <v>14</v>
      </c>
      <c r="F1866" s="3">
        <v>3407.48</v>
      </c>
      <c r="G1866" s="3">
        <v>6195.41</v>
      </c>
      <c r="H1866" s="3">
        <f>Table1[[#This Row],[Sale]]-Table1[[#This Row],[Cost]]</f>
        <v>2787.93</v>
      </c>
      <c r="I1866" s="4">
        <f>Table1[[#This Row],[Profit]]/Table1[[#This Row],[Sale]]</f>
        <v>0.44999927365581938</v>
      </c>
      <c r="J1866" s="5">
        <f t="shared" si="58"/>
        <v>2004</v>
      </c>
      <c r="K1866" s="5">
        <f>MONTH(Table1[[#This Row],[Date]])</f>
        <v>11</v>
      </c>
      <c r="L1866" s="5">
        <f>DAY(Table1[[#This Row],[Date]])</f>
        <v>7</v>
      </c>
      <c r="M1866" s="5" t="str">
        <f t="shared" si="59"/>
        <v>Nov</v>
      </c>
    </row>
    <row r="1867" spans="1:13" x14ac:dyDescent="0.25">
      <c r="A1867" s="2">
        <v>38811</v>
      </c>
      <c r="B1867" t="s">
        <v>21</v>
      </c>
      <c r="C1867" t="s">
        <v>27</v>
      </c>
      <c r="D1867" t="s">
        <v>16</v>
      </c>
      <c r="E1867" t="s">
        <v>24</v>
      </c>
      <c r="F1867" s="3">
        <v>4973.3999999999996</v>
      </c>
      <c r="G1867" s="3">
        <v>9042.5499999999993</v>
      </c>
      <c r="H1867" s="3">
        <f>Table1[[#This Row],[Sale]]-Table1[[#This Row],[Cost]]</f>
        <v>4069.1499999999996</v>
      </c>
      <c r="I1867" s="4">
        <f>Table1[[#This Row],[Profit]]/Table1[[#This Row],[Sale]]</f>
        <v>0.4500002764706858</v>
      </c>
      <c r="J1867" s="5">
        <f t="shared" si="58"/>
        <v>2006</v>
      </c>
      <c r="K1867" s="5">
        <f>MONTH(Table1[[#This Row],[Date]])</f>
        <v>4</v>
      </c>
      <c r="L1867" s="5">
        <f>DAY(Table1[[#This Row],[Date]])</f>
        <v>4</v>
      </c>
      <c r="M1867" s="5" t="str">
        <f t="shared" si="59"/>
        <v>Apr</v>
      </c>
    </row>
    <row r="1868" spans="1:13" x14ac:dyDescent="0.25">
      <c r="A1868" s="2">
        <v>38706</v>
      </c>
      <c r="B1868" t="s">
        <v>17</v>
      </c>
      <c r="C1868" t="s">
        <v>27</v>
      </c>
      <c r="D1868" t="s">
        <v>16</v>
      </c>
      <c r="E1868" t="s">
        <v>20</v>
      </c>
      <c r="F1868" s="3">
        <v>653.47</v>
      </c>
      <c r="G1868" s="3">
        <v>1188.1300000000001</v>
      </c>
      <c r="H1868" s="3">
        <f>Table1[[#This Row],[Sale]]-Table1[[#This Row],[Cost]]</f>
        <v>534.66000000000008</v>
      </c>
      <c r="I1868" s="4">
        <f>Table1[[#This Row],[Profit]]/Table1[[#This Row],[Sale]]</f>
        <v>0.45000126248811162</v>
      </c>
      <c r="J1868" s="5">
        <f t="shared" si="58"/>
        <v>2005</v>
      </c>
      <c r="K1868" s="5">
        <f>MONTH(Table1[[#This Row],[Date]])</f>
        <v>12</v>
      </c>
      <c r="L1868" s="5">
        <f>DAY(Table1[[#This Row],[Date]])</f>
        <v>20</v>
      </c>
      <c r="M1868" s="5" t="str">
        <f t="shared" si="59"/>
        <v>Dec</v>
      </c>
    </row>
    <row r="1869" spans="1:13" x14ac:dyDescent="0.25">
      <c r="A1869" s="2">
        <v>38230</v>
      </c>
      <c r="B1869" t="s">
        <v>15</v>
      </c>
      <c r="C1869" t="s">
        <v>29</v>
      </c>
      <c r="D1869" t="s">
        <v>13</v>
      </c>
      <c r="E1869" t="s">
        <v>20</v>
      </c>
      <c r="F1869" s="3">
        <v>5802.57</v>
      </c>
      <c r="G1869" s="3">
        <v>9834.8700000000008</v>
      </c>
      <c r="H1869" s="3">
        <f>Table1[[#This Row],[Sale]]-Table1[[#This Row],[Cost]]</f>
        <v>4032.3000000000011</v>
      </c>
      <c r="I1869" s="4">
        <f>Table1[[#This Row],[Profit]]/Table1[[#This Row],[Sale]]</f>
        <v>0.41000033554078508</v>
      </c>
      <c r="J1869" s="5">
        <f t="shared" si="58"/>
        <v>2004</v>
      </c>
      <c r="K1869" s="5">
        <f>MONTH(Table1[[#This Row],[Date]])</f>
        <v>8</v>
      </c>
      <c r="L1869" s="5">
        <f>DAY(Table1[[#This Row],[Date]])</f>
        <v>31</v>
      </c>
      <c r="M1869" s="5" t="str">
        <f t="shared" si="59"/>
        <v>Aug</v>
      </c>
    </row>
    <row r="1870" spans="1:13" x14ac:dyDescent="0.25">
      <c r="A1870" s="2">
        <v>38578</v>
      </c>
      <c r="B1870" t="s">
        <v>22</v>
      </c>
      <c r="C1870" t="s">
        <v>18</v>
      </c>
      <c r="D1870" t="s">
        <v>28</v>
      </c>
      <c r="E1870" t="s">
        <v>14</v>
      </c>
      <c r="F1870" s="3">
        <v>4049.01</v>
      </c>
      <c r="G1870" s="3">
        <v>9416.31</v>
      </c>
      <c r="H1870" s="3">
        <f>Table1[[#This Row],[Sale]]-Table1[[#This Row],[Cost]]</f>
        <v>5367.2999999999993</v>
      </c>
      <c r="I1870" s="4">
        <f>Table1[[#This Row],[Profit]]/Table1[[#This Row],[Sale]]</f>
        <v>0.5700003504557517</v>
      </c>
      <c r="J1870" s="5">
        <f t="shared" si="58"/>
        <v>2005</v>
      </c>
      <c r="K1870" s="5">
        <f>MONTH(Table1[[#This Row],[Date]])</f>
        <v>8</v>
      </c>
      <c r="L1870" s="5">
        <f>DAY(Table1[[#This Row],[Date]])</f>
        <v>14</v>
      </c>
      <c r="M1870" s="5" t="str">
        <f t="shared" si="59"/>
        <v>Aug</v>
      </c>
    </row>
    <row r="1871" spans="1:13" x14ac:dyDescent="0.25">
      <c r="A1871" s="2">
        <v>38326</v>
      </c>
      <c r="B1871" t="s">
        <v>26</v>
      </c>
      <c r="C1871" t="s">
        <v>23</v>
      </c>
      <c r="D1871" t="s">
        <v>28</v>
      </c>
      <c r="E1871" t="s">
        <v>14</v>
      </c>
      <c r="F1871" s="3">
        <v>2640.13</v>
      </c>
      <c r="G1871" s="3">
        <v>4800.24</v>
      </c>
      <c r="H1871" s="3">
        <f>Table1[[#This Row],[Sale]]-Table1[[#This Row],[Cost]]</f>
        <v>2160.1099999999997</v>
      </c>
      <c r="I1871" s="4">
        <f>Table1[[#This Row],[Profit]]/Table1[[#This Row],[Sale]]</f>
        <v>0.45000041664583434</v>
      </c>
      <c r="J1871" s="5">
        <f t="shared" si="58"/>
        <v>2004</v>
      </c>
      <c r="K1871" s="5">
        <f>MONTH(Table1[[#This Row],[Date]])</f>
        <v>12</v>
      </c>
      <c r="L1871" s="5">
        <f>DAY(Table1[[#This Row],[Date]])</f>
        <v>5</v>
      </c>
      <c r="M1871" s="5" t="str">
        <f t="shared" si="59"/>
        <v>Dec</v>
      </c>
    </row>
    <row r="1872" spans="1:13" x14ac:dyDescent="0.25">
      <c r="A1872" s="2">
        <v>38565</v>
      </c>
      <c r="B1872" t="s">
        <v>22</v>
      </c>
      <c r="C1872" t="s">
        <v>23</v>
      </c>
      <c r="D1872" t="s">
        <v>19</v>
      </c>
      <c r="E1872" t="s">
        <v>25</v>
      </c>
      <c r="F1872" s="3">
        <v>295.25</v>
      </c>
      <c r="G1872" s="3">
        <v>536.80999999999995</v>
      </c>
      <c r="H1872" s="3">
        <f>Table1[[#This Row],[Sale]]-Table1[[#This Row],[Cost]]</f>
        <v>241.55999999999995</v>
      </c>
      <c r="I1872" s="4">
        <f>Table1[[#This Row],[Profit]]/Table1[[#This Row],[Sale]]</f>
        <v>0.44999161714573122</v>
      </c>
      <c r="J1872" s="5">
        <f t="shared" si="58"/>
        <v>2005</v>
      </c>
      <c r="K1872" s="5">
        <f>MONTH(Table1[[#This Row],[Date]])</f>
        <v>8</v>
      </c>
      <c r="L1872" s="5">
        <f>DAY(Table1[[#This Row],[Date]])</f>
        <v>1</v>
      </c>
      <c r="M1872" s="5" t="str">
        <f t="shared" si="59"/>
        <v>Aug</v>
      </c>
    </row>
    <row r="1873" spans="1:13" x14ac:dyDescent="0.25">
      <c r="A1873" s="2">
        <v>38642</v>
      </c>
      <c r="B1873" t="s">
        <v>22</v>
      </c>
      <c r="C1873" t="s">
        <v>12</v>
      </c>
      <c r="D1873" t="s">
        <v>13</v>
      </c>
      <c r="E1873" t="s">
        <v>14</v>
      </c>
      <c r="F1873" s="3">
        <v>4464.9399999999996</v>
      </c>
      <c r="G1873" s="3">
        <v>5953.25</v>
      </c>
      <c r="H1873" s="3">
        <f>Table1[[#This Row],[Sale]]-Table1[[#This Row],[Cost]]</f>
        <v>1488.3100000000004</v>
      </c>
      <c r="I1873" s="4">
        <f>Table1[[#This Row],[Profit]]/Table1[[#This Row],[Sale]]</f>
        <v>0.24999958006131112</v>
      </c>
      <c r="J1873" s="5">
        <f t="shared" si="58"/>
        <v>2005</v>
      </c>
      <c r="K1873" s="5">
        <f>MONTH(Table1[[#This Row],[Date]])</f>
        <v>10</v>
      </c>
      <c r="L1873" s="5">
        <f>DAY(Table1[[#This Row],[Date]])</f>
        <v>17</v>
      </c>
      <c r="M1873" s="5" t="str">
        <f t="shared" si="59"/>
        <v>Oct</v>
      </c>
    </row>
    <row r="1874" spans="1:13" x14ac:dyDescent="0.25">
      <c r="A1874" s="2">
        <v>38211</v>
      </c>
      <c r="B1874" t="s">
        <v>26</v>
      </c>
      <c r="C1874" t="s">
        <v>18</v>
      </c>
      <c r="D1874" t="s">
        <v>28</v>
      </c>
      <c r="E1874" t="s">
        <v>20</v>
      </c>
      <c r="F1874" s="3">
        <v>6187.33</v>
      </c>
      <c r="G1874" s="3">
        <v>9099.02</v>
      </c>
      <c r="H1874" s="3">
        <f>Table1[[#This Row],[Sale]]-Table1[[#This Row],[Cost]]</f>
        <v>2911.6900000000005</v>
      </c>
      <c r="I1874" s="4">
        <f>Table1[[#This Row],[Profit]]/Table1[[#This Row],[Sale]]</f>
        <v>0.32000039564700378</v>
      </c>
      <c r="J1874" s="5">
        <f t="shared" si="58"/>
        <v>2004</v>
      </c>
      <c r="K1874" s="5">
        <f>MONTH(Table1[[#This Row],[Date]])</f>
        <v>8</v>
      </c>
      <c r="L1874" s="5">
        <f>DAY(Table1[[#This Row],[Date]])</f>
        <v>12</v>
      </c>
      <c r="M1874" s="5" t="str">
        <f t="shared" si="59"/>
        <v>Aug</v>
      </c>
    </row>
    <row r="1875" spans="1:13" x14ac:dyDescent="0.25">
      <c r="A1875" s="2">
        <v>38623</v>
      </c>
      <c r="B1875" t="s">
        <v>11</v>
      </c>
      <c r="C1875" t="s">
        <v>12</v>
      </c>
      <c r="D1875" t="s">
        <v>28</v>
      </c>
      <c r="E1875" t="s">
        <v>25</v>
      </c>
      <c r="F1875" s="3">
        <v>1000.48</v>
      </c>
      <c r="G1875" s="3">
        <v>1333.97</v>
      </c>
      <c r="H1875" s="3">
        <f>Table1[[#This Row],[Sale]]-Table1[[#This Row],[Cost]]</f>
        <v>333.49</v>
      </c>
      <c r="I1875" s="4">
        <f>Table1[[#This Row],[Profit]]/Table1[[#This Row],[Sale]]</f>
        <v>0.24999812589488518</v>
      </c>
      <c r="J1875" s="5">
        <f t="shared" si="58"/>
        <v>2005</v>
      </c>
      <c r="K1875" s="5">
        <f>MONTH(Table1[[#This Row],[Date]])</f>
        <v>9</v>
      </c>
      <c r="L1875" s="5">
        <f>DAY(Table1[[#This Row],[Date]])</f>
        <v>28</v>
      </c>
      <c r="M1875" s="5" t="str">
        <f t="shared" si="59"/>
        <v>Sep</v>
      </c>
    </row>
    <row r="1876" spans="1:13" x14ac:dyDescent="0.25">
      <c r="A1876" s="2">
        <v>38320</v>
      </c>
      <c r="B1876" t="s">
        <v>15</v>
      </c>
      <c r="C1876" t="s">
        <v>29</v>
      </c>
      <c r="D1876" t="s">
        <v>28</v>
      </c>
      <c r="E1876" t="s">
        <v>20</v>
      </c>
      <c r="F1876" s="3">
        <v>2669.4</v>
      </c>
      <c r="G1876" s="3">
        <v>5932</v>
      </c>
      <c r="H1876" s="3">
        <f>Table1[[#This Row],[Sale]]-Table1[[#This Row],[Cost]]</f>
        <v>3262.6</v>
      </c>
      <c r="I1876" s="4">
        <f>Table1[[#This Row],[Profit]]/Table1[[#This Row],[Sale]]</f>
        <v>0.54999999999999993</v>
      </c>
      <c r="J1876" s="5">
        <f t="shared" si="58"/>
        <v>2004</v>
      </c>
      <c r="K1876" s="5">
        <f>MONTH(Table1[[#This Row],[Date]])</f>
        <v>11</v>
      </c>
      <c r="L1876" s="5">
        <f>DAY(Table1[[#This Row],[Date]])</f>
        <v>29</v>
      </c>
      <c r="M1876" s="5" t="str">
        <f t="shared" si="59"/>
        <v>Nov</v>
      </c>
    </row>
    <row r="1877" spans="1:13" x14ac:dyDescent="0.25">
      <c r="A1877" s="2">
        <v>38620</v>
      </c>
      <c r="B1877" t="s">
        <v>15</v>
      </c>
      <c r="C1877" t="s">
        <v>27</v>
      </c>
      <c r="D1877" t="s">
        <v>28</v>
      </c>
      <c r="E1877" t="s">
        <v>25</v>
      </c>
      <c r="F1877" s="3">
        <v>4152.54</v>
      </c>
      <c r="G1877" s="3">
        <v>9227.8700000000008</v>
      </c>
      <c r="H1877" s="3">
        <f>Table1[[#This Row],[Sale]]-Table1[[#This Row],[Cost]]</f>
        <v>5075.3300000000008</v>
      </c>
      <c r="I1877" s="4">
        <f>Table1[[#This Row],[Profit]]/Table1[[#This Row],[Sale]]</f>
        <v>0.55000016255105466</v>
      </c>
      <c r="J1877" s="5">
        <f t="shared" si="58"/>
        <v>2005</v>
      </c>
      <c r="K1877" s="5">
        <f>MONTH(Table1[[#This Row],[Date]])</f>
        <v>9</v>
      </c>
      <c r="L1877" s="5">
        <f>DAY(Table1[[#This Row],[Date]])</f>
        <v>25</v>
      </c>
      <c r="M1877" s="5" t="str">
        <f t="shared" si="59"/>
        <v>Sep</v>
      </c>
    </row>
    <row r="1878" spans="1:13" x14ac:dyDescent="0.25">
      <c r="A1878" s="2">
        <v>38861</v>
      </c>
      <c r="B1878" t="s">
        <v>22</v>
      </c>
      <c r="C1878" t="s">
        <v>18</v>
      </c>
      <c r="D1878" t="s">
        <v>19</v>
      </c>
      <c r="E1878" t="s">
        <v>25</v>
      </c>
      <c r="F1878" s="3">
        <v>823.98</v>
      </c>
      <c r="G1878" s="3">
        <v>2226.9699999999998</v>
      </c>
      <c r="H1878" s="3">
        <f>Table1[[#This Row],[Sale]]-Table1[[#This Row],[Cost]]</f>
        <v>1402.9899999999998</v>
      </c>
      <c r="I1878" s="4">
        <f>Table1[[#This Row],[Profit]]/Table1[[#This Row],[Sale]]</f>
        <v>0.62999950605531274</v>
      </c>
      <c r="J1878" s="5">
        <f t="shared" si="58"/>
        <v>2006</v>
      </c>
      <c r="K1878" s="5">
        <f>MONTH(Table1[[#This Row],[Date]])</f>
        <v>5</v>
      </c>
      <c r="L1878" s="5">
        <f>DAY(Table1[[#This Row],[Date]])</f>
        <v>24</v>
      </c>
      <c r="M1878" s="5" t="str">
        <f t="shared" si="59"/>
        <v>May</v>
      </c>
    </row>
    <row r="1879" spans="1:13" x14ac:dyDescent="0.25">
      <c r="A1879" s="2">
        <v>38338</v>
      </c>
      <c r="B1879" t="s">
        <v>15</v>
      </c>
      <c r="C1879" t="s">
        <v>29</v>
      </c>
      <c r="D1879" t="s">
        <v>28</v>
      </c>
      <c r="E1879" t="s">
        <v>14</v>
      </c>
      <c r="F1879" s="3">
        <v>4085.49</v>
      </c>
      <c r="G1879" s="3">
        <v>9078.8700000000008</v>
      </c>
      <c r="H1879" s="3">
        <f>Table1[[#This Row],[Sale]]-Table1[[#This Row],[Cost]]</f>
        <v>4993.380000000001</v>
      </c>
      <c r="I1879" s="4">
        <f>Table1[[#This Row],[Profit]]/Table1[[#This Row],[Sale]]</f>
        <v>0.55000016521879935</v>
      </c>
      <c r="J1879" s="5">
        <f t="shared" si="58"/>
        <v>2004</v>
      </c>
      <c r="K1879" s="5">
        <f>MONTH(Table1[[#This Row],[Date]])</f>
        <v>12</v>
      </c>
      <c r="L1879" s="5">
        <f>DAY(Table1[[#This Row],[Date]])</f>
        <v>17</v>
      </c>
      <c r="M1879" s="5" t="str">
        <f t="shared" si="59"/>
        <v>Dec</v>
      </c>
    </row>
    <row r="1880" spans="1:13" x14ac:dyDescent="0.25">
      <c r="A1880" s="2">
        <v>38253</v>
      </c>
      <c r="B1880" t="s">
        <v>22</v>
      </c>
      <c r="C1880" t="s">
        <v>27</v>
      </c>
      <c r="D1880" t="s">
        <v>28</v>
      </c>
      <c r="E1880" t="s">
        <v>24</v>
      </c>
      <c r="F1880" s="3">
        <v>1559.5</v>
      </c>
      <c r="G1880" s="3">
        <v>3626.74</v>
      </c>
      <c r="H1880" s="3">
        <f>Table1[[#This Row],[Sale]]-Table1[[#This Row],[Cost]]</f>
        <v>2067.2399999999998</v>
      </c>
      <c r="I1880" s="4">
        <f>Table1[[#This Row],[Profit]]/Table1[[#This Row],[Sale]]</f>
        <v>0.56999950368650631</v>
      </c>
      <c r="J1880" s="5">
        <f t="shared" si="58"/>
        <v>2004</v>
      </c>
      <c r="K1880" s="5">
        <f>MONTH(Table1[[#This Row],[Date]])</f>
        <v>9</v>
      </c>
      <c r="L1880" s="5">
        <f>DAY(Table1[[#This Row],[Date]])</f>
        <v>23</v>
      </c>
      <c r="M1880" s="5" t="str">
        <f t="shared" si="59"/>
        <v>Sep</v>
      </c>
    </row>
    <row r="1881" spans="1:13" x14ac:dyDescent="0.25">
      <c r="A1881" s="2">
        <v>38811</v>
      </c>
      <c r="B1881" t="s">
        <v>21</v>
      </c>
      <c r="C1881" t="s">
        <v>27</v>
      </c>
      <c r="D1881" t="s">
        <v>16</v>
      </c>
      <c r="E1881" t="s">
        <v>20</v>
      </c>
      <c r="F1881" s="3">
        <v>1231.8</v>
      </c>
      <c r="G1881" s="3">
        <v>2737.33</v>
      </c>
      <c r="H1881" s="3">
        <f>Table1[[#This Row],[Sale]]-Table1[[#This Row],[Cost]]</f>
        <v>1505.53</v>
      </c>
      <c r="I1881" s="4">
        <f>Table1[[#This Row],[Profit]]/Table1[[#This Row],[Sale]]</f>
        <v>0.54999945202076472</v>
      </c>
      <c r="J1881" s="5">
        <f t="shared" si="58"/>
        <v>2006</v>
      </c>
      <c r="K1881" s="5">
        <f>MONTH(Table1[[#This Row],[Date]])</f>
        <v>4</v>
      </c>
      <c r="L1881" s="5">
        <f>DAY(Table1[[#This Row],[Date]])</f>
        <v>4</v>
      </c>
      <c r="M1881" s="5" t="str">
        <f t="shared" si="59"/>
        <v>Apr</v>
      </c>
    </row>
    <row r="1882" spans="1:13" x14ac:dyDescent="0.25">
      <c r="A1882" s="2">
        <v>38294</v>
      </c>
      <c r="B1882" t="s">
        <v>26</v>
      </c>
      <c r="C1882" t="s">
        <v>27</v>
      </c>
      <c r="D1882" t="s">
        <v>16</v>
      </c>
      <c r="E1882" t="s">
        <v>24</v>
      </c>
      <c r="F1882" s="3">
        <v>462.1</v>
      </c>
      <c r="G1882" s="3">
        <v>679.56</v>
      </c>
      <c r="H1882" s="3">
        <f>Table1[[#This Row],[Sale]]-Table1[[#This Row],[Cost]]</f>
        <v>217.45999999999992</v>
      </c>
      <c r="I1882" s="4">
        <f>Table1[[#This Row],[Profit]]/Table1[[#This Row],[Sale]]</f>
        <v>0.32000117723232674</v>
      </c>
      <c r="J1882" s="5">
        <f t="shared" si="58"/>
        <v>2004</v>
      </c>
      <c r="K1882" s="5">
        <f>MONTH(Table1[[#This Row],[Date]])</f>
        <v>11</v>
      </c>
      <c r="L1882" s="5">
        <f>DAY(Table1[[#This Row],[Date]])</f>
        <v>3</v>
      </c>
      <c r="M1882" s="5" t="str">
        <f t="shared" si="59"/>
        <v>Nov</v>
      </c>
    </row>
    <row r="1883" spans="1:13" x14ac:dyDescent="0.25">
      <c r="A1883" s="2">
        <v>38631</v>
      </c>
      <c r="B1883" t="s">
        <v>22</v>
      </c>
      <c r="C1883" t="s">
        <v>12</v>
      </c>
      <c r="D1883" t="s">
        <v>13</v>
      </c>
      <c r="E1883" t="s">
        <v>20</v>
      </c>
      <c r="F1883" s="3">
        <v>981.54</v>
      </c>
      <c r="G1883" s="3">
        <v>2652.81</v>
      </c>
      <c r="H1883" s="3">
        <f>Table1[[#This Row],[Sale]]-Table1[[#This Row],[Cost]]</f>
        <v>1671.27</v>
      </c>
      <c r="I1883" s="4">
        <f>Table1[[#This Row],[Profit]]/Table1[[#This Row],[Sale]]</f>
        <v>0.62999988691236841</v>
      </c>
      <c r="J1883" s="5">
        <f t="shared" si="58"/>
        <v>2005</v>
      </c>
      <c r="K1883" s="5">
        <f>MONTH(Table1[[#This Row],[Date]])</f>
        <v>10</v>
      </c>
      <c r="L1883" s="5">
        <f>DAY(Table1[[#This Row],[Date]])</f>
        <v>6</v>
      </c>
      <c r="M1883" s="5" t="str">
        <f t="shared" si="59"/>
        <v>Oct</v>
      </c>
    </row>
    <row r="1884" spans="1:13" x14ac:dyDescent="0.25">
      <c r="A1884" s="2">
        <v>38514</v>
      </c>
      <c r="B1884" t="s">
        <v>26</v>
      </c>
      <c r="C1884" t="s">
        <v>12</v>
      </c>
      <c r="D1884" t="s">
        <v>19</v>
      </c>
      <c r="E1884" t="s">
        <v>25</v>
      </c>
      <c r="F1884" s="3">
        <v>2204.46</v>
      </c>
      <c r="G1884" s="3">
        <v>4898.8100000000004</v>
      </c>
      <c r="H1884" s="3">
        <f>Table1[[#This Row],[Sale]]-Table1[[#This Row],[Cost]]</f>
        <v>2694.3500000000004</v>
      </c>
      <c r="I1884" s="4">
        <f>Table1[[#This Row],[Profit]]/Table1[[#This Row],[Sale]]</f>
        <v>0.55000091859043321</v>
      </c>
      <c r="J1884" s="5">
        <f t="shared" si="58"/>
        <v>2005</v>
      </c>
      <c r="K1884" s="5">
        <f>MONTH(Table1[[#This Row],[Date]])</f>
        <v>6</v>
      </c>
      <c r="L1884" s="5">
        <f>DAY(Table1[[#This Row],[Date]])</f>
        <v>11</v>
      </c>
      <c r="M1884" s="5" t="str">
        <f t="shared" si="59"/>
        <v>Jun</v>
      </c>
    </row>
    <row r="1885" spans="1:13" x14ac:dyDescent="0.25">
      <c r="A1885" s="2">
        <v>38722</v>
      </c>
      <c r="B1885" t="s">
        <v>21</v>
      </c>
      <c r="C1885" t="s">
        <v>29</v>
      </c>
      <c r="D1885" t="s">
        <v>19</v>
      </c>
      <c r="E1885" t="s">
        <v>20</v>
      </c>
      <c r="F1885" s="3">
        <v>1349.83</v>
      </c>
      <c r="G1885" s="3">
        <v>3648.18</v>
      </c>
      <c r="H1885" s="3">
        <f>Table1[[#This Row],[Sale]]-Table1[[#This Row],[Cost]]</f>
        <v>2298.35</v>
      </c>
      <c r="I1885" s="4">
        <f>Table1[[#This Row],[Profit]]/Table1[[#This Row],[Sale]]</f>
        <v>0.62999906802844163</v>
      </c>
      <c r="J1885" s="5">
        <f t="shared" si="58"/>
        <v>2006</v>
      </c>
      <c r="K1885" s="5">
        <f>MONTH(Table1[[#This Row],[Date]])</f>
        <v>1</v>
      </c>
      <c r="L1885" s="5">
        <f>DAY(Table1[[#This Row],[Date]])</f>
        <v>5</v>
      </c>
      <c r="M1885" s="5" t="str">
        <f t="shared" si="59"/>
        <v>Jan</v>
      </c>
    </row>
    <row r="1886" spans="1:13" x14ac:dyDescent="0.25">
      <c r="A1886" s="2">
        <v>38802</v>
      </c>
      <c r="B1886" t="s">
        <v>21</v>
      </c>
      <c r="C1886" t="s">
        <v>27</v>
      </c>
      <c r="D1886" t="s">
        <v>28</v>
      </c>
      <c r="E1886" t="s">
        <v>24</v>
      </c>
      <c r="F1886" s="3">
        <v>3488.55</v>
      </c>
      <c r="G1886" s="3">
        <v>3964.26</v>
      </c>
      <c r="H1886" s="3">
        <f>Table1[[#This Row],[Sale]]-Table1[[#This Row],[Cost]]</f>
        <v>475.71000000000004</v>
      </c>
      <c r="I1886" s="4">
        <f>Table1[[#This Row],[Profit]]/Table1[[#This Row],[Sale]]</f>
        <v>0.11999969729533382</v>
      </c>
      <c r="J1886" s="5">
        <f t="shared" si="58"/>
        <v>2006</v>
      </c>
      <c r="K1886" s="5">
        <f>MONTH(Table1[[#This Row],[Date]])</f>
        <v>3</v>
      </c>
      <c r="L1886" s="5">
        <f>DAY(Table1[[#This Row],[Date]])</f>
        <v>26</v>
      </c>
      <c r="M1886" s="5" t="str">
        <f t="shared" si="59"/>
        <v>Mar</v>
      </c>
    </row>
    <row r="1887" spans="1:13" x14ac:dyDescent="0.25">
      <c r="A1887" s="2">
        <v>38592</v>
      </c>
      <c r="B1887" t="s">
        <v>21</v>
      </c>
      <c r="C1887" t="s">
        <v>29</v>
      </c>
      <c r="D1887" t="s">
        <v>19</v>
      </c>
      <c r="E1887" t="s">
        <v>24</v>
      </c>
      <c r="F1887" s="3">
        <v>2067.91</v>
      </c>
      <c r="G1887" s="3">
        <v>4809.09</v>
      </c>
      <c r="H1887" s="3">
        <f>Table1[[#This Row],[Sale]]-Table1[[#This Row],[Cost]]</f>
        <v>2741.1800000000003</v>
      </c>
      <c r="I1887" s="4">
        <f>Table1[[#This Row],[Profit]]/Table1[[#This Row],[Sale]]</f>
        <v>0.56999972967858792</v>
      </c>
      <c r="J1887" s="5">
        <f t="shared" si="58"/>
        <v>2005</v>
      </c>
      <c r="K1887" s="5">
        <f>MONTH(Table1[[#This Row],[Date]])</f>
        <v>8</v>
      </c>
      <c r="L1887" s="5">
        <f>DAY(Table1[[#This Row],[Date]])</f>
        <v>28</v>
      </c>
      <c r="M1887" s="5" t="str">
        <f t="shared" si="59"/>
        <v>Aug</v>
      </c>
    </row>
    <row r="1888" spans="1:13" x14ac:dyDescent="0.25">
      <c r="A1888" s="2">
        <v>38403</v>
      </c>
      <c r="B1888" t="s">
        <v>21</v>
      </c>
      <c r="C1888" t="s">
        <v>23</v>
      </c>
      <c r="D1888" t="s">
        <v>13</v>
      </c>
      <c r="E1888" t="s">
        <v>14</v>
      </c>
      <c r="F1888" s="3">
        <v>4808.46</v>
      </c>
      <c r="G1888" s="3">
        <v>8290.4500000000007</v>
      </c>
      <c r="H1888" s="3">
        <f>Table1[[#This Row],[Sale]]-Table1[[#This Row],[Cost]]</f>
        <v>3481.9900000000007</v>
      </c>
      <c r="I1888" s="4">
        <f>Table1[[#This Row],[Profit]]/Table1[[#This Row],[Sale]]</f>
        <v>0.42000012062071423</v>
      </c>
      <c r="J1888" s="5">
        <f t="shared" si="58"/>
        <v>2005</v>
      </c>
      <c r="K1888" s="5">
        <f>MONTH(Table1[[#This Row],[Date]])</f>
        <v>2</v>
      </c>
      <c r="L1888" s="5">
        <f>DAY(Table1[[#This Row],[Date]])</f>
        <v>20</v>
      </c>
      <c r="M1888" s="5" t="str">
        <f t="shared" si="59"/>
        <v>Feb</v>
      </c>
    </row>
    <row r="1889" spans="1:13" x14ac:dyDescent="0.25">
      <c r="A1889" s="2">
        <v>38226</v>
      </c>
      <c r="B1889" t="s">
        <v>22</v>
      </c>
      <c r="C1889" t="s">
        <v>29</v>
      </c>
      <c r="D1889" t="s">
        <v>19</v>
      </c>
      <c r="E1889" t="s">
        <v>25</v>
      </c>
      <c r="F1889" s="3">
        <v>757.38</v>
      </c>
      <c r="G1889" s="3">
        <v>1377.05</v>
      </c>
      <c r="H1889" s="3">
        <f>Table1[[#This Row],[Sale]]-Table1[[#This Row],[Cost]]</f>
        <v>619.66999999999996</v>
      </c>
      <c r="I1889" s="4">
        <f>Table1[[#This Row],[Profit]]/Table1[[#This Row],[Sale]]</f>
        <v>0.44999818452489015</v>
      </c>
      <c r="J1889" s="5">
        <f t="shared" si="58"/>
        <v>2004</v>
      </c>
      <c r="K1889" s="5">
        <f>MONTH(Table1[[#This Row],[Date]])</f>
        <v>8</v>
      </c>
      <c r="L1889" s="5">
        <f>DAY(Table1[[#This Row],[Date]])</f>
        <v>27</v>
      </c>
      <c r="M1889" s="5" t="str">
        <f t="shared" si="59"/>
        <v>Aug</v>
      </c>
    </row>
    <row r="1890" spans="1:13" x14ac:dyDescent="0.25">
      <c r="A1890" s="2">
        <v>38246</v>
      </c>
      <c r="B1890" t="s">
        <v>26</v>
      </c>
      <c r="C1890" t="s">
        <v>29</v>
      </c>
      <c r="D1890" t="s">
        <v>19</v>
      </c>
      <c r="E1890" t="s">
        <v>24</v>
      </c>
      <c r="F1890" s="3">
        <v>5286.07</v>
      </c>
      <c r="G1890" s="3">
        <v>7048.09</v>
      </c>
      <c r="H1890" s="3">
        <f>Table1[[#This Row],[Sale]]-Table1[[#This Row],[Cost]]</f>
        <v>1762.0200000000004</v>
      </c>
      <c r="I1890" s="4">
        <f>Table1[[#This Row],[Profit]]/Table1[[#This Row],[Sale]]</f>
        <v>0.24999964529397331</v>
      </c>
      <c r="J1890" s="5">
        <f t="shared" si="58"/>
        <v>2004</v>
      </c>
      <c r="K1890" s="5">
        <f>MONTH(Table1[[#This Row],[Date]])</f>
        <v>9</v>
      </c>
      <c r="L1890" s="5">
        <f>DAY(Table1[[#This Row],[Date]])</f>
        <v>16</v>
      </c>
      <c r="M1890" s="5" t="str">
        <f t="shared" si="59"/>
        <v>Sep</v>
      </c>
    </row>
    <row r="1891" spans="1:13" x14ac:dyDescent="0.25">
      <c r="A1891" s="2">
        <v>38338</v>
      </c>
      <c r="B1891" t="s">
        <v>22</v>
      </c>
      <c r="C1891" t="s">
        <v>29</v>
      </c>
      <c r="D1891" t="s">
        <v>19</v>
      </c>
      <c r="E1891" t="s">
        <v>14</v>
      </c>
      <c r="F1891" s="3">
        <v>758.7</v>
      </c>
      <c r="G1891" s="3">
        <v>1115.73</v>
      </c>
      <c r="H1891" s="3">
        <f>Table1[[#This Row],[Sale]]-Table1[[#This Row],[Cost]]</f>
        <v>357.03</v>
      </c>
      <c r="I1891" s="4">
        <f>Table1[[#This Row],[Profit]]/Table1[[#This Row],[Sale]]</f>
        <v>0.31999677341292243</v>
      </c>
      <c r="J1891" s="5">
        <f t="shared" si="58"/>
        <v>2004</v>
      </c>
      <c r="K1891" s="5">
        <f>MONTH(Table1[[#This Row],[Date]])</f>
        <v>12</v>
      </c>
      <c r="L1891" s="5">
        <f>DAY(Table1[[#This Row],[Date]])</f>
        <v>17</v>
      </c>
      <c r="M1891" s="5" t="str">
        <f t="shared" si="59"/>
        <v>Dec</v>
      </c>
    </row>
    <row r="1892" spans="1:13" x14ac:dyDescent="0.25">
      <c r="A1892" s="2">
        <v>38876</v>
      </c>
      <c r="B1892" t="s">
        <v>11</v>
      </c>
      <c r="C1892" t="s">
        <v>23</v>
      </c>
      <c r="D1892" t="s">
        <v>16</v>
      </c>
      <c r="E1892" t="s">
        <v>20</v>
      </c>
      <c r="F1892" s="3">
        <v>4949.53</v>
      </c>
      <c r="G1892" s="3">
        <v>8389.0400000000009</v>
      </c>
      <c r="H1892" s="3">
        <f>Table1[[#This Row],[Sale]]-Table1[[#This Row],[Cost]]</f>
        <v>3439.5100000000011</v>
      </c>
      <c r="I1892" s="4">
        <f>Table1[[#This Row],[Profit]]/Table1[[#This Row],[Sale]]</f>
        <v>0.41000042913134288</v>
      </c>
      <c r="J1892" s="5">
        <f t="shared" si="58"/>
        <v>2006</v>
      </c>
      <c r="K1892" s="5">
        <f>MONTH(Table1[[#This Row],[Date]])</f>
        <v>6</v>
      </c>
      <c r="L1892" s="5">
        <f>DAY(Table1[[#This Row],[Date]])</f>
        <v>8</v>
      </c>
      <c r="M1892" s="5" t="str">
        <f t="shared" si="59"/>
        <v>Jun</v>
      </c>
    </row>
    <row r="1893" spans="1:13" x14ac:dyDescent="0.25">
      <c r="A1893" s="2">
        <v>38346</v>
      </c>
      <c r="B1893" t="s">
        <v>17</v>
      </c>
      <c r="C1893" t="s">
        <v>23</v>
      </c>
      <c r="D1893" t="s">
        <v>13</v>
      </c>
      <c r="E1893" t="s">
        <v>14</v>
      </c>
      <c r="F1893" s="3">
        <v>3664.68</v>
      </c>
      <c r="G1893" s="3">
        <v>8143.73</v>
      </c>
      <c r="H1893" s="3">
        <f>Table1[[#This Row],[Sale]]-Table1[[#This Row],[Cost]]</f>
        <v>4479.0499999999993</v>
      </c>
      <c r="I1893" s="4">
        <f>Table1[[#This Row],[Profit]]/Table1[[#This Row],[Sale]]</f>
        <v>0.54999981580921753</v>
      </c>
      <c r="J1893" s="5">
        <f t="shared" si="58"/>
        <v>2004</v>
      </c>
      <c r="K1893" s="5">
        <f>MONTH(Table1[[#This Row],[Date]])</f>
        <v>12</v>
      </c>
      <c r="L1893" s="5">
        <f>DAY(Table1[[#This Row],[Date]])</f>
        <v>25</v>
      </c>
      <c r="M1893" s="5" t="str">
        <f t="shared" si="59"/>
        <v>Dec</v>
      </c>
    </row>
    <row r="1894" spans="1:13" x14ac:dyDescent="0.25">
      <c r="A1894" s="2">
        <v>38234</v>
      </c>
      <c r="B1894" t="s">
        <v>11</v>
      </c>
      <c r="C1894" t="s">
        <v>27</v>
      </c>
      <c r="D1894" t="s">
        <v>28</v>
      </c>
      <c r="E1894" t="s">
        <v>25</v>
      </c>
      <c r="F1894" s="3">
        <v>5988.93</v>
      </c>
      <c r="G1894" s="3">
        <v>7985.24</v>
      </c>
      <c r="H1894" s="3">
        <f>Table1[[#This Row],[Sale]]-Table1[[#This Row],[Cost]]</f>
        <v>1996.3099999999995</v>
      </c>
      <c r="I1894" s="4">
        <f>Table1[[#This Row],[Profit]]/Table1[[#This Row],[Sale]]</f>
        <v>0.24999999999999994</v>
      </c>
      <c r="J1894" s="5">
        <f t="shared" si="58"/>
        <v>2004</v>
      </c>
      <c r="K1894" s="5">
        <f>MONTH(Table1[[#This Row],[Date]])</f>
        <v>9</v>
      </c>
      <c r="L1894" s="5">
        <f>DAY(Table1[[#This Row],[Date]])</f>
        <v>4</v>
      </c>
      <c r="M1894" s="5" t="str">
        <f t="shared" si="59"/>
        <v>Sep</v>
      </c>
    </row>
    <row r="1895" spans="1:13" x14ac:dyDescent="0.25">
      <c r="A1895" s="2">
        <v>38486</v>
      </c>
      <c r="B1895" t="s">
        <v>11</v>
      </c>
      <c r="C1895" t="s">
        <v>29</v>
      </c>
      <c r="D1895" t="s">
        <v>19</v>
      </c>
      <c r="E1895" t="s">
        <v>25</v>
      </c>
      <c r="F1895" s="3">
        <v>4029.06</v>
      </c>
      <c r="G1895" s="3">
        <v>6828.92</v>
      </c>
      <c r="H1895" s="3">
        <f>Table1[[#This Row],[Sale]]-Table1[[#This Row],[Cost]]</f>
        <v>2799.86</v>
      </c>
      <c r="I1895" s="4">
        <f>Table1[[#This Row],[Profit]]/Table1[[#This Row],[Sale]]</f>
        <v>0.41000041002091109</v>
      </c>
      <c r="J1895" s="5">
        <f t="shared" si="58"/>
        <v>2005</v>
      </c>
      <c r="K1895" s="5">
        <f>MONTH(Table1[[#This Row],[Date]])</f>
        <v>5</v>
      </c>
      <c r="L1895" s="5">
        <f>DAY(Table1[[#This Row],[Date]])</f>
        <v>14</v>
      </c>
      <c r="M1895" s="5" t="str">
        <f t="shared" si="59"/>
        <v>May</v>
      </c>
    </row>
    <row r="1896" spans="1:13" x14ac:dyDescent="0.25">
      <c r="A1896" s="2">
        <v>38354</v>
      </c>
      <c r="B1896" t="s">
        <v>22</v>
      </c>
      <c r="C1896" t="s">
        <v>12</v>
      </c>
      <c r="D1896" t="s">
        <v>13</v>
      </c>
      <c r="E1896" t="s">
        <v>20</v>
      </c>
      <c r="F1896" s="3">
        <v>2437.66</v>
      </c>
      <c r="G1896" s="3">
        <v>3584.8</v>
      </c>
      <c r="H1896" s="3">
        <f>Table1[[#This Row],[Sale]]-Table1[[#This Row],[Cost]]</f>
        <v>1147.1400000000003</v>
      </c>
      <c r="I1896" s="4">
        <f>Table1[[#This Row],[Profit]]/Table1[[#This Row],[Sale]]</f>
        <v>0.32000111582236118</v>
      </c>
      <c r="J1896" s="5">
        <f t="shared" si="58"/>
        <v>2005</v>
      </c>
      <c r="K1896" s="5">
        <f>MONTH(Table1[[#This Row],[Date]])</f>
        <v>1</v>
      </c>
      <c r="L1896" s="5">
        <f>DAY(Table1[[#This Row],[Date]])</f>
        <v>2</v>
      </c>
      <c r="M1896" s="5" t="str">
        <f t="shared" si="59"/>
        <v>Jan</v>
      </c>
    </row>
    <row r="1897" spans="1:13" x14ac:dyDescent="0.25">
      <c r="A1897" s="2">
        <v>38431</v>
      </c>
      <c r="B1897" t="s">
        <v>22</v>
      </c>
      <c r="C1897" t="s">
        <v>12</v>
      </c>
      <c r="D1897" t="s">
        <v>28</v>
      </c>
      <c r="E1897" t="s">
        <v>25</v>
      </c>
      <c r="F1897" s="3">
        <v>3705.64</v>
      </c>
      <c r="G1897" s="3">
        <v>6389.03</v>
      </c>
      <c r="H1897" s="3">
        <f>Table1[[#This Row],[Sale]]-Table1[[#This Row],[Cost]]</f>
        <v>2683.39</v>
      </c>
      <c r="I1897" s="4">
        <f>Table1[[#This Row],[Profit]]/Table1[[#This Row],[Sale]]</f>
        <v>0.41999959305246648</v>
      </c>
      <c r="J1897" s="5">
        <f t="shared" si="58"/>
        <v>2005</v>
      </c>
      <c r="K1897" s="5">
        <f>MONTH(Table1[[#This Row],[Date]])</f>
        <v>3</v>
      </c>
      <c r="L1897" s="5">
        <f>DAY(Table1[[#This Row],[Date]])</f>
        <v>20</v>
      </c>
      <c r="M1897" s="5" t="str">
        <f t="shared" si="59"/>
        <v>Mar</v>
      </c>
    </row>
    <row r="1898" spans="1:13" x14ac:dyDescent="0.25">
      <c r="A1898" s="2">
        <v>38237</v>
      </c>
      <c r="B1898" t="s">
        <v>17</v>
      </c>
      <c r="C1898" t="s">
        <v>18</v>
      </c>
      <c r="D1898" t="s">
        <v>19</v>
      </c>
      <c r="E1898" t="s">
        <v>20</v>
      </c>
      <c r="F1898" s="3">
        <v>3498.19</v>
      </c>
      <c r="G1898" s="3">
        <v>8135.32</v>
      </c>
      <c r="H1898" s="3">
        <f>Table1[[#This Row],[Sale]]-Table1[[#This Row],[Cost]]</f>
        <v>4637.1299999999992</v>
      </c>
      <c r="I1898" s="4">
        <f>Table1[[#This Row],[Profit]]/Table1[[#This Row],[Sale]]</f>
        <v>0.56999970499009256</v>
      </c>
      <c r="J1898" s="5">
        <f t="shared" si="58"/>
        <v>2004</v>
      </c>
      <c r="K1898" s="5">
        <f>MONTH(Table1[[#This Row],[Date]])</f>
        <v>9</v>
      </c>
      <c r="L1898" s="5">
        <f>DAY(Table1[[#This Row],[Date]])</f>
        <v>7</v>
      </c>
      <c r="M1898" s="5" t="str">
        <f t="shared" si="59"/>
        <v>Sep</v>
      </c>
    </row>
    <row r="1899" spans="1:13" x14ac:dyDescent="0.25">
      <c r="A1899" s="2">
        <v>38216</v>
      </c>
      <c r="B1899" t="s">
        <v>26</v>
      </c>
      <c r="C1899" t="s">
        <v>12</v>
      </c>
      <c r="D1899" t="s">
        <v>19</v>
      </c>
      <c r="E1899" t="s">
        <v>20</v>
      </c>
      <c r="F1899" s="3">
        <v>3740.28</v>
      </c>
      <c r="G1899" s="3">
        <v>4987.04</v>
      </c>
      <c r="H1899" s="3">
        <f>Table1[[#This Row],[Sale]]-Table1[[#This Row],[Cost]]</f>
        <v>1246.7599999999998</v>
      </c>
      <c r="I1899" s="4">
        <f>Table1[[#This Row],[Profit]]/Table1[[#This Row],[Sale]]</f>
        <v>0.24999999999999994</v>
      </c>
      <c r="J1899" s="5">
        <f t="shared" si="58"/>
        <v>2004</v>
      </c>
      <c r="K1899" s="5">
        <f>MONTH(Table1[[#This Row],[Date]])</f>
        <v>8</v>
      </c>
      <c r="L1899" s="5">
        <f>DAY(Table1[[#This Row],[Date]])</f>
        <v>17</v>
      </c>
      <c r="M1899" s="5" t="str">
        <f t="shared" si="59"/>
        <v>Aug</v>
      </c>
    </row>
    <row r="1900" spans="1:13" x14ac:dyDescent="0.25">
      <c r="A1900" s="2">
        <v>38493</v>
      </c>
      <c r="B1900" t="s">
        <v>17</v>
      </c>
      <c r="C1900" t="s">
        <v>29</v>
      </c>
      <c r="D1900" t="s">
        <v>13</v>
      </c>
      <c r="E1900" t="s">
        <v>25</v>
      </c>
      <c r="F1900" s="3">
        <v>268.97000000000003</v>
      </c>
      <c r="G1900" s="3">
        <v>358.63</v>
      </c>
      <c r="H1900" s="3">
        <f>Table1[[#This Row],[Sale]]-Table1[[#This Row],[Cost]]</f>
        <v>89.659999999999968</v>
      </c>
      <c r="I1900" s="4">
        <f>Table1[[#This Row],[Profit]]/Table1[[#This Row],[Sale]]</f>
        <v>0.25000697097286889</v>
      </c>
      <c r="J1900" s="5">
        <f t="shared" si="58"/>
        <v>2005</v>
      </c>
      <c r="K1900" s="5">
        <f>MONTH(Table1[[#This Row],[Date]])</f>
        <v>5</v>
      </c>
      <c r="L1900" s="5">
        <f>DAY(Table1[[#This Row],[Date]])</f>
        <v>21</v>
      </c>
      <c r="M1900" s="5" t="str">
        <f t="shared" si="59"/>
        <v>May</v>
      </c>
    </row>
    <row r="1901" spans="1:13" x14ac:dyDescent="0.25">
      <c r="A1901" s="2">
        <v>38248</v>
      </c>
      <c r="B1901" t="s">
        <v>21</v>
      </c>
      <c r="C1901" t="s">
        <v>12</v>
      </c>
      <c r="D1901" t="s">
        <v>19</v>
      </c>
      <c r="E1901" t="s">
        <v>25</v>
      </c>
      <c r="F1901" s="3">
        <v>4373.8</v>
      </c>
      <c r="G1901" s="3">
        <v>7541.04</v>
      </c>
      <c r="H1901" s="3">
        <f>Table1[[#This Row],[Sale]]-Table1[[#This Row],[Cost]]</f>
        <v>3167.24</v>
      </c>
      <c r="I1901" s="4">
        <f>Table1[[#This Row],[Profit]]/Table1[[#This Row],[Sale]]</f>
        <v>0.42000042434465268</v>
      </c>
      <c r="J1901" s="5">
        <f t="shared" si="58"/>
        <v>2004</v>
      </c>
      <c r="K1901" s="5">
        <f>MONTH(Table1[[#This Row],[Date]])</f>
        <v>9</v>
      </c>
      <c r="L1901" s="5">
        <f>DAY(Table1[[#This Row],[Date]])</f>
        <v>18</v>
      </c>
      <c r="M1901" s="5" t="str">
        <f t="shared" si="59"/>
        <v>Sep</v>
      </c>
    </row>
    <row r="1902" spans="1:13" x14ac:dyDescent="0.25">
      <c r="A1902" s="2">
        <v>38159</v>
      </c>
      <c r="B1902" t="s">
        <v>22</v>
      </c>
      <c r="C1902" t="s">
        <v>29</v>
      </c>
      <c r="D1902" t="s">
        <v>13</v>
      </c>
      <c r="E1902" t="s">
        <v>14</v>
      </c>
      <c r="F1902" s="3">
        <v>4843.5</v>
      </c>
      <c r="G1902" s="3">
        <v>8209.33</v>
      </c>
      <c r="H1902" s="3">
        <f>Table1[[#This Row],[Sale]]-Table1[[#This Row],[Cost]]</f>
        <v>3365.83</v>
      </c>
      <c r="I1902" s="4">
        <f>Table1[[#This Row],[Profit]]/Table1[[#This Row],[Sale]]</f>
        <v>0.41000057251931643</v>
      </c>
      <c r="J1902" s="5">
        <f t="shared" si="58"/>
        <v>2004</v>
      </c>
      <c r="K1902" s="5">
        <f>MONTH(Table1[[#This Row],[Date]])</f>
        <v>6</v>
      </c>
      <c r="L1902" s="5">
        <f>DAY(Table1[[#This Row],[Date]])</f>
        <v>21</v>
      </c>
      <c r="M1902" s="5" t="str">
        <f t="shared" si="59"/>
        <v>Jun</v>
      </c>
    </row>
    <row r="1903" spans="1:13" x14ac:dyDescent="0.25">
      <c r="A1903" s="2">
        <v>38861</v>
      </c>
      <c r="B1903" t="s">
        <v>11</v>
      </c>
      <c r="C1903" t="s">
        <v>12</v>
      </c>
      <c r="D1903" t="s">
        <v>19</v>
      </c>
      <c r="E1903" t="s">
        <v>25</v>
      </c>
      <c r="F1903" s="3">
        <v>2175.6799999999998</v>
      </c>
      <c r="G1903" s="3">
        <v>5059.71</v>
      </c>
      <c r="H1903" s="3">
        <f>Table1[[#This Row],[Sale]]-Table1[[#This Row],[Cost]]</f>
        <v>2884.03</v>
      </c>
      <c r="I1903" s="4">
        <f>Table1[[#This Row],[Profit]]/Table1[[#This Row],[Sale]]</f>
        <v>0.56999907109300729</v>
      </c>
      <c r="J1903" s="5">
        <f t="shared" si="58"/>
        <v>2006</v>
      </c>
      <c r="K1903" s="5">
        <f>MONTH(Table1[[#This Row],[Date]])</f>
        <v>5</v>
      </c>
      <c r="L1903" s="5">
        <f>DAY(Table1[[#This Row],[Date]])</f>
        <v>24</v>
      </c>
      <c r="M1903" s="5" t="str">
        <f t="shared" si="59"/>
        <v>May</v>
      </c>
    </row>
    <row r="1904" spans="1:13" x14ac:dyDescent="0.25">
      <c r="A1904" s="2">
        <v>38688</v>
      </c>
      <c r="B1904" t="s">
        <v>22</v>
      </c>
      <c r="C1904" t="s">
        <v>27</v>
      </c>
      <c r="D1904" t="s">
        <v>13</v>
      </c>
      <c r="E1904" t="s">
        <v>24</v>
      </c>
      <c r="F1904" s="3">
        <v>3290.26</v>
      </c>
      <c r="G1904" s="3">
        <v>5672.87</v>
      </c>
      <c r="H1904" s="3">
        <f>Table1[[#This Row],[Sale]]-Table1[[#This Row],[Cost]]</f>
        <v>2382.6099999999997</v>
      </c>
      <c r="I1904" s="4">
        <f>Table1[[#This Row],[Profit]]/Table1[[#This Row],[Sale]]</f>
        <v>0.42000081087703395</v>
      </c>
      <c r="J1904" s="5">
        <f t="shared" si="58"/>
        <v>2005</v>
      </c>
      <c r="K1904" s="5">
        <f>MONTH(Table1[[#This Row],[Date]])</f>
        <v>12</v>
      </c>
      <c r="L1904" s="5">
        <f>DAY(Table1[[#This Row],[Date]])</f>
        <v>2</v>
      </c>
      <c r="M1904" s="5" t="str">
        <f t="shared" si="59"/>
        <v>Dec</v>
      </c>
    </row>
    <row r="1905" spans="1:13" x14ac:dyDescent="0.25">
      <c r="A1905" s="2">
        <v>38813</v>
      </c>
      <c r="B1905" t="s">
        <v>15</v>
      </c>
      <c r="C1905" t="s">
        <v>23</v>
      </c>
      <c r="D1905" t="s">
        <v>28</v>
      </c>
      <c r="E1905" t="s">
        <v>24</v>
      </c>
      <c r="F1905" s="3">
        <v>1934.53</v>
      </c>
      <c r="G1905" s="3">
        <v>2198.33</v>
      </c>
      <c r="H1905" s="3">
        <f>Table1[[#This Row],[Sale]]-Table1[[#This Row],[Cost]]</f>
        <v>263.79999999999995</v>
      </c>
      <c r="I1905" s="4">
        <f>Table1[[#This Row],[Profit]]/Table1[[#This Row],[Sale]]</f>
        <v>0.12000018195630317</v>
      </c>
      <c r="J1905" s="5">
        <f t="shared" si="58"/>
        <v>2006</v>
      </c>
      <c r="K1905" s="5">
        <f>MONTH(Table1[[#This Row],[Date]])</f>
        <v>4</v>
      </c>
      <c r="L1905" s="5">
        <f>DAY(Table1[[#This Row],[Date]])</f>
        <v>6</v>
      </c>
      <c r="M1905" s="5" t="str">
        <f t="shared" si="59"/>
        <v>Apr</v>
      </c>
    </row>
    <row r="1906" spans="1:13" x14ac:dyDescent="0.25">
      <c r="A1906" s="2">
        <v>38798</v>
      </c>
      <c r="B1906" t="s">
        <v>17</v>
      </c>
      <c r="C1906" t="s">
        <v>18</v>
      </c>
      <c r="D1906" t="s">
        <v>28</v>
      </c>
      <c r="E1906" t="s">
        <v>20</v>
      </c>
      <c r="F1906" s="3">
        <v>2230.5700000000002</v>
      </c>
      <c r="G1906" s="3">
        <v>2534.7399999999998</v>
      </c>
      <c r="H1906" s="3">
        <f>Table1[[#This Row],[Sale]]-Table1[[#This Row],[Cost]]</f>
        <v>304.16999999999962</v>
      </c>
      <c r="I1906" s="4">
        <f>Table1[[#This Row],[Profit]]/Table1[[#This Row],[Sale]]</f>
        <v>0.12000047342133696</v>
      </c>
      <c r="J1906" s="5">
        <f t="shared" si="58"/>
        <v>2006</v>
      </c>
      <c r="K1906" s="5">
        <f>MONTH(Table1[[#This Row],[Date]])</f>
        <v>3</v>
      </c>
      <c r="L1906" s="5">
        <f>DAY(Table1[[#This Row],[Date]])</f>
        <v>22</v>
      </c>
      <c r="M1906" s="5" t="str">
        <f t="shared" si="59"/>
        <v>Mar</v>
      </c>
    </row>
    <row r="1907" spans="1:13" x14ac:dyDescent="0.25">
      <c r="A1907" s="2">
        <v>38568</v>
      </c>
      <c r="B1907" t="s">
        <v>22</v>
      </c>
      <c r="C1907" t="s">
        <v>29</v>
      </c>
      <c r="D1907" t="s">
        <v>28</v>
      </c>
      <c r="E1907" t="s">
        <v>20</v>
      </c>
      <c r="F1907" s="3">
        <v>872.39</v>
      </c>
      <c r="G1907" s="3">
        <v>1282.93</v>
      </c>
      <c r="H1907" s="3">
        <f>Table1[[#This Row],[Sale]]-Table1[[#This Row],[Cost]]</f>
        <v>410.54000000000008</v>
      </c>
      <c r="I1907" s="4">
        <f>Table1[[#This Row],[Profit]]/Table1[[#This Row],[Sale]]</f>
        <v>0.32000187071781006</v>
      </c>
      <c r="J1907" s="5">
        <f t="shared" si="58"/>
        <v>2005</v>
      </c>
      <c r="K1907" s="5">
        <f>MONTH(Table1[[#This Row],[Date]])</f>
        <v>8</v>
      </c>
      <c r="L1907" s="5">
        <f>DAY(Table1[[#This Row],[Date]])</f>
        <v>4</v>
      </c>
      <c r="M1907" s="5" t="str">
        <f t="shared" si="59"/>
        <v>Aug</v>
      </c>
    </row>
    <row r="1908" spans="1:13" x14ac:dyDescent="0.25">
      <c r="A1908" s="2">
        <v>38428</v>
      </c>
      <c r="B1908" t="s">
        <v>26</v>
      </c>
      <c r="C1908" t="s">
        <v>29</v>
      </c>
      <c r="D1908" t="s">
        <v>19</v>
      </c>
      <c r="E1908" t="s">
        <v>25</v>
      </c>
      <c r="F1908" s="3">
        <v>1445.64</v>
      </c>
      <c r="G1908" s="3">
        <v>3907.13</v>
      </c>
      <c r="H1908" s="3">
        <f>Table1[[#This Row],[Sale]]-Table1[[#This Row],[Cost]]</f>
        <v>2461.4899999999998</v>
      </c>
      <c r="I1908" s="4">
        <f>Table1[[#This Row],[Profit]]/Table1[[#This Row],[Sale]]</f>
        <v>0.62999951370955143</v>
      </c>
      <c r="J1908" s="5">
        <f t="shared" si="58"/>
        <v>2005</v>
      </c>
      <c r="K1908" s="5">
        <f>MONTH(Table1[[#This Row],[Date]])</f>
        <v>3</v>
      </c>
      <c r="L1908" s="5">
        <f>DAY(Table1[[#This Row],[Date]])</f>
        <v>17</v>
      </c>
      <c r="M1908" s="5" t="str">
        <f t="shared" si="59"/>
        <v>Mar</v>
      </c>
    </row>
    <row r="1909" spans="1:13" x14ac:dyDescent="0.25">
      <c r="A1909" s="2">
        <v>38561</v>
      </c>
      <c r="B1909" t="s">
        <v>21</v>
      </c>
      <c r="C1909" t="s">
        <v>12</v>
      </c>
      <c r="D1909" t="s">
        <v>28</v>
      </c>
      <c r="E1909" t="s">
        <v>24</v>
      </c>
      <c r="F1909" s="3">
        <v>1115.28</v>
      </c>
      <c r="G1909" s="3">
        <v>2027.79</v>
      </c>
      <c r="H1909" s="3">
        <f>Table1[[#This Row],[Sale]]-Table1[[#This Row],[Cost]]</f>
        <v>912.51</v>
      </c>
      <c r="I1909" s="4">
        <f>Table1[[#This Row],[Profit]]/Table1[[#This Row],[Sale]]</f>
        <v>0.4500022191647064</v>
      </c>
      <c r="J1909" s="5">
        <f t="shared" si="58"/>
        <v>2005</v>
      </c>
      <c r="K1909" s="5">
        <f>MONTH(Table1[[#This Row],[Date]])</f>
        <v>7</v>
      </c>
      <c r="L1909" s="5">
        <f>DAY(Table1[[#This Row],[Date]])</f>
        <v>28</v>
      </c>
      <c r="M1909" s="5" t="str">
        <f t="shared" si="59"/>
        <v>Jul</v>
      </c>
    </row>
    <row r="1910" spans="1:13" x14ac:dyDescent="0.25">
      <c r="A1910" s="2">
        <v>38437</v>
      </c>
      <c r="B1910" t="s">
        <v>22</v>
      </c>
      <c r="C1910" t="s">
        <v>23</v>
      </c>
      <c r="D1910" t="s">
        <v>19</v>
      </c>
      <c r="E1910" t="s">
        <v>20</v>
      </c>
      <c r="F1910" s="3">
        <v>4993.1899999999996</v>
      </c>
      <c r="G1910" s="3">
        <v>9078.5300000000007</v>
      </c>
      <c r="H1910" s="3">
        <f>Table1[[#This Row],[Sale]]-Table1[[#This Row],[Cost]]</f>
        <v>4085.3400000000011</v>
      </c>
      <c r="I1910" s="4">
        <f>Table1[[#This Row],[Profit]]/Table1[[#This Row],[Sale]]</f>
        <v>0.45000016522498693</v>
      </c>
      <c r="J1910" s="5">
        <f t="shared" si="58"/>
        <v>2005</v>
      </c>
      <c r="K1910" s="5">
        <f>MONTH(Table1[[#This Row],[Date]])</f>
        <v>3</v>
      </c>
      <c r="L1910" s="5">
        <f>DAY(Table1[[#This Row],[Date]])</f>
        <v>26</v>
      </c>
      <c r="M1910" s="5" t="str">
        <f t="shared" si="59"/>
        <v>Mar</v>
      </c>
    </row>
    <row r="1911" spans="1:13" x14ac:dyDescent="0.25">
      <c r="A1911" s="2">
        <v>38222</v>
      </c>
      <c r="B1911" t="s">
        <v>22</v>
      </c>
      <c r="C1911" t="s">
        <v>23</v>
      </c>
      <c r="D1911" t="s">
        <v>28</v>
      </c>
      <c r="E1911" t="s">
        <v>25</v>
      </c>
      <c r="F1911" s="3">
        <v>3304.61</v>
      </c>
      <c r="G1911" s="3">
        <v>7343.57</v>
      </c>
      <c r="H1911" s="3">
        <f>Table1[[#This Row],[Sale]]-Table1[[#This Row],[Cost]]</f>
        <v>4038.9599999999996</v>
      </c>
      <c r="I1911" s="4">
        <f>Table1[[#This Row],[Profit]]/Table1[[#This Row],[Sale]]</f>
        <v>0.5499995233925733</v>
      </c>
      <c r="J1911" s="5">
        <f t="shared" si="58"/>
        <v>2004</v>
      </c>
      <c r="K1911" s="5">
        <f>MONTH(Table1[[#This Row],[Date]])</f>
        <v>8</v>
      </c>
      <c r="L1911" s="5">
        <f>DAY(Table1[[#This Row],[Date]])</f>
        <v>23</v>
      </c>
      <c r="M1911" s="5" t="str">
        <f t="shared" si="59"/>
        <v>Aug</v>
      </c>
    </row>
    <row r="1912" spans="1:13" x14ac:dyDescent="0.25">
      <c r="A1912" s="2">
        <v>38597</v>
      </c>
      <c r="B1912" t="s">
        <v>11</v>
      </c>
      <c r="C1912" t="s">
        <v>27</v>
      </c>
      <c r="D1912" t="s">
        <v>13</v>
      </c>
      <c r="E1912" t="s">
        <v>25</v>
      </c>
      <c r="F1912" s="3">
        <v>4357.24</v>
      </c>
      <c r="G1912" s="3">
        <v>5809.66</v>
      </c>
      <c r="H1912" s="3">
        <f>Table1[[#This Row],[Sale]]-Table1[[#This Row],[Cost]]</f>
        <v>1452.42</v>
      </c>
      <c r="I1912" s="4">
        <f>Table1[[#This Row],[Profit]]/Table1[[#This Row],[Sale]]</f>
        <v>0.25000086063556215</v>
      </c>
      <c r="J1912" s="5">
        <f t="shared" si="58"/>
        <v>2005</v>
      </c>
      <c r="K1912" s="5">
        <f>MONTH(Table1[[#This Row],[Date]])</f>
        <v>9</v>
      </c>
      <c r="L1912" s="5">
        <f>DAY(Table1[[#This Row],[Date]])</f>
        <v>2</v>
      </c>
      <c r="M1912" s="5" t="str">
        <f t="shared" si="59"/>
        <v>Sep</v>
      </c>
    </row>
    <row r="1913" spans="1:13" x14ac:dyDescent="0.25">
      <c r="A1913" s="2">
        <v>38688</v>
      </c>
      <c r="B1913" t="s">
        <v>22</v>
      </c>
      <c r="C1913" t="s">
        <v>29</v>
      </c>
      <c r="D1913" t="s">
        <v>13</v>
      </c>
      <c r="E1913" t="s">
        <v>24</v>
      </c>
      <c r="F1913" s="3">
        <v>2579.63</v>
      </c>
      <c r="G1913" s="3">
        <v>4690.24</v>
      </c>
      <c r="H1913" s="3">
        <f>Table1[[#This Row],[Sale]]-Table1[[#This Row],[Cost]]</f>
        <v>2110.6099999999997</v>
      </c>
      <c r="I1913" s="4">
        <f>Table1[[#This Row],[Profit]]/Table1[[#This Row],[Sale]]</f>
        <v>0.45000042641741145</v>
      </c>
      <c r="J1913" s="5">
        <f t="shared" si="58"/>
        <v>2005</v>
      </c>
      <c r="K1913" s="5">
        <f>MONTH(Table1[[#This Row],[Date]])</f>
        <v>12</v>
      </c>
      <c r="L1913" s="5">
        <f>DAY(Table1[[#This Row],[Date]])</f>
        <v>2</v>
      </c>
      <c r="M1913" s="5" t="str">
        <f t="shared" si="59"/>
        <v>Dec</v>
      </c>
    </row>
    <row r="1914" spans="1:13" x14ac:dyDescent="0.25">
      <c r="A1914" s="2">
        <v>38760</v>
      </c>
      <c r="B1914" t="s">
        <v>17</v>
      </c>
      <c r="C1914" t="s">
        <v>23</v>
      </c>
      <c r="D1914" t="s">
        <v>28</v>
      </c>
      <c r="E1914" t="s">
        <v>25</v>
      </c>
      <c r="F1914" s="3">
        <v>236.19</v>
      </c>
      <c r="G1914" s="3">
        <v>252.61</v>
      </c>
      <c r="H1914" s="3">
        <f>Table1[[#This Row],[Sale]]-Table1[[#This Row],[Cost]]</f>
        <v>16.420000000000016</v>
      </c>
      <c r="I1914" s="4">
        <f>Table1[[#This Row],[Profit]]/Table1[[#This Row],[Sale]]</f>
        <v>6.5001385535014514E-2</v>
      </c>
      <c r="J1914" s="5">
        <f t="shared" si="58"/>
        <v>2006</v>
      </c>
      <c r="K1914" s="5">
        <f>MONTH(Table1[[#This Row],[Date]])</f>
        <v>2</v>
      </c>
      <c r="L1914" s="5">
        <f>DAY(Table1[[#This Row],[Date]])</f>
        <v>12</v>
      </c>
      <c r="M1914" s="5" t="str">
        <f t="shared" si="59"/>
        <v>Feb</v>
      </c>
    </row>
    <row r="1915" spans="1:13" x14ac:dyDescent="0.25">
      <c r="A1915" s="2">
        <v>38722</v>
      </c>
      <c r="B1915" t="s">
        <v>11</v>
      </c>
      <c r="C1915" t="s">
        <v>23</v>
      </c>
      <c r="D1915" t="s">
        <v>13</v>
      </c>
      <c r="E1915" t="s">
        <v>25</v>
      </c>
      <c r="F1915" s="3">
        <v>241.66</v>
      </c>
      <c r="G1915" s="3">
        <v>322.20999999999998</v>
      </c>
      <c r="H1915" s="3">
        <f>Table1[[#This Row],[Sale]]-Table1[[#This Row],[Cost]]</f>
        <v>80.549999999999983</v>
      </c>
      <c r="I1915" s="4">
        <f>Table1[[#This Row],[Profit]]/Table1[[#This Row],[Sale]]</f>
        <v>0.24999224108500664</v>
      </c>
      <c r="J1915" s="5">
        <f t="shared" si="58"/>
        <v>2006</v>
      </c>
      <c r="K1915" s="5">
        <f>MONTH(Table1[[#This Row],[Date]])</f>
        <v>1</v>
      </c>
      <c r="L1915" s="5">
        <f>DAY(Table1[[#This Row],[Date]])</f>
        <v>5</v>
      </c>
      <c r="M1915" s="5" t="str">
        <f t="shared" si="59"/>
        <v>Jan</v>
      </c>
    </row>
    <row r="1916" spans="1:13" x14ac:dyDescent="0.25">
      <c r="A1916" s="2">
        <v>38200</v>
      </c>
      <c r="B1916" t="s">
        <v>22</v>
      </c>
      <c r="C1916" t="s">
        <v>27</v>
      </c>
      <c r="D1916" t="s">
        <v>19</v>
      </c>
      <c r="E1916" t="s">
        <v>24</v>
      </c>
      <c r="F1916" s="3">
        <v>4595.21</v>
      </c>
      <c r="G1916" s="3">
        <v>8354.92</v>
      </c>
      <c r="H1916" s="3">
        <f>Table1[[#This Row],[Sale]]-Table1[[#This Row],[Cost]]</f>
        <v>3759.71</v>
      </c>
      <c r="I1916" s="4">
        <f>Table1[[#This Row],[Profit]]/Table1[[#This Row],[Sale]]</f>
        <v>0.44999952124017945</v>
      </c>
      <c r="J1916" s="5">
        <f t="shared" si="58"/>
        <v>2004</v>
      </c>
      <c r="K1916" s="5">
        <f>MONTH(Table1[[#This Row],[Date]])</f>
        <v>8</v>
      </c>
      <c r="L1916" s="5">
        <f>DAY(Table1[[#This Row],[Date]])</f>
        <v>1</v>
      </c>
      <c r="M1916" s="5" t="str">
        <f t="shared" si="59"/>
        <v>Aug</v>
      </c>
    </row>
    <row r="1917" spans="1:13" x14ac:dyDescent="0.25">
      <c r="A1917" s="2">
        <v>38748</v>
      </c>
      <c r="B1917" t="s">
        <v>11</v>
      </c>
      <c r="C1917" t="s">
        <v>23</v>
      </c>
      <c r="D1917" t="s">
        <v>16</v>
      </c>
      <c r="E1917" t="s">
        <v>20</v>
      </c>
      <c r="F1917" s="3">
        <v>3047.44</v>
      </c>
      <c r="G1917" s="3">
        <v>5540.8</v>
      </c>
      <c r="H1917" s="3">
        <f>Table1[[#This Row],[Sale]]-Table1[[#This Row],[Cost]]</f>
        <v>2493.36</v>
      </c>
      <c r="I1917" s="4">
        <f>Table1[[#This Row],[Profit]]/Table1[[#This Row],[Sale]]</f>
        <v>0.45</v>
      </c>
      <c r="J1917" s="5">
        <f t="shared" si="58"/>
        <v>2006</v>
      </c>
      <c r="K1917" s="5">
        <f>MONTH(Table1[[#This Row],[Date]])</f>
        <v>1</v>
      </c>
      <c r="L1917" s="5">
        <f>DAY(Table1[[#This Row],[Date]])</f>
        <v>31</v>
      </c>
      <c r="M1917" s="5" t="str">
        <f t="shared" si="59"/>
        <v>Jan</v>
      </c>
    </row>
    <row r="1918" spans="1:13" x14ac:dyDescent="0.25">
      <c r="A1918" s="2">
        <v>38761</v>
      </c>
      <c r="B1918" t="s">
        <v>22</v>
      </c>
      <c r="C1918" t="s">
        <v>27</v>
      </c>
      <c r="D1918" t="s">
        <v>16</v>
      </c>
      <c r="E1918" t="s">
        <v>24</v>
      </c>
      <c r="F1918" s="3">
        <v>4096.3999999999996</v>
      </c>
      <c r="G1918" s="3">
        <v>9526.51</v>
      </c>
      <c r="H1918" s="3">
        <f>Table1[[#This Row],[Sale]]-Table1[[#This Row],[Cost]]</f>
        <v>5430.1100000000006</v>
      </c>
      <c r="I1918" s="4">
        <f>Table1[[#This Row],[Profit]]/Table1[[#This Row],[Sale]]</f>
        <v>0.56999992652083509</v>
      </c>
      <c r="J1918" s="5">
        <f t="shared" si="58"/>
        <v>2006</v>
      </c>
      <c r="K1918" s="5">
        <f>MONTH(Table1[[#This Row],[Date]])</f>
        <v>2</v>
      </c>
      <c r="L1918" s="5">
        <f>DAY(Table1[[#This Row],[Date]])</f>
        <v>13</v>
      </c>
      <c r="M1918" s="5" t="str">
        <f t="shared" si="59"/>
        <v>Feb</v>
      </c>
    </row>
    <row r="1919" spans="1:13" x14ac:dyDescent="0.25">
      <c r="A1919" s="2">
        <v>38604</v>
      </c>
      <c r="B1919" t="s">
        <v>15</v>
      </c>
      <c r="C1919" t="s">
        <v>29</v>
      </c>
      <c r="D1919" t="s">
        <v>16</v>
      </c>
      <c r="E1919" t="s">
        <v>14</v>
      </c>
      <c r="F1919" s="3">
        <v>4390.8599999999997</v>
      </c>
      <c r="G1919" s="3">
        <v>4696.1099999999997</v>
      </c>
      <c r="H1919" s="3">
        <f>Table1[[#This Row],[Sale]]-Table1[[#This Row],[Cost]]</f>
        <v>305.25</v>
      </c>
      <c r="I1919" s="4">
        <f>Table1[[#This Row],[Profit]]/Table1[[#This Row],[Sale]]</f>
        <v>6.5000606885273135E-2</v>
      </c>
      <c r="J1919" s="5">
        <f t="shared" si="58"/>
        <v>2005</v>
      </c>
      <c r="K1919" s="5">
        <f>MONTH(Table1[[#This Row],[Date]])</f>
        <v>9</v>
      </c>
      <c r="L1919" s="5">
        <f>DAY(Table1[[#This Row],[Date]])</f>
        <v>9</v>
      </c>
      <c r="M1919" s="5" t="str">
        <f t="shared" si="59"/>
        <v>Sep</v>
      </c>
    </row>
    <row r="1920" spans="1:13" x14ac:dyDescent="0.25">
      <c r="A1920" s="2">
        <v>38238</v>
      </c>
      <c r="B1920" t="s">
        <v>26</v>
      </c>
      <c r="C1920" t="s">
        <v>29</v>
      </c>
      <c r="D1920" t="s">
        <v>16</v>
      </c>
      <c r="E1920" t="s">
        <v>25</v>
      </c>
      <c r="F1920" s="3">
        <v>1054.19</v>
      </c>
      <c r="G1920" s="3">
        <v>1817.57</v>
      </c>
      <c r="H1920" s="3">
        <f>Table1[[#This Row],[Sale]]-Table1[[#This Row],[Cost]]</f>
        <v>763.37999999999988</v>
      </c>
      <c r="I1920" s="4">
        <f>Table1[[#This Row],[Profit]]/Table1[[#This Row],[Sale]]</f>
        <v>0.42000033011108234</v>
      </c>
      <c r="J1920" s="5">
        <f t="shared" si="58"/>
        <v>2004</v>
      </c>
      <c r="K1920" s="5">
        <f>MONTH(Table1[[#This Row],[Date]])</f>
        <v>9</v>
      </c>
      <c r="L1920" s="5">
        <f>DAY(Table1[[#This Row],[Date]])</f>
        <v>8</v>
      </c>
      <c r="M1920" s="5" t="str">
        <f t="shared" si="59"/>
        <v>Sep</v>
      </c>
    </row>
    <row r="1921" spans="1:13" x14ac:dyDescent="0.25">
      <c r="A1921" s="2">
        <v>38470</v>
      </c>
      <c r="B1921" t="s">
        <v>22</v>
      </c>
      <c r="C1921" t="s">
        <v>29</v>
      </c>
      <c r="D1921" t="s">
        <v>28</v>
      </c>
      <c r="E1921" t="s">
        <v>25</v>
      </c>
      <c r="F1921" s="3">
        <v>3689.25</v>
      </c>
      <c r="G1921" s="3">
        <v>6252.96</v>
      </c>
      <c r="H1921" s="3">
        <f>Table1[[#This Row],[Sale]]-Table1[[#This Row],[Cost]]</f>
        <v>2563.71</v>
      </c>
      <c r="I1921" s="4">
        <f>Table1[[#This Row],[Profit]]/Table1[[#This Row],[Sale]]</f>
        <v>0.40999942427266445</v>
      </c>
      <c r="J1921" s="5">
        <f t="shared" si="58"/>
        <v>2005</v>
      </c>
      <c r="K1921" s="5">
        <f>MONTH(Table1[[#This Row],[Date]])</f>
        <v>4</v>
      </c>
      <c r="L1921" s="5">
        <f>DAY(Table1[[#This Row],[Date]])</f>
        <v>28</v>
      </c>
      <c r="M1921" s="5" t="str">
        <f t="shared" si="59"/>
        <v>Apr</v>
      </c>
    </row>
    <row r="1922" spans="1:13" x14ac:dyDescent="0.25">
      <c r="A1922" s="2">
        <v>38553</v>
      </c>
      <c r="B1922" t="s">
        <v>26</v>
      </c>
      <c r="C1922" t="s">
        <v>12</v>
      </c>
      <c r="D1922" t="s">
        <v>19</v>
      </c>
      <c r="E1922" t="s">
        <v>20</v>
      </c>
      <c r="F1922" s="3">
        <v>3220.41</v>
      </c>
      <c r="G1922" s="3">
        <v>4293.88</v>
      </c>
      <c r="H1922" s="3">
        <f>Table1[[#This Row],[Sale]]-Table1[[#This Row],[Cost]]</f>
        <v>1073.4700000000003</v>
      </c>
      <c r="I1922" s="4">
        <f>Table1[[#This Row],[Profit]]/Table1[[#This Row],[Sale]]</f>
        <v>0.25000000000000006</v>
      </c>
      <c r="J1922" s="5">
        <f t="shared" ref="J1922:J1985" si="60">YEAR(A:A)</f>
        <v>2005</v>
      </c>
      <c r="K1922" s="5">
        <f>MONTH(Table1[[#This Row],[Date]])</f>
        <v>7</v>
      </c>
      <c r="L1922" s="5">
        <f>DAY(Table1[[#This Row],[Date]])</f>
        <v>20</v>
      </c>
      <c r="M1922" s="5" t="str">
        <f t="shared" ref="M1922:M1985" si="61">CHOOSE(K1922,"Jan", "Feb", "Mar", "Apr", "May", "Jun", "Jul", "Aug", "Sep", "Oct", "Nov", "Dec")</f>
        <v>Jul</v>
      </c>
    </row>
    <row r="1923" spans="1:13" x14ac:dyDescent="0.25">
      <c r="A1923" s="2">
        <v>38254</v>
      </c>
      <c r="B1923" t="s">
        <v>22</v>
      </c>
      <c r="C1923" t="s">
        <v>18</v>
      </c>
      <c r="D1923" t="s">
        <v>16</v>
      </c>
      <c r="E1923" t="s">
        <v>14</v>
      </c>
      <c r="F1923" s="3">
        <v>1267.4000000000001</v>
      </c>
      <c r="G1923" s="3">
        <v>2304.36</v>
      </c>
      <c r="H1923" s="3">
        <f>Table1[[#This Row],[Sale]]-Table1[[#This Row],[Cost]]</f>
        <v>1036.96</v>
      </c>
      <c r="I1923" s="4">
        <f>Table1[[#This Row],[Profit]]/Table1[[#This Row],[Sale]]</f>
        <v>0.44999913208005693</v>
      </c>
      <c r="J1923" s="5">
        <f t="shared" si="60"/>
        <v>2004</v>
      </c>
      <c r="K1923" s="5">
        <f>MONTH(Table1[[#This Row],[Date]])</f>
        <v>9</v>
      </c>
      <c r="L1923" s="5">
        <f>DAY(Table1[[#This Row],[Date]])</f>
        <v>24</v>
      </c>
      <c r="M1923" s="5" t="str">
        <f t="shared" si="61"/>
        <v>Sep</v>
      </c>
    </row>
    <row r="1924" spans="1:13" x14ac:dyDescent="0.25">
      <c r="A1924" s="2">
        <v>38337</v>
      </c>
      <c r="B1924" t="s">
        <v>26</v>
      </c>
      <c r="C1924" t="s">
        <v>18</v>
      </c>
      <c r="D1924" t="s">
        <v>13</v>
      </c>
      <c r="E1924" t="s">
        <v>14</v>
      </c>
      <c r="F1924" s="3">
        <v>4145.58</v>
      </c>
      <c r="G1924" s="3">
        <v>7026.41</v>
      </c>
      <c r="H1924" s="3">
        <f>Table1[[#This Row],[Sale]]-Table1[[#This Row],[Cost]]</f>
        <v>2880.83</v>
      </c>
      <c r="I1924" s="4">
        <f>Table1[[#This Row],[Profit]]/Table1[[#This Row],[Sale]]</f>
        <v>0.41000027040835929</v>
      </c>
      <c r="J1924" s="5">
        <f t="shared" si="60"/>
        <v>2004</v>
      </c>
      <c r="K1924" s="5">
        <f>MONTH(Table1[[#This Row],[Date]])</f>
        <v>12</v>
      </c>
      <c r="L1924" s="5">
        <f>DAY(Table1[[#This Row],[Date]])</f>
        <v>16</v>
      </c>
      <c r="M1924" s="5" t="str">
        <f t="shared" si="61"/>
        <v>Dec</v>
      </c>
    </row>
    <row r="1925" spans="1:13" x14ac:dyDescent="0.25">
      <c r="A1925" s="2">
        <v>38488</v>
      </c>
      <c r="B1925" t="s">
        <v>22</v>
      </c>
      <c r="C1925" t="s">
        <v>12</v>
      </c>
      <c r="D1925" t="s">
        <v>16</v>
      </c>
      <c r="E1925" t="s">
        <v>25</v>
      </c>
      <c r="F1925" s="3">
        <v>2000.28</v>
      </c>
      <c r="G1925" s="3">
        <v>4651.82</v>
      </c>
      <c r="H1925" s="3">
        <f>Table1[[#This Row],[Sale]]-Table1[[#This Row],[Cost]]</f>
        <v>2651.54</v>
      </c>
      <c r="I1925" s="4">
        <f>Table1[[#This Row],[Profit]]/Table1[[#This Row],[Sale]]</f>
        <v>0.57000055892102452</v>
      </c>
      <c r="J1925" s="5">
        <f t="shared" si="60"/>
        <v>2005</v>
      </c>
      <c r="K1925" s="5">
        <f>MONTH(Table1[[#This Row],[Date]])</f>
        <v>5</v>
      </c>
      <c r="L1925" s="5">
        <f>DAY(Table1[[#This Row],[Date]])</f>
        <v>16</v>
      </c>
      <c r="M1925" s="5" t="str">
        <f t="shared" si="61"/>
        <v>May</v>
      </c>
    </row>
    <row r="1926" spans="1:13" x14ac:dyDescent="0.25">
      <c r="A1926" s="2">
        <v>38510</v>
      </c>
      <c r="B1926" t="s">
        <v>15</v>
      </c>
      <c r="C1926" t="s">
        <v>23</v>
      </c>
      <c r="D1926" t="s">
        <v>28</v>
      </c>
      <c r="E1926" t="s">
        <v>20</v>
      </c>
      <c r="F1926" s="3">
        <v>4825.25</v>
      </c>
      <c r="G1926" s="3">
        <v>5483.24</v>
      </c>
      <c r="H1926" s="3">
        <f>Table1[[#This Row],[Sale]]-Table1[[#This Row],[Cost]]</f>
        <v>657.98999999999978</v>
      </c>
      <c r="I1926" s="4">
        <f>Table1[[#This Row],[Profit]]/Table1[[#This Row],[Sale]]</f>
        <v>0.12000021884870986</v>
      </c>
      <c r="J1926" s="5">
        <f t="shared" si="60"/>
        <v>2005</v>
      </c>
      <c r="K1926" s="5">
        <f>MONTH(Table1[[#This Row],[Date]])</f>
        <v>6</v>
      </c>
      <c r="L1926" s="5">
        <f>DAY(Table1[[#This Row],[Date]])</f>
        <v>7</v>
      </c>
      <c r="M1926" s="5" t="str">
        <f t="shared" si="61"/>
        <v>Jun</v>
      </c>
    </row>
    <row r="1927" spans="1:13" x14ac:dyDescent="0.25">
      <c r="A1927" s="2">
        <v>38183</v>
      </c>
      <c r="B1927" t="s">
        <v>11</v>
      </c>
      <c r="C1927" t="s">
        <v>27</v>
      </c>
      <c r="D1927" t="s">
        <v>28</v>
      </c>
      <c r="E1927" t="s">
        <v>14</v>
      </c>
      <c r="F1927" s="3">
        <v>4614.51</v>
      </c>
      <c r="G1927" s="3">
        <v>6786.04</v>
      </c>
      <c r="H1927" s="3">
        <f>Table1[[#This Row],[Sale]]-Table1[[#This Row],[Cost]]</f>
        <v>2171.5299999999997</v>
      </c>
      <c r="I1927" s="4">
        <f>Table1[[#This Row],[Profit]]/Table1[[#This Row],[Sale]]</f>
        <v>0.31999958738822637</v>
      </c>
      <c r="J1927" s="5">
        <f t="shared" si="60"/>
        <v>2004</v>
      </c>
      <c r="K1927" s="5">
        <f>MONTH(Table1[[#This Row],[Date]])</f>
        <v>7</v>
      </c>
      <c r="L1927" s="5">
        <f>DAY(Table1[[#This Row],[Date]])</f>
        <v>15</v>
      </c>
      <c r="M1927" s="5" t="str">
        <f t="shared" si="61"/>
        <v>Jul</v>
      </c>
    </row>
    <row r="1928" spans="1:13" x14ac:dyDescent="0.25">
      <c r="A1928" s="2">
        <v>38463</v>
      </c>
      <c r="B1928" t="s">
        <v>21</v>
      </c>
      <c r="C1928" t="s">
        <v>12</v>
      </c>
      <c r="D1928" t="s">
        <v>19</v>
      </c>
      <c r="E1928" t="s">
        <v>20</v>
      </c>
      <c r="F1928" s="3">
        <v>2494.63</v>
      </c>
      <c r="G1928" s="3">
        <v>4301.08</v>
      </c>
      <c r="H1928" s="3">
        <f>Table1[[#This Row],[Sale]]-Table1[[#This Row],[Cost]]</f>
        <v>1806.4499999999998</v>
      </c>
      <c r="I1928" s="4">
        <f>Table1[[#This Row],[Profit]]/Table1[[#This Row],[Sale]]</f>
        <v>0.41999916300092066</v>
      </c>
      <c r="J1928" s="5">
        <f t="shared" si="60"/>
        <v>2005</v>
      </c>
      <c r="K1928" s="5">
        <f>MONTH(Table1[[#This Row],[Date]])</f>
        <v>4</v>
      </c>
      <c r="L1928" s="5">
        <f>DAY(Table1[[#This Row],[Date]])</f>
        <v>21</v>
      </c>
      <c r="M1928" s="5" t="str">
        <f t="shared" si="61"/>
        <v>Apr</v>
      </c>
    </row>
    <row r="1929" spans="1:13" x14ac:dyDescent="0.25">
      <c r="A1929" s="2">
        <v>38746</v>
      </c>
      <c r="B1929" t="s">
        <v>22</v>
      </c>
      <c r="C1929" t="s">
        <v>29</v>
      </c>
      <c r="D1929" t="s">
        <v>13</v>
      </c>
      <c r="E1929" t="s">
        <v>20</v>
      </c>
      <c r="F1929" s="3">
        <v>429.6</v>
      </c>
      <c r="G1929" s="3">
        <v>459.47</v>
      </c>
      <c r="H1929" s="3">
        <f>Table1[[#This Row],[Sale]]-Table1[[#This Row],[Cost]]</f>
        <v>29.870000000000005</v>
      </c>
      <c r="I1929" s="4">
        <f>Table1[[#This Row],[Profit]]/Table1[[#This Row],[Sale]]</f>
        <v>6.5009685071930709E-2</v>
      </c>
      <c r="J1929" s="5">
        <f t="shared" si="60"/>
        <v>2006</v>
      </c>
      <c r="K1929" s="5">
        <f>MONTH(Table1[[#This Row],[Date]])</f>
        <v>1</v>
      </c>
      <c r="L1929" s="5">
        <f>DAY(Table1[[#This Row],[Date]])</f>
        <v>29</v>
      </c>
      <c r="M1929" s="5" t="str">
        <f t="shared" si="61"/>
        <v>Jan</v>
      </c>
    </row>
    <row r="1930" spans="1:13" x14ac:dyDescent="0.25">
      <c r="A1930" s="2">
        <v>38588</v>
      </c>
      <c r="B1930" t="s">
        <v>11</v>
      </c>
      <c r="C1930" t="s">
        <v>23</v>
      </c>
      <c r="D1930" t="s">
        <v>13</v>
      </c>
      <c r="E1930" t="s">
        <v>20</v>
      </c>
      <c r="F1930" s="3">
        <v>4788.72</v>
      </c>
      <c r="G1930" s="3">
        <v>8116.47</v>
      </c>
      <c r="H1930" s="3">
        <f>Table1[[#This Row],[Sale]]-Table1[[#This Row],[Cost]]</f>
        <v>3327.75</v>
      </c>
      <c r="I1930" s="4">
        <f>Table1[[#This Row],[Profit]]/Table1[[#This Row],[Sale]]</f>
        <v>0.40999966734306909</v>
      </c>
      <c r="J1930" s="5">
        <f t="shared" si="60"/>
        <v>2005</v>
      </c>
      <c r="K1930" s="5">
        <f>MONTH(Table1[[#This Row],[Date]])</f>
        <v>8</v>
      </c>
      <c r="L1930" s="5">
        <f>DAY(Table1[[#This Row],[Date]])</f>
        <v>24</v>
      </c>
      <c r="M1930" s="5" t="str">
        <f t="shared" si="61"/>
        <v>Aug</v>
      </c>
    </row>
    <row r="1931" spans="1:13" x14ac:dyDescent="0.25">
      <c r="A1931" s="2">
        <v>38238</v>
      </c>
      <c r="B1931" t="s">
        <v>15</v>
      </c>
      <c r="C1931" t="s">
        <v>18</v>
      </c>
      <c r="D1931" t="s">
        <v>28</v>
      </c>
      <c r="E1931" t="s">
        <v>25</v>
      </c>
      <c r="F1931" s="3">
        <v>422.72</v>
      </c>
      <c r="G1931" s="3">
        <v>768.59</v>
      </c>
      <c r="H1931" s="3">
        <f>Table1[[#This Row],[Sale]]-Table1[[#This Row],[Cost]]</f>
        <v>345.87</v>
      </c>
      <c r="I1931" s="4">
        <f>Table1[[#This Row],[Profit]]/Table1[[#This Row],[Sale]]</f>
        <v>0.45000585487711264</v>
      </c>
      <c r="J1931" s="5">
        <f t="shared" si="60"/>
        <v>2004</v>
      </c>
      <c r="K1931" s="5">
        <f>MONTH(Table1[[#This Row],[Date]])</f>
        <v>9</v>
      </c>
      <c r="L1931" s="5">
        <f>DAY(Table1[[#This Row],[Date]])</f>
        <v>8</v>
      </c>
      <c r="M1931" s="5" t="str">
        <f t="shared" si="61"/>
        <v>Sep</v>
      </c>
    </row>
    <row r="1932" spans="1:13" x14ac:dyDescent="0.25">
      <c r="A1932" s="2">
        <v>38703</v>
      </c>
      <c r="B1932" t="s">
        <v>15</v>
      </c>
      <c r="C1932" t="s">
        <v>29</v>
      </c>
      <c r="D1932" t="s">
        <v>16</v>
      </c>
      <c r="E1932" t="s">
        <v>14</v>
      </c>
      <c r="F1932" s="3">
        <v>1693.79</v>
      </c>
      <c r="G1932" s="3">
        <v>4577.8</v>
      </c>
      <c r="H1932" s="3">
        <f>Table1[[#This Row],[Sale]]-Table1[[#This Row],[Cost]]</f>
        <v>2884.01</v>
      </c>
      <c r="I1932" s="4">
        <f>Table1[[#This Row],[Profit]]/Table1[[#This Row],[Sale]]</f>
        <v>0.62999912621783394</v>
      </c>
      <c r="J1932" s="5">
        <f t="shared" si="60"/>
        <v>2005</v>
      </c>
      <c r="K1932" s="5">
        <f>MONTH(Table1[[#This Row],[Date]])</f>
        <v>12</v>
      </c>
      <c r="L1932" s="5">
        <f>DAY(Table1[[#This Row],[Date]])</f>
        <v>17</v>
      </c>
      <c r="M1932" s="5" t="str">
        <f t="shared" si="61"/>
        <v>Dec</v>
      </c>
    </row>
    <row r="1933" spans="1:13" x14ac:dyDescent="0.25">
      <c r="A1933" s="2">
        <v>38703</v>
      </c>
      <c r="B1933" t="s">
        <v>22</v>
      </c>
      <c r="C1933" t="s">
        <v>29</v>
      </c>
      <c r="D1933" t="s">
        <v>28</v>
      </c>
      <c r="E1933" t="s">
        <v>24</v>
      </c>
      <c r="F1933" s="3">
        <v>1382.03</v>
      </c>
      <c r="G1933" s="3">
        <v>3214.02</v>
      </c>
      <c r="H1933" s="3">
        <f>Table1[[#This Row],[Sale]]-Table1[[#This Row],[Cost]]</f>
        <v>1831.99</v>
      </c>
      <c r="I1933" s="4">
        <f>Table1[[#This Row],[Profit]]/Table1[[#This Row],[Sale]]</f>
        <v>0.56999956440843558</v>
      </c>
      <c r="J1933" s="5">
        <f t="shared" si="60"/>
        <v>2005</v>
      </c>
      <c r="K1933" s="5">
        <f>MONTH(Table1[[#This Row],[Date]])</f>
        <v>12</v>
      </c>
      <c r="L1933" s="5">
        <f>DAY(Table1[[#This Row],[Date]])</f>
        <v>17</v>
      </c>
      <c r="M1933" s="5" t="str">
        <f t="shared" si="61"/>
        <v>Dec</v>
      </c>
    </row>
    <row r="1934" spans="1:13" x14ac:dyDescent="0.25">
      <c r="A1934" s="2">
        <v>38275</v>
      </c>
      <c r="B1934" t="s">
        <v>22</v>
      </c>
      <c r="C1934" t="s">
        <v>18</v>
      </c>
      <c r="D1934" t="s">
        <v>28</v>
      </c>
      <c r="E1934" t="s">
        <v>25</v>
      </c>
      <c r="F1934" s="3">
        <v>56.57</v>
      </c>
      <c r="G1934" s="3">
        <v>75.430000000000007</v>
      </c>
      <c r="H1934" s="3">
        <f>Table1[[#This Row],[Sale]]-Table1[[#This Row],[Cost]]</f>
        <v>18.860000000000007</v>
      </c>
      <c r="I1934" s="4">
        <f>Table1[[#This Row],[Profit]]/Table1[[#This Row],[Sale]]</f>
        <v>0.25003314331167975</v>
      </c>
      <c r="J1934" s="5">
        <f t="shared" si="60"/>
        <v>2004</v>
      </c>
      <c r="K1934" s="5">
        <f>MONTH(Table1[[#This Row],[Date]])</f>
        <v>10</v>
      </c>
      <c r="L1934" s="5">
        <f>DAY(Table1[[#This Row],[Date]])</f>
        <v>15</v>
      </c>
      <c r="M1934" s="5" t="str">
        <f t="shared" si="61"/>
        <v>Oct</v>
      </c>
    </row>
    <row r="1935" spans="1:13" x14ac:dyDescent="0.25">
      <c r="A1935" s="2">
        <v>38325</v>
      </c>
      <c r="B1935" t="s">
        <v>15</v>
      </c>
      <c r="C1935" t="s">
        <v>18</v>
      </c>
      <c r="D1935" t="s">
        <v>19</v>
      </c>
      <c r="E1935" t="s">
        <v>25</v>
      </c>
      <c r="F1935" s="3">
        <v>4262.5200000000004</v>
      </c>
      <c r="G1935" s="3">
        <v>7750.03</v>
      </c>
      <c r="H1935" s="3">
        <f>Table1[[#This Row],[Sale]]-Table1[[#This Row],[Cost]]</f>
        <v>3487.5099999999993</v>
      </c>
      <c r="I1935" s="4">
        <f>Table1[[#This Row],[Profit]]/Table1[[#This Row],[Sale]]</f>
        <v>0.44999954838884487</v>
      </c>
      <c r="J1935" s="5">
        <f t="shared" si="60"/>
        <v>2004</v>
      </c>
      <c r="K1935" s="5">
        <f>MONTH(Table1[[#This Row],[Date]])</f>
        <v>12</v>
      </c>
      <c r="L1935" s="5">
        <f>DAY(Table1[[#This Row],[Date]])</f>
        <v>4</v>
      </c>
      <c r="M1935" s="5" t="str">
        <f t="shared" si="61"/>
        <v>Dec</v>
      </c>
    </row>
    <row r="1936" spans="1:13" x14ac:dyDescent="0.25">
      <c r="A1936" s="2">
        <v>38842</v>
      </c>
      <c r="B1936" t="s">
        <v>26</v>
      </c>
      <c r="C1936" t="s">
        <v>27</v>
      </c>
      <c r="D1936" t="s">
        <v>28</v>
      </c>
      <c r="E1936" t="s">
        <v>25</v>
      </c>
      <c r="F1936" s="3">
        <v>1974.5</v>
      </c>
      <c r="G1936" s="3">
        <v>4591.87</v>
      </c>
      <c r="H1936" s="3">
        <f>Table1[[#This Row],[Sale]]-Table1[[#This Row],[Cost]]</f>
        <v>2617.37</v>
      </c>
      <c r="I1936" s="4">
        <f>Table1[[#This Row],[Profit]]/Table1[[#This Row],[Sale]]</f>
        <v>0.5700008928824204</v>
      </c>
      <c r="J1936" s="5">
        <f t="shared" si="60"/>
        <v>2006</v>
      </c>
      <c r="K1936" s="5">
        <f>MONTH(Table1[[#This Row],[Date]])</f>
        <v>5</v>
      </c>
      <c r="L1936" s="5">
        <f>DAY(Table1[[#This Row],[Date]])</f>
        <v>5</v>
      </c>
      <c r="M1936" s="5" t="str">
        <f t="shared" si="61"/>
        <v>May</v>
      </c>
    </row>
    <row r="1937" spans="1:13" x14ac:dyDescent="0.25">
      <c r="A1937" s="2">
        <v>38263</v>
      </c>
      <c r="B1937" t="s">
        <v>21</v>
      </c>
      <c r="C1937" t="s">
        <v>23</v>
      </c>
      <c r="D1937" t="s">
        <v>19</v>
      </c>
      <c r="E1937" t="s">
        <v>24</v>
      </c>
      <c r="F1937" s="3">
        <v>2067.7600000000002</v>
      </c>
      <c r="G1937" s="3">
        <v>5588.55</v>
      </c>
      <c r="H1937" s="3">
        <f>Table1[[#This Row],[Sale]]-Table1[[#This Row],[Cost]]</f>
        <v>3520.79</v>
      </c>
      <c r="I1937" s="4">
        <f>Table1[[#This Row],[Profit]]/Table1[[#This Row],[Sale]]</f>
        <v>0.63000062628052</v>
      </c>
      <c r="J1937" s="5">
        <f t="shared" si="60"/>
        <v>2004</v>
      </c>
      <c r="K1937" s="5">
        <f>MONTH(Table1[[#This Row],[Date]])</f>
        <v>10</v>
      </c>
      <c r="L1937" s="5">
        <f>DAY(Table1[[#This Row],[Date]])</f>
        <v>3</v>
      </c>
      <c r="M1937" s="5" t="str">
        <f t="shared" si="61"/>
        <v>Oct</v>
      </c>
    </row>
    <row r="1938" spans="1:13" x14ac:dyDescent="0.25">
      <c r="A1938" s="2">
        <v>38229</v>
      </c>
      <c r="B1938" t="s">
        <v>22</v>
      </c>
      <c r="C1938" t="s">
        <v>12</v>
      </c>
      <c r="D1938" t="s">
        <v>13</v>
      </c>
      <c r="E1938" t="s">
        <v>20</v>
      </c>
      <c r="F1938" s="3">
        <v>744.84</v>
      </c>
      <c r="G1938" s="3">
        <v>2013.09</v>
      </c>
      <c r="H1938" s="3">
        <f>Table1[[#This Row],[Sale]]-Table1[[#This Row],[Cost]]</f>
        <v>1268.25</v>
      </c>
      <c r="I1938" s="4">
        <f>Table1[[#This Row],[Profit]]/Table1[[#This Row],[Sale]]</f>
        <v>0.63000163927097153</v>
      </c>
      <c r="J1938" s="5">
        <f t="shared" si="60"/>
        <v>2004</v>
      </c>
      <c r="K1938" s="5">
        <f>MONTH(Table1[[#This Row],[Date]])</f>
        <v>8</v>
      </c>
      <c r="L1938" s="5">
        <f>DAY(Table1[[#This Row],[Date]])</f>
        <v>30</v>
      </c>
      <c r="M1938" s="5" t="str">
        <f t="shared" si="61"/>
        <v>Aug</v>
      </c>
    </row>
    <row r="1939" spans="1:13" x14ac:dyDescent="0.25">
      <c r="A1939" s="2">
        <v>38403</v>
      </c>
      <c r="B1939" t="s">
        <v>17</v>
      </c>
      <c r="C1939" t="s">
        <v>18</v>
      </c>
      <c r="D1939" t="s">
        <v>13</v>
      </c>
      <c r="E1939" t="s">
        <v>14</v>
      </c>
      <c r="F1939" s="3">
        <v>3261.69</v>
      </c>
      <c r="G1939" s="3">
        <v>3488.44</v>
      </c>
      <c r="H1939" s="3">
        <f>Table1[[#This Row],[Sale]]-Table1[[#This Row],[Cost]]</f>
        <v>226.75</v>
      </c>
      <c r="I1939" s="4">
        <f>Table1[[#This Row],[Profit]]/Table1[[#This Row],[Sale]]</f>
        <v>6.500040132552086E-2</v>
      </c>
      <c r="J1939" s="5">
        <f t="shared" si="60"/>
        <v>2005</v>
      </c>
      <c r="K1939" s="5">
        <f>MONTH(Table1[[#This Row],[Date]])</f>
        <v>2</v>
      </c>
      <c r="L1939" s="5">
        <f>DAY(Table1[[#This Row],[Date]])</f>
        <v>20</v>
      </c>
      <c r="M1939" s="5" t="str">
        <f t="shared" si="61"/>
        <v>Feb</v>
      </c>
    </row>
    <row r="1940" spans="1:13" x14ac:dyDescent="0.25">
      <c r="A1940" s="2">
        <v>38197</v>
      </c>
      <c r="B1940" t="s">
        <v>21</v>
      </c>
      <c r="C1940" t="s">
        <v>18</v>
      </c>
      <c r="D1940" t="s">
        <v>13</v>
      </c>
      <c r="E1940" t="s">
        <v>14</v>
      </c>
      <c r="F1940" s="3">
        <v>4675.34</v>
      </c>
      <c r="G1940" s="3">
        <v>8500.61</v>
      </c>
      <c r="H1940" s="3">
        <f>Table1[[#This Row],[Sale]]-Table1[[#This Row],[Cost]]</f>
        <v>3825.2700000000004</v>
      </c>
      <c r="I1940" s="4">
        <f>Table1[[#This Row],[Profit]]/Table1[[#This Row],[Sale]]</f>
        <v>0.44999947062622569</v>
      </c>
      <c r="J1940" s="5">
        <f t="shared" si="60"/>
        <v>2004</v>
      </c>
      <c r="K1940" s="5">
        <f>MONTH(Table1[[#This Row],[Date]])</f>
        <v>7</v>
      </c>
      <c r="L1940" s="5">
        <f>DAY(Table1[[#This Row],[Date]])</f>
        <v>29</v>
      </c>
      <c r="M1940" s="5" t="str">
        <f t="shared" si="61"/>
        <v>Jul</v>
      </c>
    </row>
    <row r="1941" spans="1:13" x14ac:dyDescent="0.25">
      <c r="A1941" s="2">
        <v>38754</v>
      </c>
      <c r="B1941" t="s">
        <v>17</v>
      </c>
      <c r="C1941" t="s">
        <v>29</v>
      </c>
      <c r="D1941" t="s">
        <v>16</v>
      </c>
      <c r="E1941" t="s">
        <v>25</v>
      </c>
      <c r="F1941" s="3">
        <v>3138.51</v>
      </c>
      <c r="G1941" s="3">
        <v>7298.86</v>
      </c>
      <c r="H1941" s="3">
        <f>Table1[[#This Row],[Sale]]-Table1[[#This Row],[Cost]]</f>
        <v>4160.3499999999995</v>
      </c>
      <c r="I1941" s="4">
        <f>Table1[[#This Row],[Profit]]/Table1[[#This Row],[Sale]]</f>
        <v>0.56999997259846058</v>
      </c>
      <c r="J1941" s="5">
        <f t="shared" si="60"/>
        <v>2006</v>
      </c>
      <c r="K1941" s="5">
        <f>MONTH(Table1[[#This Row],[Date]])</f>
        <v>2</v>
      </c>
      <c r="L1941" s="5">
        <f>DAY(Table1[[#This Row],[Date]])</f>
        <v>6</v>
      </c>
      <c r="M1941" s="5" t="str">
        <f t="shared" si="61"/>
        <v>Feb</v>
      </c>
    </row>
    <row r="1942" spans="1:13" x14ac:dyDescent="0.25">
      <c r="A1942" s="2">
        <v>38579</v>
      </c>
      <c r="B1942" t="s">
        <v>17</v>
      </c>
      <c r="C1942" t="s">
        <v>23</v>
      </c>
      <c r="D1942" t="s">
        <v>19</v>
      </c>
      <c r="E1942" t="s">
        <v>14</v>
      </c>
      <c r="F1942" s="3">
        <v>3647.28</v>
      </c>
      <c r="G1942" s="3">
        <v>4863.04</v>
      </c>
      <c r="H1942" s="3">
        <f>Table1[[#This Row],[Sale]]-Table1[[#This Row],[Cost]]</f>
        <v>1215.7599999999998</v>
      </c>
      <c r="I1942" s="4">
        <f>Table1[[#This Row],[Profit]]/Table1[[#This Row],[Sale]]</f>
        <v>0.24999999999999994</v>
      </c>
      <c r="J1942" s="5">
        <f t="shared" si="60"/>
        <v>2005</v>
      </c>
      <c r="K1942" s="5">
        <f>MONTH(Table1[[#This Row],[Date]])</f>
        <v>8</v>
      </c>
      <c r="L1942" s="5">
        <f>DAY(Table1[[#This Row],[Date]])</f>
        <v>15</v>
      </c>
      <c r="M1942" s="5" t="str">
        <f t="shared" si="61"/>
        <v>Aug</v>
      </c>
    </row>
    <row r="1943" spans="1:13" x14ac:dyDescent="0.25">
      <c r="A1943" s="2">
        <v>38253</v>
      </c>
      <c r="B1943" t="s">
        <v>26</v>
      </c>
      <c r="C1943" t="s">
        <v>12</v>
      </c>
      <c r="D1943" t="s">
        <v>13</v>
      </c>
      <c r="E1943" t="s">
        <v>25</v>
      </c>
      <c r="F1943" s="3">
        <v>1657.2</v>
      </c>
      <c r="G1943" s="3">
        <v>2857.24</v>
      </c>
      <c r="H1943" s="3">
        <f>Table1[[#This Row],[Sale]]-Table1[[#This Row],[Cost]]</f>
        <v>1200.0399999999997</v>
      </c>
      <c r="I1943" s="4">
        <f>Table1[[#This Row],[Profit]]/Table1[[#This Row],[Sale]]</f>
        <v>0.41999972000951963</v>
      </c>
      <c r="J1943" s="5">
        <f t="shared" si="60"/>
        <v>2004</v>
      </c>
      <c r="K1943" s="5">
        <f>MONTH(Table1[[#This Row],[Date]])</f>
        <v>9</v>
      </c>
      <c r="L1943" s="5">
        <f>DAY(Table1[[#This Row],[Date]])</f>
        <v>23</v>
      </c>
      <c r="M1943" s="5" t="str">
        <f t="shared" si="61"/>
        <v>Sep</v>
      </c>
    </row>
    <row r="1944" spans="1:13" x14ac:dyDescent="0.25">
      <c r="A1944" s="2">
        <v>38521</v>
      </c>
      <c r="B1944" t="s">
        <v>22</v>
      </c>
      <c r="C1944" t="s">
        <v>23</v>
      </c>
      <c r="D1944" t="s">
        <v>28</v>
      </c>
      <c r="E1944" t="s">
        <v>20</v>
      </c>
      <c r="F1944" s="3">
        <v>4302.01</v>
      </c>
      <c r="G1944" s="3">
        <v>9560.02</v>
      </c>
      <c r="H1944" s="3">
        <f>Table1[[#This Row],[Sale]]-Table1[[#This Row],[Cost]]</f>
        <v>5258.01</v>
      </c>
      <c r="I1944" s="4">
        <f>Table1[[#This Row],[Profit]]/Table1[[#This Row],[Sale]]</f>
        <v>0.54999989539770833</v>
      </c>
      <c r="J1944" s="5">
        <f t="shared" si="60"/>
        <v>2005</v>
      </c>
      <c r="K1944" s="5">
        <f>MONTH(Table1[[#This Row],[Date]])</f>
        <v>6</v>
      </c>
      <c r="L1944" s="5">
        <f>DAY(Table1[[#This Row],[Date]])</f>
        <v>18</v>
      </c>
      <c r="M1944" s="5" t="str">
        <f t="shared" si="61"/>
        <v>Jun</v>
      </c>
    </row>
    <row r="1945" spans="1:13" x14ac:dyDescent="0.25">
      <c r="A1945" s="2">
        <v>38734</v>
      </c>
      <c r="B1945" t="s">
        <v>22</v>
      </c>
      <c r="C1945" t="s">
        <v>29</v>
      </c>
      <c r="D1945" t="s">
        <v>16</v>
      </c>
      <c r="E1945" t="s">
        <v>25</v>
      </c>
      <c r="F1945" s="3">
        <v>746.97</v>
      </c>
      <c r="G1945" s="3">
        <v>798.9</v>
      </c>
      <c r="H1945" s="3">
        <f>Table1[[#This Row],[Sale]]-Table1[[#This Row],[Cost]]</f>
        <v>51.92999999999995</v>
      </c>
      <c r="I1945" s="4">
        <f>Table1[[#This Row],[Profit]]/Table1[[#This Row],[Sale]]</f>
        <v>6.5001877581674736E-2</v>
      </c>
      <c r="J1945" s="5">
        <f t="shared" si="60"/>
        <v>2006</v>
      </c>
      <c r="K1945" s="5">
        <f>MONTH(Table1[[#This Row],[Date]])</f>
        <v>1</v>
      </c>
      <c r="L1945" s="5">
        <f>DAY(Table1[[#This Row],[Date]])</f>
        <v>17</v>
      </c>
      <c r="M1945" s="5" t="str">
        <f t="shared" si="61"/>
        <v>Jan</v>
      </c>
    </row>
    <row r="1946" spans="1:13" x14ac:dyDescent="0.25">
      <c r="A1946" s="2">
        <v>38298</v>
      </c>
      <c r="B1946" t="s">
        <v>17</v>
      </c>
      <c r="C1946" t="s">
        <v>23</v>
      </c>
      <c r="D1946" t="s">
        <v>13</v>
      </c>
      <c r="E1946" t="s">
        <v>25</v>
      </c>
      <c r="F1946" s="3">
        <v>2972.24</v>
      </c>
      <c r="G1946" s="3">
        <v>4370.9399999999996</v>
      </c>
      <c r="H1946" s="3">
        <f>Table1[[#This Row],[Sale]]-Table1[[#This Row],[Cost]]</f>
        <v>1398.6999999999998</v>
      </c>
      <c r="I1946" s="4">
        <f>Table1[[#This Row],[Profit]]/Table1[[#This Row],[Sale]]</f>
        <v>0.31999981697300806</v>
      </c>
      <c r="J1946" s="5">
        <f t="shared" si="60"/>
        <v>2004</v>
      </c>
      <c r="K1946" s="5">
        <f>MONTH(Table1[[#This Row],[Date]])</f>
        <v>11</v>
      </c>
      <c r="L1946" s="5">
        <f>DAY(Table1[[#This Row],[Date]])</f>
        <v>7</v>
      </c>
      <c r="M1946" s="5" t="str">
        <f t="shared" si="61"/>
        <v>Nov</v>
      </c>
    </row>
    <row r="1947" spans="1:13" x14ac:dyDescent="0.25">
      <c r="A1947" s="2">
        <v>38166</v>
      </c>
      <c r="B1947" t="s">
        <v>22</v>
      </c>
      <c r="C1947" t="s">
        <v>23</v>
      </c>
      <c r="D1947" t="s">
        <v>28</v>
      </c>
      <c r="E1947" t="s">
        <v>20</v>
      </c>
      <c r="F1947" s="3">
        <v>844.62</v>
      </c>
      <c r="G1947" s="3">
        <v>903.34</v>
      </c>
      <c r="H1947" s="3">
        <f>Table1[[#This Row],[Sale]]-Table1[[#This Row],[Cost]]</f>
        <v>58.720000000000027</v>
      </c>
      <c r="I1947" s="4">
        <f>Table1[[#This Row],[Profit]]/Table1[[#This Row],[Sale]]</f>
        <v>6.5003210308411039E-2</v>
      </c>
      <c r="J1947" s="5">
        <f t="shared" si="60"/>
        <v>2004</v>
      </c>
      <c r="K1947" s="5">
        <f>MONTH(Table1[[#This Row],[Date]])</f>
        <v>6</v>
      </c>
      <c r="L1947" s="5">
        <f>DAY(Table1[[#This Row],[Date]])</f>
        <v>28</v>
      </c>
      <c r="M1947" s="5" t="str">
        <f t="shared" si="61"/>
        <v>Jun</v>
      </c>
    </row>
    <row r="1948" spans="1:13" x14ac:dyDescent="0.25">
      <c r="A1948" s="2">
        <v>38817</v>
      </c>
      <c r="B1948" t="s">
        <v>15</v>
      </c>
      <c r="C1948" t="s">
        <v>18</v>
      </c>
      <c r="D1948" t="s">
        <v>28</v>
      </c>
      <c r="E1948" t="s">
        <v>25</v>
      </c>
      <c r="F1948" s="3">
        <v>2373.2800000000002</v>
      </c>
      <c r="G1948" s="3">
        <v>4091.86</v>
      </c>
      <c r="H1948" s="3">
        <f>Table1[[#This Row],[Sale]]-Table1[[#This Row],[Cost]]</f>
        <v>1718.58</v>
      </c>
      <c r="I1948" s="4">
        <f>Table1[[#This Row],[Profit]]/Table1[[#This Row],[Sale]]</f>
        <v>0.4199997067348345</v>
      </c>
      <c r="J1948" s="5">
        <f t="shared" si="60"/>
        <v>2006</v>
      </c>
      <c r="K1948" s="5">
        <f>MONTH(Table1[[#This Row],[Date]])</f>
        <v>4</v>
      </c>
      <c r="L1948" s="5">
        <f>DAY(Table1[[#This Row],[Date]])</f>
        <v>10</v>
      </c>
      <c r="M1948" s="5" t="str">
        <f t="shared" si="61"/>
        <v>Apr</v>
      </c>
    </row>
    <row r="1949" spans="1:13" x14ac:dyDescent="0.25">
      <c r="A1949" s="2">
        <v>38504</v>
      </c>
      <c r="B1949" t="s">
        <v>22</v>
      </c>
      <c r="C1949" t="s">
        <v>27</v>
      </c>
      <c r="D1949" t="s">
        <v>16</v>
      </c>
      <c r="E1949" t="s">
        <v>25</v>
      </c>
      <c r="F1949" s="3">
        <v>8346.09</v>
      </c>
      <c r="G1949" s="3">
        <v>8926.2999999999993</v>
      </c>
      <c r="H1949" s="3">
        <f>Table1[[#This Row],[Sale]]-Table1[[#This Row],[Cost]]</f>
        <v>580.20999999999913</v>
      </c>
      <c r="I1949" s="4">
        <f>Table1[[#This Row],[Profit]]/Table1[[#This Row],[Sale]]</f>
        <v>6.5000056014249935E-2</v>
      </c>
      <c r="J1949" s="5">
        <f t="shared" si="60"/>
        <v>2005</v>
      </c>
      <c r="K1949" s="5">
        <f>MONTH(Table1[[#This Row],[Date]])</f>
        <v>6</v>
      </c>
      <c r="L1949" s="5">
        <f>DAY(Table1[[#This Row],[Date]])</f>
        <v>1</v>
      </c>
      <c r="M1949" s="5" t="str">
        <f t="shared" si="61"/>
        <v>Jun</v>
      </c>
    </row>
    <row r="1950" spans="1:13" x14ac:dyDescent="0.25">
      <c r="A1950" s="2">
        <v>38474</v>
      </c>
      <c r="B1950" t="s">
        <v>17</v>
      </c>
      <c r="C1950" t="s">
        <v>18</v>
      </c>
      <c r="D1950" t="s">
        <v>13</v>
      </c>
      <c r="E1950" t="s">
        <v>14</v>
      </c>
      <c r="F1950" s="3">
        <v>1178.5</v>
      </c>
      <c r="G1950" s="3">
        <v>3185.13</v>
      </c>
      <c r="H1950" s="3">
        <f>Table1[[#This Row],[Sale]]-Table1[[#This Row],[Cost]]</f>
        <v>2006.63</v>
      </c>
      <c r="I1950" s="4">
        <f>Table1[[#This Row],[Profit]]/Table1[[#This Row],[Sale]]</f>
        <v>0.62999940347803707</v>
      </c>
      <c r="J1950" s="5">
        <f t="shared" si="60"/>
        <v>2005</v>
      </c>
      <c r="K1950" s="5">
        <f>MONTH(Table1[[#This Row],[Date]])</f>
        <v>5</v>
      </c>
      <c r="L1950" s="5">
        <f>DAY(Table1[[#This Row],[Date]])</f>
        <v>2</v>
      </c>
      <c r="M1950" s="5" t="str">
        <f t="shared" si="61"/>
        <v>May</v>
      </c>
    </row>
    <row r="1951" spans="1:13" x14ac:dyDescent="0.25">
      <c r="A1951" s="2">
        <v>38250</v>
      </c>
      <c r="B1951" t="s">
        <v>15</v>
      </c>
      <c r="C1951" t="s">
        <v>12</v>
      </c>
      <c r="D1951" t="s">
        <v>13</v>
      </c>
      <c r="E1951" t="s">
        <v>14</v>
      </c>
      <c r="F1951" s="3">
        <v>2081.29</v>
      </c>
      <c r="G1951" s="3">
        <v>2775.05</v>
      </c>
      <c r="H1951" s="3">
        <f>Table1[[#This Row],[Sale]]-Table1[[#This Row],[Cost]]</f>
        <v>693.76000000000022</v>
      </c>
      <c r="I1951" s="4">
        <f>Table1[[#This Row],[Profit]]/Table1[[#This Row],[Sale]]</f>
        <v>0.24999909911533133</v>
      </c>
      <c r="J1951" s="5">
        <f t="shared" si="60"/>
        <v>2004</v>
      </c>
      <c r="K1951" s="5">
        <f>MONTH(Table1[[#This Row],[Date]])</f>
        <v>9</v>
      </c>
      <c r="L1951" s="5">
        <f>DAY(Table1[[#This Row],[Date]])</f>
        <v>20</v>
      </c>
      <c r="M1951" s="5" t="str">
        <f t="shared" si="61"/>
        <v>Sep</v>
      </c>
    </row>
    <row r="1952" spans="1:13" x14ac:dyDescent="0.25">
      <c r="A1952" s="2">
        <v>38755</v>
      </c>
      <c r="B1952" t="s">
        <v>22</v>
      </c>
      <c r="C1952" t="s">
        <v>12</v>
      </c>
      <c r="D1952" t="s">
        <v>19</v>
      </c>
      <c r="E1952" t="s">
        <v>24</v>
      </c>
      <c r="F1952" s="3">
        <v>4087.7</v>
      </c>
      <c r="G1952" s="3">
        <v>7047.75</v>
      </c>
      <c r="H1952" s="3">
        <f>Table1[[#This Row],[Sale]]-Table1[[#This Row],[Cost]]</f>
        <v>2960.05</v>
      </c>
      <c r="I1952" s="4">
        <f>Table1[[#This Row],[Profit]]/Table1[[#This Row],[Sale]]</f>
        <v>0.41999929055372287</v>
      </c>
      <c r="J1952" s="5">
        <f t="shared" si="60"/>
        <v>2006</v>
      </c>
      <c r="K1952" s="5">
        <f>MONTH(Table1[[#This Row],[Date]])</f>
        <v>2</v>
      </c>
      <c r="L1952" s="5">
        <f>DAY(Table1[[#This Row],[Date]])</f>
        <v>7</v>
      </c>
      <c r="M1952" s="5" t="str">
        <f t="shared" si="61"/>
        <v>Feb</v>
      </c>
    </row>
    <row r="1953" spans="1:13" x14ac:dyDescent="0.25">
      <c r="A1953" s="2">
        <v>38703</v>
      </c>
      <c r="B1953" t="s">
        <v>21</v>
      </c>
      <c r="C1953" t="s">
        <v>18</v>
      </c>
      <c r="D1953" t="s">
        <v>16</v>
      </c>
      <c r="E1953" t="s">
        <v>25</v>
      </c>
      <c r="F1953" s="3">
        <v>3549.92</v>
      </c>
      <c r="G1953" s="3">
        <v>7888.7</v>
      </c>
      <c r="H1953" s="3">
        <f>Table1[[#This Row],[Sale]]-Table1[[#This Row],[Cost]]</f>
        <v>4338.78</v>
      </c>
      <c r="I1953" s="4">
        <f>Table1[[#This Row],[Profit]]/Table1[[#This Row],[Sale]]</f>
        <v>0.54999936618200718</v>
      </c>
      <c r="J1953" s="5">
        <f t="shared" si="60"/>
        <v>2005</v>
      </c>
      <c r="K1953" s="5">
        <f>MONTH(Table1[[#This Row],[Date]])</f>
        <v>12</v>
      </c>
      <c r="L1953" s="5">
        <f>DAY(Table1[[#This Row],[Date]])</f>
        <v>17</v>
      </c>
      <c r="M1953" s="5" t="str">
        <f t="shared" si="61"/>
        <v>Dec</v>
      </c>
    </row>
    <row r="1954" spans="1:13" x14ac:dyDescent="0.25">
      <c r="A1954" s="2">
        <v>38364</v>
      </c>
      <c r="B1954" t="s">
        <v>17</v>
      </c>
      <c r="C1954" t="s">
        <v>27</v>
      </c>
      <c r="D1954" t="s">
        <v>16</v>
      </c>
      <c r="E1954" t="s">
        <v>14</v>
      </c>
      <c r="F1954" s="3">
        <v>2647.84</v>
      </c>
      <c r="G1954" s="3">
        <v>5884.09</v>
      </c>
      <c r="H1954" s="3">
        <f>Table1[[#This Row],[Sale]]-Table1[[#This Row],[Cost]]</f>
        <v>3236.25</v>
      </c>
      <c r="I1954" s="4">
        <f>Table1[[#This Row],[Profit]]/Table1[[#This Row],[Sale]]</f>
        <v>0.55000008497490693</v>
      </c>
      <c r="J1954" s="5">
        <f t="shared" si="60"/>
        <v>2005</v>
      </c>
      <c r="K1954" s="5">
        <f>MONTH(Table1[[#This Row],[Date]])</f>
        <v>1</v>
      </c>
      <c r="L1954" s="5">
        <f>DAY(Table1[[#This Row],[Date]])</f>
        <v>12</v>
      </c>
      <c r="M1954" s="5" t="str">
        <f t="shared" si="61"/>
        <v>Jan</v>
      </c>
    </row>
    <row r="1955" spans="1:13" x14ac:dyDescent="0.25">
      <c r="A1955" s="2">
        <v>38572</v>
      </c>
      <c r="B1955" t="s">
        <v>17</v>
      </c>
      <c r="C1955" t="s">
        <v>27</v>
      </c>
      <c r="D1955" t="s">
        <v>28</v>
      </c>
      <c r="E1955" t="s">
        <v>25</v>
      </c>
      <c r="F1955" s="3">
        <v>2237.46</v>
      </c>
      <c r="G1955" s="3">
        <v>3792.31</v>
      </c>
      <c r="H1955" s="3">
        <f>Table1[[#This Row],[Sale]]-Table1[[#This Row],[Cost]]</f>
        <v>1554.85</v>
      </c>
      <c r="I1955" s="4">
        <f>Table1[[#This Row],[Profit]]/Table1[[#This Row],[Sale]]</f>
        <v>0.41000076470541702</v>
      </c>
      <c r="J1955" s="5">
        <f t="shared" si="60"/>
        <v>2005</v>
      </c>
      <c r="K1955" s="5">
        <f>MONTH(Table1[[#This Row],[Date]])</f>
        <v>8</v>
      </c>
      <c r="L1955" s="5">
        <f>DAY(Table1[[#This Row],[Date]])</f>
        <v>8</v>
      </c>
      <c r="M1955" s="5" t="str">
        <f t="shared" si="61"/>
        <v>Aug</v>
      </c>
    </row>
    <row r="1956" spans="1:13" x14ac:dyDescent="0.25">
      <c r="A1956" s="2">
        <v>38321</v>
      </c>
      <c r="B1956" t="s">
        <v>11</v>
      </c>
      <c r="C1956" t="s">
        <v>18</v>
      </c>
      <c r="D1956" t="s">
        <v>28</v>
      </c>
      <c r="E1956" t="s">
        <v>14</v>
      </c>
      <c r="F1956" s="3">
        <v>6499.44</v>
      </c>
      <c r="G1956" s="3">
        <v>6951.27</v>
      </c>
      <c r="H1956" s="3">
        <f>Table1[[#This Row],[Sale]]-Table1[[#This Row],[Cost]]</f>
        <v>451.83000000000084</v>
      </c>
      <c r="I1956" s="4">
        <f>Table1[[#This Row],[Profit]]/Table1[[#This Row],[Sale]]</f>
        <v>6.4999633160559261E-2</v>
      </c>
      <c r="J1956" s="5">
        <f t="shared" si="60"/>
        <v>2004</v>
      </c>
      <c r="K1956" s="5">
        <f>MONTH(Table1[[#This Row],[Date]])</f>
        <v>11</v>
      </c>
      <c r="L1956" s="5">
        <f>DAY(Table1[[#This Row],[Date]])</f>
        <v>30</v>
      </c>
      <c r="M1956" s="5" t="str">
        <f t="shared" si="61"/>
        <v>Nov</v>
      </c>
    </row>
    <row r="1957" spans="1:13" x14ac:dyDescent="0.25">
      <c r="A1957" s="2">
        <v>38357</v>
      </c>
      <c r="B1957" t="s">
        <v>15</v>
      </c>
      <c r="C1957" t="s">
        <v>27</v>
      </c>
      <c r="D1957" t="s">
        <v>28</v>
      </c>
      <c r="E1957" t="s">
        <v>20</v>
      </c>
      <c r="F1957" s="3">
        <v>218.96</v>
      </c>
      <c r="G1957" s="3">
        <v>234.18</v>
      </c>
      <c r="H1957" s="3">
        <f>Table1[[#This Row],[Sale]]-Table1[[#This Row],[Cost]]</f>
        <v>15.219999999999999</v>
      </c>
      <c r="I1957" s="4">
        <f>Table1[[#This Row],[Profit]]/Table1[[#This Row],[Sale]]</f>
        <v>6.4992740626868217E-2</v>
      </c>
      <c r="J1957" s="5">
        <f t="shared" si="60"/>
        <v>2005</v>
      </c>
      <c r="K1957" s="5">
        <f>MONTH(Table1[[#This Row],[Date]])</f>
        <v>1</v>
      </c>
      <c r="L1957" s="5">
        <f>DAY(Table1[[#This Row],[Date]])</f>
        <v>5</v>
      </c>
      <c r="M1957" s="5" t="str">
        <f t="shared" si="61"/>
        <v>Jan</v>
      </c>
    </row>
    <row r="1958" spans="1:13" x14ac:dyDescent="0.25">
      <c r="A1958" s="2">
        <v>38288</v>
      </c>
      <c r="B1958" t="s">
        <v>17</v>
      </c>
      <c r="C1958" t="s">
        <v>27</v>
      </c>
      <c r="D1958" t="s">
        <v>28</v>
      </c>
      <c r="E1958" t="s">
        <v>25</v>
      </c>
      <c r="F1958" s="3">
        <v>748.32</v>
      </c>
      <c r="G1958" s="3">
        <v>1662.94</v>
      </c>
      <c r="H1958" s="3">
        <f>Table1[[#This Row],[Sale]]-Table1[[#This Row],[Cost]]</f>
        <v>914.62</v>
      </c>
      <c r="I1958" s="4">
        <f>Table1[[#This Row],[Profit]]/Table1[[#This Row],[Sale]]</f>
        <v>0.5500018040338196</v>
      </c>
      <c r="J1958" s="5">
        <f t="shared" si="60"/>
        <v>2004</v>
      </c>
      <c r="K1958" s="5">
        <f>MONTH(Table1[[#This Row],[Date]])</f>
        <v>10</v>
      </c>
      <c r="L1958" s="5">
        <f>DAY(Table1[[#This Row],[Date]])</f>
        <v>28</v>
      </c>
      <c r="M1958" s="5" t="str">
        <f t="shared" si="61"/>
        <v>Oct</v>
      </c>
    </row>
    <row r="1959" spans="1:13" x14ac:dyDescent="0.25">
      <c r="A1959" s="2">
        <v>38421</v>
      </c>
      <c r="B1959" t="s">
        <v>26</v>
      </c>
      <c r="C1959" t="s">
        <v>18</v>
      </c>
      <c r="D1959" t="s">
        <v>13</v>
      </c>
      <c r="E1959" t="s">
        <v>20</v>
      </c>
      <c r="F1959" s="3">
        <v>113.48</v>
      </c>
      <c r="G1959" s="3">
        <v>151.30000000000001</v>
      </c>
      <c r="H1959" s="3">
        <f>Table1[[#This Row],[Sale]]-Table1[[#This Row],[Cost]]</f>
        <v>37.820000000000007</v>
      </c>
      <c r="I1959" s="4">
        <f>Table1[[#This Row],[Profit]]/Table1[[#This Row],[Sale]]</f>
        <v>0.2499669530733642</v>
      </c>
      <c r="J1959" s="5">
        <f t="shared" si="60"/>
        <v>2005</v>
      </c>
      <c r="K1959" s="5">
        <f>MONTH(Table1[[#This Row],[Date]])</f>
        <v>3</v>
      </c>
      <c r="L1959" s="5">
        <f>DAY(Table1[[#This Row],[Date]])</f>
        <v>10</v>
      </c>
      <c r="M1959" s="5" t="str">
        <f t="shared" si="61"/>
        <v>Mar</v>
      </c>
    </row>
    <row r="1960" spans="1:13" x14ac:dyDescent="0.25">
      <c r="A1960" s="2">
        <v>38390</v>
      </c>
      <c r="B1960" t="s">
        <v>21</v>
      </c>
      <c r="C1960" t="s">
        <v>29</v>
      </c>
      <c r="D1960" t="s">
        <v>28</v>
      </c>
      <c r="E1960" t="s">
        <v>25</v>
      </c>
      <c r="F1960" s="3">
        <v>1000.89</v>
      </c>
      <c r="G1960" s="3">
        <v>2705.12</v>
      </c>
      <c r="H1960" s="3">
        <f>Table1[[#This Row],[Sale]]-Table1[[#This Row],[Cost]]</f>
        <v>1704.23</v>
      </c>
      <c r="I1960" s="4">
        <f>Table1[[#This Row],[Profit]]/Table1[[#This Row],[Sale]]</f>
        <v>0.63000162654521796</v>
      </c>
      <c r="J1960" s="5">
        <f t="shared" si="60"/>
        <v>2005</v>
      </c>
      <c r="K1960" s="5">
        <f>MONTH(Table1[[#This Row],[Date]])</f>
        <v>2</v>
      </c>
      <c r="L1960" s="5">
        <f>DAY(Table1[[#This Row],[Date]])</f>
        <v>7</v>
      </c>
      <c r="M1960" s="5" t="str">
        <f t="shared" si="61"/>
        <v>Feb</v>
      </c>
    </row>
    <row r="1961" spans="1:13" x14ac:dyDescent="0.25">
      <c r="A1961" s="2">
        <v>38840</v>
      </c>
      <c r="B1961" t="s">
        <v>22</v>
      </c>
      <c r="C1961" t="s">
        <v>29</v>
      </c>
      <c r="D1961" t="s">
        <v>16</v>
      </c>
      <c r="E1961" t="s">
        <v>24</v>
      </c>
      <c r="F1961" s="3">
        <v>3843.07</v>
      </c>
      <c r="G1961" s="3">
        <v>6513.67</v>
      </c>
      <c r="H1961" s="3">
        <f>Table1[[#This Row],[Sale]]-Table1[[#This Row],[Cost]]</f>
        <v>2670.6</v>
      </c>
      <c r="I1961" s="4">
        <f>Table1[[#This Row],[Profit]]/Table1[[#This Row],[Sale]]</f>
        <v>0.40999927844057188</v>
      </c>
      <c r="J1961" s="5">
        <f t="shared" si="60"/>
        <v>2006</v>
      </c>
      <c r="K1961" s="5">
        <f>MONTH(Table1[[#This Row],[Date]])</f>
        <v>5</v>
      </c>
      <c r="L1961" s="5">
        <f>DAY(Table1[[#This Row],[Date]])</f>
        <v>3</v>
      </c>
      <c r="M1961" s="5" t="str">
        <f t="shared" si="61"/>
        <v>May</v>
      </c>
    </row>
    <row r="1962" spans="1:13" x14ac:dyDescent="0.25">
      <c r="A1962" s="2">
        <v>38592</v>
      </c>
      <c r="B1962" t="s">
        <v>15</v>
      </c>
      <c r="C1962" t="s">
        <v>29</v>
      </c>
      <c r="D1962" t="s">
        <v>16</v>
      </c>
      <c r="E1962" t="s">
        <v>20</v>
      </c>
      <c r="F1962" s="3">
        <v>489.08</v>
      </c>
      <c r="G1962" s="3">
        <v>1086.8399999999999</v>
      </c>
      <c r="H1962" s="3">
        <f>Table1[[#This Row],[Sale]]-Table1[[#This Row],[Cost]]</f>
        <v>597.76</v>
      </c>
      <c r="I1962" s="4">
        <f>Table1[[#This Row],[Profit]]/Table1[[#This Row],[Sale]]</f>
        <v>0.54999815980273092</v>
      </c>
      <c r="J1962" s="5">
        <f t="shared" si="60"/>
        <v>2005</v>
      </c>
      <c r="K1962" s="5">
        <f>MONTH(Table1[[#This Row],[Date]])</f>
        <v>8</v>
      </c>
      <c r="L1962" s="5">
        <f>DAY(Table1[[#This Row],[Date]])</f>
        <v>28</v>
      </c>
      <c r="M1962" s="5" t="str">
        <f t="shared" si="61"/>
        <v>Aug</v>
      </c>
    </row>
    <row r="1963" spans="1:13" x14ac:dyDescent="0.25">
      <c r="A1963" s="2">
        <v>38338</v>
      </c>
      <c r="B1963" t="s">
        <v>22</v>
      </c>
      <c r="C1963" t="s">
        <v>27</v>
      </c>
      <c r="D1963" t="s">
        <v>13</v>
      </c>
      <c r="E1963" t="s">
        <v>20</v>
      </c>
      <c r="F1963" s="3">
        <v>3075.82</v>
      </c>
      <c r="G1963" s="3">
        <v>5592.4</v>
      </c>
      <c r="H1963" s="3">
        <f>Table1[[#This Row],[Sale]]-Table1[[#This Row],[Cost]]</f>
        <v>2516.5799999999995</v>
      </c>
      <c r="I1963" s="4">
        <f>Table1[[#This Row],[Profit]]/Table1[[#This Row],[Sale]]</f>
        <v>0.44999999999999996</v>
      </c>
      <c r="J1963" s="5">
        <f t="shared" si="60"/>
        <v>2004</v>
      </c>
      <c r="K1963" s="5">
        <f>MONTH(Table1[[#This Row],[Date]])</f>
        <v>12</v>
      </c>
      <c r="L1963" s="5">
        <f>DAY(Table1[[#This Row],[Date]])</f>
        <v>17</v>
      </c>
      <c r="M1963" s="5" t="str">
        <f t="shared" si="61"/>
        <v>Dec</v>
      </c>
    </row>
    <row r="1964" spans="1:13" x14ac:dyDescent="0.25">
      <c r="A1964" s="2">
        <v>38680</v>
      </c>
      <c r="B1964" t="s">
        <v>21</v>
      </c>
      <c r="C1964" t="s">
        <v>23</v>
      </c>
      <c r="D1964" t="s">
        <v>28</v>
      </c>
      <c r="E1964" t="s">
        <v>25</v>
      </c>
      <c r="F1964" s="3">
        <v>3269.84</v>
      </c>
      <c r="G1964" s="3">
        <v>7604.29</v>
      </c>
      <c r="H1964" s="3">
        <f>Table1[[#This Row],[Sale]]-Table1[[#This Row],[Cost]]</f>
        <v>4334.45</v>
      </c>
      <c r="I1964" s="4">
        <f>Table1[[#This Row],[Profit]]/Table1[[#This Row],[Sale]]</f>
        <v>0.57000061807216718</v>
      </c>
      <c r="J1964" s="5">
        <f t="shared" si="60"/>
        <v>2005</v>
      </c>
      <c r="K1964" s="5">
        <f>MONTH(Table1[[#This Row],[Date]])</f>
        <v>11</v>
      </c>
      <c r="L1964" s="5">
        <f>DAY(Table1[[#This Row],[Date]])</f>
        <v>24</v>
      </c>
      <c r="M1964" s="5" t="str">
        <f t="shared" si="61"/>
        <v>Nov</v>
      </c>
    </row>
    <row r="1965" spans="1:13" x14ac:dyDescent="0.25">
      <c r="A1965" s="2">
        <v>38864</v>
      </c>
      <c r="B1965" t="s">
        <v>22</v>
      </c>
      <c r="C1965" t="s">
        <v>29</v>
      </c>
      <c r="D1965" t="s">
        <v>19</v>
      </c>
      <c r="E1965" t="s">
        <v>25</v>
      </c>
      <c r="F1965" s="3">
        <v>87.25</v>
      </c>
      <c r="G1965" s="3">
        <v>193.88</v>
      </c>
      <c r="H1965" s="3">
        <f>Table1[[#This Row],[Sale]]-Table1[[#This Row],[Cost]]</f>
        <v>106.63</v>
      </c>
      <c r="I1965" s="4">
        <f>Table1[[#This Row],[Profit]]/Table1[[#This Row],[Sale]]</f>
        <v>0.54997936868165875</v>
      </c>
      <c r="J1965" s="5">
        <f t="shared" si="60"/>
        <v>2006</v>
      </c>
      <c r="K1965" s="5">
        <f>MONTH(Table1[[#This Row],[Date]])</f>
        <v>5</v>
      </c>
      <c r="L1965" s="5">
        <f>DAY(Table1[[#This Row],[Date]])</f>
        <v>27</v>
      </c>
      <c r="M1965" s="5" t="str">
        <f t="shared" si="61"/>
        <v>May</v>
      </c>
    </row>
    <row r="1966" spans="1:13" x14ac:dyDescent="0.25">
      <c r="A1966" s="2">
        <v>38799</v>
      </c>
      <c r="B1966" t="s">
        <v>17</v>
      </c>
      <c r="C1966" t="s">
        <v>29</v>
      </c>
      <c r="D1966" t="s">
        <v>16</v>
      </c>
      <c r="E1966" t="s">
        <v>25</v>
      </c>
      <c r="F1966" s="3">
        <v>1050.79</v>
      </c>
      <c r="G1966" s="3">
        <v>2839.96</v>
      </c>
      <c r="H1966" s="3">
        <f>Table1[[#This Row],[Sale]]-Table1[[#This Row],[Cost]]</f>
        <v>1789.17</v>
      </c>
      <c r="I1966" s="4">
        <f>Table1[[#This Row],[Profit]]/Table1[[#This Row],[Sale]]</f>
        <v>0.62999830983534977</v>
      </c>
      <c r="J1966" s="5">
        <f t="shared" si="60"/>
        <v>2006</v>
      </c>
      <c r="K1966" s="5">
        <f>MONTH(Table1[[#This Row],[Date]])</f>
        <v>3</v>
      </c>
      <c r="L1966" s="5">
        <f>DAY(Table1[[#This Row],[Date]])</f>
        <v>23</v>
      </c>
      <c r="M1966" s="5" t="str">
        <f t="shared" si="61"/>
        <v>Mar</v>
      </c>
    </row>
    <row r="1967" spans="1:13" x14ac:dyDescent="0.25">
      <c r="A1967" s="2">
        <v>38269</v>
      </c>
      <c r="B1967" t="s">
        <v>11</v>
      </c>
      <c r="C1967" t="s">
        <v>18</v>
      </c>
      <c r="D1967" t="s">
        <v>28</v>
      </c>
      <c r="E1967" t="s">
        <v>14</v>
      </c>
      <c r="F1967" s="3">
        <v>5385.81</v>
      </c>
      <c r="G1967" s="3">
        <v>7181.08</v>
      </c>
      <c r="H1967" s="3">
        <f>Table1[[#This Row],[Sale]]-Table1[[#This Row],[Cost]]</f>
        <v>1795.2699999999995</v>
      </c>
      <c r="I1967" s="4">
        <f>Table1[[#This Row],[Profit]]/Table1[[#This Row],[Sale]]</f>
        <v>0.24999999999999994</v>
      </c>
      <c r="J1967" s="5">
        <f t="shared" si="60"/>
        <v>2004</v>
      </c>
      <c r="K1967" s="5">
        <f>MONTH(Table1[[#This Row],[Date]])</f>
        <v>10</v>
      </c>
      <c r="L1967" s="5">
        <f>DAY(Table1[[#This Row],[Date]])</f>
        <v>9</v>
      </c>
      <c r="M1967" s="5" t="str">
        <f t="shared" si="61"/>
        <v>Oct</v>
      </c>
    </row>
    <row r="1968" spans="1:13" x14ac:dyDescent="0.25">
      <c r="A1968" s="2">
        <v>38346</v>
      </c>
      <c r="B1968" t="s">
        <v>11</v>
      </c>
      <c r="C1968" t="s">
        <v>18</v>
      </c>
      <c r="D1968" t="s">
        <v>19</v>
      </c>
      <c r="E1968" t="s">
        <v>14</v>
      </c>
      <c r="F1968" s="3">
        <v>2636.73</v>
      </c>
      <c r="G1968" s="3">
        <v>5859.41</v>
      </c>
      <c r="H1968" s="3">
        <f>Table1[[#This Row],[Sale]]-Table1[[#This Row],[Cost]]</f>
        <v>3222.68</v>
      </c>
      <c r="I1968" s="4">
        <f>Table1[[#This Row],[Profit]]/Table1[[#This Row],[Sale]]</f>
        <v>0.55000076799541253</v>
      </c>
      <c r="J1968" s="5">
        <f t="shared" si="60"/>
        <v>2004</v>
      </c>
      <c r="K1968" s="5">
        <f>MONTH(Table1[[#This Row],[Date]])</f>
        <v>12</v>
      </c>
      <c r="L1968" s="5">
        <f>DAY(Table1[[#This Row],[Date]])</f>
        <v>25</v>
      </c>
      <c r="M1968" s="5" t="str">
        <f t="shared" si="61"/>
        <v>Dec</v>
      </c>
    </row>
    <row r="1969" spans="1:13" x14ac:dyDescent="0.25">
      <c r="A1969" s="2">
        <v>38344</v>
      </c>
      <c r="B1969" t="s">
        <v>26</v>
      </c>
      <c r="C1969" t="s">
        <v>29</v>
      </c>
      <c r="D1969" t="s">
        <v>28</v>
      </c>
      <c r="E1969" t="s">
        <v>24</v>
      </c>
      <c r="F1969" s="3">
        <v>4064.72</v>
      </c>
      <c r="G1969" s="3">
        <v>7390.4</v>
      </c>
      <c r="H1969" s="3">
        <f>Table1[[#This Row],[Sale]]-Table1[[#This Row],[Cost]]</f>
        <v>3325.68</v>
      </c>
      <c r="I1969" s="4">
        <f>Table1[[#This Row],[Profit]]/Table1[[#This Row],[Sale]]</f>
        <v>0.45</v>
      </c>
      <c r="J1969" s="5">
        <f t="shared" si="60"/>
        <v>2004</v>
      </c>
      <c r="K1969" s="5">
        <f>MONTH(Table1[[#This Row],[Date]])</f>
        <v>12</v>
      </c>
      <c r="L1969" s="5">
        <f>DAY(Table1[[#This Row],[Date]])</f>
        <v>23</v>
      </c>
      <c r="M1969" s="5" t="str">
        <f t="shared" si="61"/>
        <v>Dec</v>
      </c>
    </row>
    <row r="1970" spans="1:13" x14ac:dyDescent="0.25">
      <c r="A1970" s="2">
        <v>38768</v>
      </c>
      <c r="B1970" t="s">
        <v>26</v>
      </c>
      <c r="C1970" t="s">
        <v>12</v>
      </c>
      <c r="D1970" t="s">
        <v>16</v>
      </c>
      <c r="E1970" t="s">
        <v>20</v>
      </c>
      <c r="F1970" s="3">
        <v>1003.51</v>
      </c>
      <c r="G1970" s="3">
        <v>1700.86</v>
      </c>
      <c r="H1970" s="3">
        <f>Table1[[#This Row],[Sale]]-Table1[[#This Row],[Cost]]</f>
        <v>697.34999999999991</v>
      </c>
      <c r="I1970" s="4">
        <f>Table1[[#This Row],[Profit]]/Table1[[#This Row],[Sale]]</f>
        <v>0.40999847136154649</v>
      </c>
      <c r="J1970" s="5">
        <f t="shared" si="60"/>
        <v>2006</v>
      </c>
      <c r="K1970" s="5">
        <f>MONTH(Table1[[#This Row],[Date]])</f>
        <v>2</v>
      </c>
      <c r="L1970" s="5">
        <f>DAY(Table1[[#This Row],[Date]])</f>
        <v>20</v>
      </c>
      <c r="M1970" s="5" t="str">
        <f t="shared" si="61"/>
        <v>Feb</v>
      </c>
    </row>
    <row r="1971" spans="1:13" x14ac:dyDescent="0.25">
      <c r="A1971" s="2">
        <v>38866</v>
      </c>
      <c r="B1971" t="s">
        <v>11</v>
      </c>
      <c r="C1971" t="s">
        <v>12</v>
      </c>
      <c r="D1971" t="s">
        <v>28</v>
      </c>
      <c r="E1971" t="s">
        <v>25</v>
      </c>
      <c r="F1971" s="3">
        <v>305.02</v>
      </c>
      <c r="G1971" s="3">
        <v>326.22000000000003</v>
      </c>
      <c r="H1971" s="3">
        <f>Table1[[#This Row],[Sale]]-Table1[[#This Row],[Cost]]</f>
        <v>21.200000000000045</v>
      </c>
      <c r="I1971" s="4">
        <f>Table1[[#This Row],[Profit]]/Table1[[#This Row],[Sale]]</f>
        <v>6.4986818711299257E-2</v>
      </c>
      <c r="J1971" s="5">
        <f t="shared" si="60"/>
        <v>2006</v>
      </c>
      <c r="K1971" s="5">
        <f>MONTH(Table1[[#This Row],[Date]])</f>
        <v>5</v>
      </c>
      <c r="L1971" s="5">
        <f>DAY(Table1[[#This Row],[Date]])</f>
        <v>29</v>
      </c>
      <c r="M1971" s="5" t="str">
        <f t="shared" si="61"/>
        <v>May</v>
      </c>
    </row>
    <row r="1972" spans="1:13" x14ac:dyDescent="0.25">
      <c r="A1972" s="2">
        <v>38352</v>
      </c>
      <c r="B1972" t="s">
        <v>17</v>
      </c>
      <c r="C1972" t="s">
        <v>12</v>
      </c>
      <c r="D1972" t="s">
        <v>19</v>
      </c>
      <c r="E1972" t="s">
        <v>20</v>
      </c>
      <c r="F1972" s="3">
        <v>5394.14</v>
      </c>
      <c r="G1972" s="3">
        <v>9300.25</v>
      </c>
      <c r="H1972" s="3">
        <f>Table1[[#This Row],[Sale]]-Table1[[#This Row],[Cost]]</f>
        <v>3906.1099999999997</v>
      </c>
      <c r="I1972" s="4">
        <f>Table1[[#This Row],[Profit]]/Table1[[#This Row],[Sale]]</f>
        <v>0.42000053761995643</v>
      </c>
      <c r="J1972" s="5">
        <f t="shared" si="60"/>
        <v>2004</v>
      </c>
      <c r="K1972" s="5">
        <f>MONTH(Table1[[#This Row],[Date]])</f>
        <v>12</v>
      </c>
      <c r="L1972" s="5">
        <f>DAY(Table1[[#This Row],[Date]])</f>
        <v>31</v>
      </c>
      <c r="M1972" s="5" t="str">
        <f t="shared" si="61"/>
        <v>Dec</v>
      </c>
    </row>
    <row r="1973" spans="1:13" x14ac:dyDescent="0.25">
      <c r="A1973" s="2">
        <v>38397</v>
      </c>
      <c r="B1973" t="s">
        <v>15</v>
      </c>
      <c r="C1973" t="s">
        <v>18</v>
      </c>
      <c r="D1973" t="s">
        <v>16</v>
      </c>
      <c r="E1973" t="s">
        <v>14</v>
      </c>
      <c r="F1973" s="3">
        <v>8318.6200000000008</v>
      </c>
      <c r="G1973" s="3">
        <v>8896.92</v>
      </c>
      <c r="H1973" s="3">
        <f>Table1[[#This Row],[Sale]]-Table1[[#This Row],[Cost]]</f>
        <v>578.29999999999927</v>
      </c>
      <c r="I1973" s="4">
        <f>Table1[[#This Row],[Profit]]/Table1[[#This Row],[Sale]]</f>
        <v>6.5000022479689515E-2</v>
      </c>
      <c r="J1973" s="5">
        <f t="shared" si="60"/>
        <v>2005</v>
      </c>
      <c r="K1973" s="5">
        <f>MONTH(Table1[[#This Row],[Date]])</f>
        <v>2</v>
      </c>
      <c r="L1973" s="5">
        <f>DAY(Table1[[#This Row],[Date]])</f>
        <v>14</v>
      </c>
      <c r="M1973" s="5" t="str">
        <f t="shared" si="61"/>
        <v>Feb</v>
      </c>
    </row>
    <row r="1974" spans="1:13" x14ac:dyDescent="0.25">
      <c r="A1974" s="2">
        <v>38687</v>
      </c>
      <c r="B1974" t="s">
        <v>15</v>
      </c>
      <c r="C1974" t="s">
        <v>27</v>
      </c>
      <c r="D1974" t="s">
        <v>28</v>
      </c>
      <c r="E1974" t="s">
        <v>24</v>
      </c>
      <c r="F1974" s="3">
        <v>5728.75</v>
      </c>
      <c r="G1974" s="3">
        <v>6509.94</v>
      </c>
      <c r="H1974" s="3">
        <f>Table1[[#This Row],[Sale]]-Table1[[#This Row],[Cost]]</f>
        <v>781.1899999999996</v>
      </c>
      <c r="I1974" s="4">
        <f>Table1[[#This Row],[Profit]]/Table1[[#This Row],[Sale]]</f>
        <v>0.11999956988850891</v>
      </c>
      <c r="J1974" s="5">
        <f t="shared" si="60"/>
        <v>2005</v>
      </c>
      <c r="K1974" s="5">
        <f>MONTH(Table1[[#This Row],[Date]])</f>
        <v>12</v>
      </c>
      <c r="L1974" s="5">
        <f>DAY(Table1[[#This Row],[Date]])</f>
        <v>1</v>
      </c>
      <c r="M1974" s="5" t="str">
        <f t="shared" si="61"/>
        <v>Dec</v>
      </c>
    </row>
    <row r="1975" spans="1:13" x14ac:dyDescent="0.25">
      <c r="A1975" s="2">
        <v>38705</v>
      </c>
      <c r="B1975" t="s">
        <v>15</v>
      </c>
      <c r="C1975" t="s">
        <v>27</v>
      </c>
      <c r="D1975" t="s">
        <v>28</v>
      </c>
      <c r="E1975" t="s">
        <v>25</v>
      </c>
      <c r="F1975" s="3">
        <v>1619.35</v>
      </c>
      <c r="G1975" s="3">
        <v>2944.27</v>
      </c>
      <c r="H1975" s="3">
        <f>Table1[[#This Row],[Sale]]-Table1[[#This Row],[Cost]]</f>
        <v>1324.92</v>
      </c>
      <c r="I1975" s="4">
        <f>Table1[[#This Row],[Profit]]/Table1[[#This Row],[Sale]]</f>
        <v>0.44999949053585442</v>
      </c>
      <c r="J1975" s="5">
        <f t="shared" si="60"/>
        <v>2005</v>
      </c>
      <c r="K1975" s="5">
        <f>MONTH(Table1[[#This Row],[Date]])</f>
        <v>12</v>
      </c>
      <c r="L1975" s="5">
        <f>DAY(Table1[[#This Row],[Date]])</f>
        <v>19</v>
      </c>
      <c r="M1975" s="5" t="str">
        <f t="shared" si="61"/>
        <v>Dec</v>
      </c>
    </row>
    <row r="1976" spans="1:13" x14ac:dyDescent="0.25">
      <c r="A1976" s="2">
        <v>38492</v>
      </c>
      <c r="B1976" t="s">
        <v>21</v>
      </c>
      <c r="C1976" t="s">
        <v>12</v>
      </c>
      <c r="D1976" t="s">
        <v>16</v>
      </c>
      <c r="E1976" t="s">
        <v>20</v>
      </c>
      <c r="F1976" s="3">
        <v>3266.35</v>
      </c>
      <c r="G1976" s="3">
        <v>3711.76</v>
      </c>
      <c r="H1976" s="3">
        <f>Table1[[#This Row],[Sale]]-Table1[[#This Row],[Cost]]</f>
        <v>445.41000000000031</v>
      </c>
      <c r="I1976" s="4">
        <f>Table1[[#This Row],[Profit]]/Table1[[#This Row],[Sale]]</f>
        <v>0.11999967670323521</v>
      </c>
      <c r="J1976" s="5">
        <f t="shared" si="60"/>
        <v>2005</v>
      </c>
      <c r="K1976" s="5">
        <f>MONTH(Table1[[#This Row],[Date]])</f>
        <v>5</v>
      </c>
      <c r="L1976" s="5">
        <f>DAY(Table1[[#This Row],[Date]])</f>
        <v>20</v>
      </c>
      <c r="M1976" s="5" t="str">
        <f t="shared" si="61"/>
        <v>May</v>
      </c>
    </row>
    <row r="1977" spans="1:13" x14ac:dyDescent="0.25">
      <c r="A1977" s="2">
        <v>38364</v>
      </c>
      <c r="B1977" t="s">
        <v>11</v>
      </c>
      <c r="C1977" t="s">
        <v>12</v>
      </c>
      <c r="D1977" t="s">
        <v>19</v>
      </c>
      <c r="E1977" t="s">
        <v>25</v>
      </c>
      <c r="F1977" s="3">
        <v>2118.48</v>
      </c>
      <c r="G1977" s="3">
        <v>5725.61</v>
      </c>
      <c r="H1977" s="3">
        <f>Table1[[#This Row],[Sale]]-Table1[[#This Row],[Cost]]</f>
        <v>3607.1299999999997</v>
      </c>
      <c r="I1977" s="4">
        <f>Table1[[#This Row],[Profit]]/Table1[[#This Row],[Sale]]</f>
        <v>0.62999924898831738</v>
      </c>
      <c r="J1977" s="5">
        <f t="shared" si="60"/>
        <v>2005</v>
      </c>
      <c r="K1977" s="5">
        <f>MONTH(Table1[[#This Row],[Date]])</f>
        <v>1</v>
      </c>
      <c r="L1977" s="5">
        <f>DAY(Table1[[#This Row],[Date]])</f>
        <v>12</v>
      </c>
      <c r="M1977" s="5" t="str">
        <f t="shared" si="61"/>
        <v>Jan</v>
      </c>
    </row>
    <row r="1978" spans="1:13" x14ac:dyDescent="0.25">
      <c r="A1978" s="2">
        <v>38545</v>
      </c>
      <c r="B1978" t="s">
        <v>15</v>
      </c>
      <c r="C1978" t="s">
        <v>27</v>
      </c>
      <c r="D1978" t="s">
        <v>28</v>
      </c>
      <c r="E1978" t="s">
        <v>20</v>
      </c>
      <c r="F1978" s="3">
        <v>3653.87</v>
      </c>
      <c r="G1978" s="3">
        <v>9875.32</v>
      </c>
      <c r="H1978" s="3">
        <f>Table1[[#This Row],[Sale]]-Table1[[#This Row],[Cost]]</f>
        <v>6221.45</v>
      </c>
      <c r="I1978" s="4">
        <f>Table1[[#This Row],[Profit]]/Table1[[#This Row],[Sale]]</f>
        <v>0.62999983797993386</v>
      </c>
      <c r="J1978" s="5">
        <f t="shared" si="60"/>
        <v>2005</v>
      </c>
      <c r="K1978" s="5">
        <f>MONTH(Table1[[#This Row],[Date]])</f>
        <v>7</v>
      </c>
      <c r="L1978" s="5">
        <f>DAY(Table1[[#This Row],[Date]])</f>
        <v>12</v>
      </c>
      <c r="M1978" s="5" t="str">
        <f t="shared" si="61"/>
        <v>Jul</v>
      </c>
    </row>
    <row r="1979" spans="1:13" x14ac:dyDescent="0.25">
      <c r="A1979" s="2">
        <v>38802</v>
      </c>
      <c r="B1979" t="s">
        <v>22</v>
      </c>
      <c r="C1979" t="s">
        <v>27</v>
      </c>
      <c r="D1979" t="s">
        <v>19</v>
      </c>
      <c r="E1979" t="s">
        <v>20</v>
      </c>
      <c r="F1979" s="3">
        <v>2675.93</v>
      </c>
      <c r="G1979" s="3">
        <v>3567.91</v>
      </c>
      <c r="H1979" s="3">
        <f>Table1[[#This Row],[Sale]]-Table1[[#This Row],[Cost]]</f>
        <v>891.98</v>
      </c>
      <c r="I1979" s="4">
        <f>Table1[[#This Row],[Profit]]/Table1[[#This Row],[Sale]]</f>
        <v>0.2500007006903201</v>
      </c>
      <c r="J1979" s="5">
        <f t="shared" si="60"/>
        <v>2006</v>
      </c>
      <c r="K1979" s="5">
        <f>MONTH(Table1[[#This Row],[Date]])</f>
        <v>3</v>
      </c>
      <c r="L1979" s="5">
        <f>DAY(Table1[[#This Row],[Date]])</f>
        <v>26</v>
      </c>
      <c r="M1979" s="5" t="str">
        <f t="shared" si="61"/>
        <v>Mar</v>
      </c>
    </row>
    <row r="1980" spans="1:13" x14ac:dyDescent="0.25">
      <c r="A1980" s="2">
        <v>38534</v>
      </c>
      <c r="B1980" t="s">
        <v>17</v>
      </c>
      <c r="C1980" t="s">
        <v>18</v>
      </c>
      <c r="D1980" t="s">
        <v>19</v>
      </c>
      <c r="E1980" t="s">
        <v>24</v>
      </c>
      <c r="F1980" s="3">
        <v>7429.13</v>
      </c>
      <c r="G1980" s="3">
        <v>8442.19</v>
      </c>
      <c r="H1980" s="3">
        <f>Table1[[#This Row],[Sale]]-Table1[[#This Row],[Cost]]</f>
        <v>1013.0600000000004</v>
      </c>
      <c r="I1980" s="4">
        <f>Table1[[#This Row],[Profit]]/Table1[[#This Row],[Sale]]</f>
        <v>0.11999966833250618</v>
      </c>
      <c r="J1980" s="5">
        <f t="shared" si="60"/>
        <v>2005</v>
      </c>
      <c r="K1980" s="5">
        <f>MONTH(Table1[[#This Row],[Date]])</f>
        <v>7</v>
      </c>
      <c r="L1980" s="5">
        <f>DAY(Table1[[#This Row],[Date]])</f>
        <v>1</v>
      </c>
      <c r="M1980" s="5" t="str">
        <f t="shared" si="61"/>
        <v>Jul</v>
      </c>
    </row>
    <row r="1981" spans="1:13" x14ac:dyDescent="0.25">
      <c r="A1981" s="2">
        <v>38267</v>
      </c>
      <c r="B1981" t="s">
        <v>15</v>
      </c>
      <c r="C1981" t="s">
        <v>29</v>
      </c>
      <c r="D1981" t="s">
        <v>19</v>
      </c>
      <c r="E1981" t="s">
        <v>24</v>
      </c>
      <c r="F1981" s="3">
        <v>4572.01</v>
      </c>
      <c r="G1981" s="3">
        <v>7882.77</v>
      </c>
      <c r="H1981" s="3">
        <f>Table1[[#This Row],[Sale]]-Table1[[#This Row],[Cost]]</f>
        <v>3310.76</v>
      </c>
      <c r="I1981" s="4">
        <f>Table1[[#This Row],[Profit]]/Table1[[#This Row],[Sale]]</f>
        <v>0.4199995686795378</v>
      </c>
      <c r="J1981" s="5">
        <f t="shared" si="60"/>
        <v>2004</v>
      </c>
      <c r="K1981" s="5">
        <f>MONTH(Table1[[#This Row],[Date]])</f>
        <v>10</v>
      </c>
      <c r="L1981" s="5">
        <f>DAY(Table1[[#This Row],[Date]])</f>
        <v>7</v>
      </c>
      <c r="M1981" s="5" t="str">
        <f t="shared" si="61"/>
        <v>Oct</v>
      </c>
    </row>
    <row r="1982" spans="1:13" x14ac:dyDescent="0.25">
      <c r="A1982" s="2">
        <v>38594</v>
      </c>
      <c r="B1982" t="s">
        <v>26</v>
      </c>
      <c r="C1982" t="s">
        <v>23</v>
      </c>
      <c r="D1982" t="s">
        <v>13</v>
      </c>
      <c r="E1982" t="s">
        <v>20</v>
      </c>
      <c r="F1982" s="3">
        <v>1506.7</v>
      </c>
      <c r="G1982" s="3">
        <v>3503.96</v>
      </c>
      <c r="H1982" s="3">
        <f>Table1[[#This Row],[Sale]]-Table1[[#This Row],[Cost]]</f>
        <v>1997.26</v>
      </c>
      <c r="I1982" s="4">
        <f>Table1[[#This Row],[Profit]]/Table1[[#This Row],[Sale]]</f>
        <v>0.57000079909588008</v>
      </c>
      <c r="J1982" s="5">
        <f t="shared" si="60"/>
        <v>2005</v>
      </c>
      <c r="K1982" s="5">
        <f>MONTH(Table1[[#This Row],[Date]])</f>
        <v>8</v>
      </c>
      <c r="L1982" s="5">
        <f>DAY(Table1[[#This Row],[Date]])</f>
        <v>30</v>
      </c>
      <c r="M1982" s="5" t="str">
        <f t="shared" si="61"/>
        <v>Aug</v>
      </c>
    </row>
    <row r="1983" spans="1:13" x14ac:dyDescent="0.25">
      <c r="A1983" s="2">
        <v>38280</v>
      </c>
      <c r="B1983" t="s">
        <v>17</v>
      </c>
      <c r="C1983" t="s">
        <v>18</v>
      </c>
      <c r="D1983" t="s">
        <v>16</v>
      </c>
      <c r="E1983" t="s">
        <v>25</v>
      </c>
      <c r="F1983" s="3">
        <v>5499.78</v>
      </c>
      <c r="G1983" s="3">
        <v>8087.91</v>
      </c>
      <c r="H1983" s="3">
        <f>Table1[[#This Row],[Sale]]-Table1[[#This Row],[Cost]]</f>
        <v>2588.13</v>
      </c>
      <c r="I1983" s="4">
        <f>Table1[[#This Row],[Profit]]/Table1[[#This Row],[Sale]]</f>
        <v>0.31999985163039651</v>
      </c>
      <c r="J1983" s="5">
        <f t="shared" si="60"/>
        <v>2004</v>
      </c>
      <c r="K1983" s="5">
        <f>MONTH(Table1[[#This Row],[Date]])</f>
        <v>10</v>
      </c>
      <c r="L1983" s="5">
        <f>DAY(Table1[[#This Row],[Date]])</f>
        <v>20</v>
      </c>
      <c r="M1983" s="5" t="str">
        <f t="shared" si="61"/>
        <v>Oct</v>
      </c>
    </row>
    <row r="1984" spans="1:13" x14ac:dyDescent="0.25">
      <c r="A1984" s="2">
        <v>38627</v>
      </c>
      <c r="B1984" t="s">
        <v>15</v>
      </c>
      <c r="C1984" t="s">
        <v>29</v>
      </c>
      <c r="D1984" t="s">
        <v>16</v>
      </c>
      <c r="E1984" t="s">
        <v>14</v>
      </c>
      <c r="F1984" s="3">
        <v>96.99</v>
      </c>
      <c r="G1984" s="3">
        <v>142.63</v>
      </c>
      <c r="H1984" s="3">
        <f>Table1[[#This Row],[Sale]]-Table1[[#This Row],[Cost]]</f>
        <v>45.64</v>
      </c>
      <c r="I1984" s="4">
        <f>Table1[[#This Row],[Profit]]/Table1[[#This Row],[Sale]]</f>
        <v>0.31998878216364018</v>
      </c>
      <c r="J1984" s="5">
        <f t="shared" si="60"/>
        <v>2005</v>
      </c>
      <c r="K1984" s="5">
        <f>MONTH(Table1[[#This Row],[Date]])</f>
        <v>10</v>
      </c>
      <c r="L1984" s="5">
        <f>DAY(Table1[[#This Row],[Date]])</f>
        <v>2</v>
      </c>
      <c r="M1984" s="5" t="str">
        <f t="shared" si="61"/>
        <v>Oct</v>
      </c>
    </row>
    <row r="1985" spans="1:13" x14ac:dyDescent="0.25">
      <c r="A1985" s="2">
        <v>38164</v>
      </c>
      <c r="B1985" t="s">
        <v>17</v>
      </c>
      <c r="C1985" t="s">
        <v>12</v>
      </c>
      <c r="D1985" t="s">
        <v>19</v>
      </c>
      <c r="E1985" t="s">
        <v>14</v>
      </c>
      <c r="F1985" s="3">
        <v>3712.22</v>
      </c>
      <c r="G1985" s="3">
        <v>6291.89</v>
      </c>
      <c r="H1985" s="3">
        <f>Table1[[#This Row],[Sale]]-Table1[[#This Row],[Cost]]</f>
        <v>2579.6700000000005</v>
      </c>
      <c r="I1985" s="4">
        <f>Table1[[#This Row],[Profit]]/Table1[[#This Row],[Sale]]</f>
        <v>0.40999922121969717</v>
      </c>
      <c r="J1985" s="5">
        <f t="shared" si="60"/>
        <v>2004</v>
      </c>
      <c r="K1985" s="5">
        <f>MONTH(Table1[[#This Row],[Date]])</f>
        <v>6</v>
      </c>
      <c r="L1985" s="5">
        <f>DAY(Table1[[#This Row],[Date]])</f>
        <v>26</v>
      </c>
      <c r="M1985" s="5" t="str">
        <f t="shared" si="61"/>
        <v>Jun</v>
      </c>
    </row>
    <row r="1986" spans="1:13" x14ac:dyDescent="0.25">
      <c r="A1986" s="2">
        <v>38229</v>
      </c>
      <c r="B1986" t="s">
        <v>15</v>
      </c>
      <c r="C1986" t="s">
        <v>29</v>
      </c>
      <c r="D1986" t="s">
        <v>19</v>
      </c>
      <c r="E1986" t="s">
        <v>14</v>
      </c>
      <c r="F1986" s="3">
        <v>3366.82</v>
      </c>
      <c r="G1986" s="3">
        <v>6121.49</v>
      </c>
      <c r="H1986" s="3">
        <f>Table1[[#This Row],[Sale]]-Table1[[#This Row],[Cost]]</f>
        <v>2754.6699999999996</v>
      </c>
      <c r="I1986" s="4">
        <f>Table1[[#This Row],[Profit]]/Table1[[#This Row],[Sale]]</f>
        <v>0.44999991832053954</v>
      </c>
      <c r="J1986" s="5">
        <f t="shared" ref="J1986:J1999" si="62">YEAR(A:A)</f>
        <v>2004</v>
      </c>
      <c r="K1986" s="5">
        <f>MONTH(Table1[[#This Row],[Date]])</f>
        <v>8</v>
      </c>
      <c r="L1986" s="5">
        <f>DAY(Table1[[#This Row],[Date]])</f>
        <v>30</v>
      </c>
      <c r="M1986" s="5" t="str">
        <f t="shared" ref="M1986:M1999" si="63">CHOOSE(K1986,"Jan", "Feb", "Mar", "Apr", "May", "Jun", "Jul", "Aug", "Sep", "Oct", "Nov", "Dec")</f>
        <v>Aug</v>
      </c>
    </row>
    <row r="1987" spans="1:13" x14ac:dyDescent="0.25">
      <c r="A1987" s="2">
        <v>38782</v>
      </c>
      <c r="B1987" t="s">
        <v>15</v>
      </c>
      <c r="C1987" t="s">
        <v>23</v>
      </c>
      <c r="D1987" t="s">
        <v>16</v>
      </c>
      <c r="E1987" t="s">
        <v>24</v>
      </c>
      <c r="F1987" s="3">
        <v>1880.97</v>
      </c>
      <c r="G1987" s="3">
        <v>4374.3599999999997</v>
      </c>
      <c r="H1987" s="3">
        <f>Table1[[#This Row],[Sale]]-Table1[[#This Row],[Cost]]</f>
        <v>2493.3899999999994</v>
      </c>
      <c r="I1987" s="4">
        <f>Table1[[#This Row],[Profit]]/Table1[[#This Row],[Sale]]</f>
        <v>0.57000109730337689</v>
      </c>
      <c r="J1987" s="5">
        <f t="shared" si="62"/>
        <v>2006</v>
      </c>
      <c r="K1987" s="5">
        <f>MONTH(Table1[[#This Row],[Date]])</f>
        <v>3</v>
      </c>
      <c r="L1987" s="5">
        <f>DAY(Table1[[#This Row],[Date]])</f>
        <v>6</v>
      </c>
      <c r="M1987" s="5" t="str">
        <f t="shared" si="63"/>
        <v>Mar</v>
      </c>
    </row>
    <row r="1988" spans="1:13" x14ac:dyDescent="0.25">
      <c r="A1988" s="2">
        <v>38476</v>
      </c>
      <c r="B1988" t="s">
        <v>21</v>
      </c>
      <c r="C1988" t="s">
        <v>29</v>
      </c>
      <c r="D1988" t="s">
        <v>13</v>
      </c>
      <c r="E1988" t="s">
        <v>24</v>
      </c>
      <c r="F1988" s="3">
        <v>424.68</v>
      </c>
      <c r="G1988" s="3">
        <v>772.15</v>
      </c>
      <c r="H1988" s="3">
        <f>Table1[[#This Row],[Sale]]-Table1[[#This Row],[Cost]]</f>
        <v>347.46999999999997</v>
      </c>
      <c r="I1988" s="4">
        <f>Table1[[#This Row],[Profit]]/Table1[[#This Row],[Sale]]</f>
        <v>0.45000323771287959</v>
      </c>
      <c r="J1988" s="5">
        <f t="shared" si="62"/>
        <v>2005</v>
      </c>
      <c r="K1988" s="5">
        <f>MONTH(Table1[[#This Row],[Date]])</f>
        <v>5</v>
      </c>
      <c r="L1988" s="5">
        <f>DAY(Table1[[#This Row],[Date]])</f>
        <v>4</v>
      </c>
      <c r="M1988" s="5" t="str">
        <f t="shared" si="63"/>
        <v>May</v>
      </c>
    </row>
    <row r="1989" spans="1:13" x14ac:dyDescent="0.25">
      <c r="A1989" s="2">
        <v>38827</v>
      </c>
      <c r="B1989" t="s">
        <v>17</v>
      </c>
      <c r="C1989" t="s">
        <v>12</v>
      </c>
      <c r="D1989" t="s">
        <v>16</v>
      </c>
      <c r="E1989" t="s">
        <v>24</v>
      </c>
      <c r="F1989" s="3">
        <v>5717.91</v>
      </c>
      <c r="G1989" s="3">
        <v>9691.3799999999992</v>
      </c>
      <c r="H1989" s="3">
        <f>Table1[[#This Row],[Sale]]-Table1[[#This Row],[Cost]]</f>
        <v>3973.4699999999993</v>
      </c>
      <c r="I1989" s="4">
        <f>Table1[[#This Row],[Profit]]/Table1[[#This Row],[Sale]]</f>
        <v>0.41000043337481346</v>
      </c>
      <c r="J1989" s="5">
        <f t="shared" si="62"/>
        <v>2006</v>
      </c>
      <c r="K1989" s="5">
        <f>MONTH(Table1[[#This Row],[Date]])</f>
        <v>4</v>
      </c>
      <c r="L1989" s="5">
        <f>DAY(Table1[[#This Row],[Date]])</f>
        <v>20</v>
      </c>
      <c r="M1989" s="5" t="str">
        <f t="shared" si="63"/>
        <v>Apr</v>
      </c>
    </row>
    <row r="1990" spans="1:13" x14ac:dyDescent="0.25">
      <c r="A1990" s="2">
        <v>38246</v>
      </c>
      <c r="B1990" t="s">
        <v>26</v>
      </c>
      <c r="C1990" t="s">
        <v>23</v>
      </c>
      <c r="D1990" t="s">
        <v>16</v>
      </c>
      <c r="E1990" t="s">
        <v>20</v>
      </c>
      <c r="F1990" s="3">
        <v>2182.1999999999998</v>
      </c>
      <c r="G1990" s="3">
        <v>2333.9</v>
      </c>
      <c r="H1990" s="3">
        <f>Table1[[#This Row],[Sale]]-Table1[[#This Row],[Cost]]</f>
        <v>151.70000000000027</v>
      </c>
      <c r="I1990" s="4">
        <f>Table1[[#This Row],[Profit]]/Table1[[#This Row],[Sale]]</f>
        <v>6.4998500364197381E-2</v>
      </c>
      <c r="J1990" s="5">
        <f t="shared" si="62"/>
        <v>2004</v>
      </c>
      <c r="K1990" s="5">
        <f>MONTH(Table1[[#This Row],[Date]])</f>
        <v>9</v>
      </c>
      <c r="L1990" s="5">
        <f>DAY(Table1[[#This Row],[Date]])</f>
        <v>16</v>
      </c>
      <c r="M1990" s="5" t="str">
        <f t="shared" si="63"/>
        <v>Sep</v>
      </c>
    </row>
    <row r="1991" spans="1:13" x14ac:dyDescent="0.25">
      <c r="A1991" s="2">
        <v>38212</v>
      </c>
      <c r="B1991" t="s">
        <v>22</v>
      </c>
      <c r="C1991" t="s">
        <v>23</v>
      </c>
      <c r="D1991" t="s">
        <v>19</v>
      </c>
      <c r="E1991" t="s">
        <v>25</v>
      </c>
      <c r="F1991" s="3">
        <v>2791.89</v>
      </c>
      <c r="G1991" s="3">
        <v>7545.64</v>
      </c>
      <c r="H1991" s="3">
        <f>Table1[[#This Row],[Sale]]-Table1[[#This Row],[Cost]]</f>
        <v>4753.75</v>
      </c>
      <c r="I1991" s="4">
        <f>Table1[[#This Row],[Profit]]/Table1[[#This Row],[Sale]]</f>
        <v>0.62999957591403777</v>
      </c>
      <c r="J1991" s="5">
        <f t="shared" si="62"/>
        <v>2004</v>
      </c>
      <c r="K1991" s="5">
        <f>MONTH(Table1[[#This Row],[Date]])</f>
        <v>8</v>
      </c>
      <c r="L1991" s="5">
        <f>DAY(Table1[[#This Row],[Date]])</f>
        <v>13</v>
      </c>
      <c r="M1991" s="5" t="str">
        <f t="shared" si="63"/>
        <v>Aug</v>
      </c>
    </row>
    <row r="1992" spans="1:13" x14ac:dyDescent="0.25">
      <c r="A1992" s="2">
        <v>38267</v>
      </c>
      <c r="B1992" t="s">
        <v>11</v>
      </c>
      <c r="C1992" t="s">
        <v>12</v>
      </c>
      <c r="D1992" t="s">
        <v>13</v>
      </c>
      <c r="E1992" t="s">
        <v>20</v>
      </c>
      <c r="F1992" s="3">
        <v>1155.08</v>
      </c>
      <c r="G1992" s="3">
        <v>3121.84</v>
      </c>
      <c r="H1992" s="3">
        <f>Table1[[#This Row],[Sale]]-Table1[[#This Row],[Cost]]</f>
        <v>1966.7600000000002</v>
      </c>
      <c r="I1992" s="4">
        <f>Table1[[#This Row],[Profit]]/Table1[[#This Row],[Sale]]</f>
        <v>0.63000025625912925</v>
      </c>
      <c r="J1992" s="5">
        <f t="shared" si="62"/>
        <v>2004</v>
      </c>
      <c r="K1992" s="5">
        <f>MONTH(Table1[[#This Row],[Date]])</f>
        <v>10</v>
      </c>
      <c r="L1992" s="5">
        <f>DAY(Table1[[#This Row],[Date]])</f>
        <v>7</v>
      </c>
      <c r="M1992" s="5" t="str">
        <f t="shared" si="63"/>
        <v>Oct</v>
      </c>
    </row>
    <row r="1993" spans="1:13" x14ac:dyDescent="0.25">
      <c r="A1993" s="2">
        <v>38359</v>
      </c>
      <c r="B1993" t="s">
        <v>21</v>
      </c>
      <c r="C1993" t="s">
        <v>23</v>
      </c>
      <c r="D1993" t="s">
        <v>28</v>
      </c>
      <c r="E1993" t="s">
        <v>25</v>
      </c>
      <c r="F1993" s="3">
        <v>2851.18</v>
      </c>
      <c r="G1993" s="3">
        <v>6335.95</v>
      </c>
      <c r="H1993" s="3">
        <f>Table1[[#This Row],[Sale]]-Table1[[#This Row],[Cost]]</f>
        <v>3484.77</v>
      </c>
      <c r="I1993" s="4">
        <f>Table1[[#This Row],[Profit]]/Table1[[#This Row],[Sale]]</f>
        <v>0.54999960542617921</v>
      </c>
      <c r="J1993" s="5">
        <f t="shared" si="62"/>
        <v>2005</v>
      </c>
      <c r="K1993" s="5">
        <f>MONTH(Table1[[#This Row],[Date]])</f>
        <v>1</v>
      </c>
      <c r="L1993" s="5">
        <f>DAY(Table1[[#This Row],[Date]])</f>
        <v>7</v>
      </c>
      <c r="M1993" s="5" t="str">
        <f t="shared" si="63"/>
        <v>Jan</v>
      </c>
    </row>
    <row r="1994" spans="1:13" x14ac:dyDescent="0.25">
      <c r="A1994" s="2">
        <v>38431</v>
      </c>
      <c r="B1994" t="s">
        <v>22</v>
      </c>
      <c r="C1994" t="s">
        <v>12</v>
      </c>
      <c r="D1994" t="s">
        <v>28</v>
      </c>
      <c r="E1994" t="s">
        <v>24</v>
      </c>
      <c r="F1994" s="3">
        <v>877.49</v>
      </c>
      <c r="G1994" s="3">
        <v>1595.43</v>
      </c>
      <c r="H1994" s="3">
        <f>Table1[[#This Row],[Sale]]-Table1[[#This Row],[Cost]]</f>
        <v>717.94</v>
      </c>
      <c r="I1994" s="4">
        <f>Table1[[#This Row],[Profit]]/Table1[[#This Row],[Sale]]</f>
        <v>0.44999780623405605</v>
      </c>
      <c r="J1994" s="5">
        <f t="shared" si="62"/>
        <v>2005</v>
      </c>
      <c r="K1994" s="5">
        <f>MONTH(Table1[[#This Row],[Date]])</f>
        <v>3</v>
      </c>
      <c r="L1994" s="5">
        <f>DAY(Table1[[#This Row],[Date]])</f>
        <v>20</v>
      </c>
      <c r="M1994" s="5" t="str">
        <f t="shared" si="63"/>
        <v>Mar</v>
      </c>
    </row>
    <row r="1995" spans="1:13" x14ac:dyDescent="0.25">
      <c r="A1995" s="2">
        <v>38395</v>
      </c>
      <c r="B1995" t="s">
        <v>21</v>
      </c>
      <c r="C1995" t="s">
        <v>27</v>
      </c>
      <c r="D1995" t="s">
        <v>13</v>
      </c>
      <c r="E1995" t="s">
        <v>24</v>
      </c>
      <c r="F1995" s="3">
        <v>6955.61</v>
      </c>
      <c r="G1995" s="3">
        <v>7439.15</v>
      </c>
      <c r="H1995" s="3">
        <f>Table1[[#This Row],[Sale]]-Table1[[#This Row],[Cost]]</f>
        <v>483.53999999999996</v>
      </c>
      <c r="I1995" s="4">
        <f>Table1[[#This Row],[Profit]]/Table1[[#This Row],[Sale]]</f>
        <v>6.4999361486191301E-2</v>
      </c>
      <c r="J1995" s="5">
        <f t="shared" si="62"/>
        <v>2005</v>
      </c>
      <c r="K1995" s="5">
        <f>MONTH(Table1[[#This Row],[Date]])</f>
        <v>2</v>
      </c>
      <c r="L1995" s="5">
        <f>DAY(Table1[[#This Row],[Date]])</f>
        <v>12</v>
      </c>
      <c r="M1995" s="5" t="str">
        <f t="shared" si="63"/>
        <v>Feb</v>
      </c>
    </row>
    <row r="1996" spans="1:13" x14ac:dyDescent="0.25">
      <c r="A1996" s="2">
        <v>38613</v>
      </c>
      <c r="B1996" t="s">
        <v>22</v>
      </c>
      <c r="C1996" t="s">
        <v>29</v>
      </c>
      <c r="D1996" t="s">
        <v>19</v>
      </c>
      <c r="E1996" t="s">
        <v>20</v>
      </c>
      <c r="F1996" s="3">
        <v>3598.85</v>
      </c>
      <c r="G1996" s="3">
        <v>6204.91</v>
      </c>
      <c r="H1996" s="3">
        <f>Table1[[#This Row],[Sale]]-Table1[[#This Row],[Cost]]</f>
        <v>2606.06</v>
      </c>
      <c r="I1996" s="4">
        <f>Table1[[#This Row],[Profit]]/Table1[[#This Row],[Sale]]</f>
        <v>0.4199996454420773</v>
      </c>
      <c r="J1996" s="5">
        <f t="shared" si="62"/>
        <v>2005</v>
      </c>
      <c r="K1996" s="5">
        <f>MONTH(Table1[[#This Row],[Date]])</f>
        <v>9</v>
      </c>
      <c r="L1996" s="5">
        <f>DAY(Table1[[#This Row],[Date]])</f>
        <v>18</v>
      </c>
      <c r="M1996" s="5" t="str">
        <f t="shared" si="63"/>
        <v>Sep</v>
      </c>
    </row>
    <row r="1997" spans="1:13" x14ac:dyDescent="0.25">
      <c r="A1997" s="2">
        <v>38366</v>
      </c>
      <c r="B1997" t="s">
        <v>22</v>
      </c>
      <c r="C1997" t="s">
        <v>12</v>
      </c>
      <c r="D1997" t="s">
        <v>19</v>
      </c>
      <c r="E1997" t="s">
        <v>25</v>
      </c>
      <c r="F1997" s="3">
        <v>7063.19</v>
      </c>
      <c r="G1997" s="3">
        <v>8026.35</v>
      </c>
      <c r="H1997" s="3">
        <f>Table1[[#This Row],[Sale]]-Table1[[#This Row],[Cost]]</f>
        <v>963.16000000000076</v>
      </c>
      <c r="I1997" s="4">
        <f>Table1[[#This Row],[Profit]]/Table1[[#This Row],[Sale]]</f>
        <v>0.1199997508207343</v>
      </c>
      <c r="J1997" s="5">
        <f t="shared" si="62"/>
        <v>2005</v>
      </c>
      <c r="K1997" s="5">
        <f>MONTH(Table1[[#This Row],[Date]])</f>
        <v>1</v>
      </c>
      <c r="L1997" s="5">
        <f>DAY(Table1[[#This Row],[Date]])</f>
        <v>14</v>
      </c>
      <c r="M1997" s="5" t="str">
        <f t="shared" si="63"/>
        <v>Jan</v>
      </c>
    </row>
    <row r="1998" spans="1:13" x14ac:dyDescent="0.25">
      <c r="A1998" s="2">
        <v>38367</v>
      </c>
      <c r="B1998" t="s">
        <v>22</v>
      </c>
      <c r="C1998" t="s">
        <v>18</v>
      </c>
      <c r="D1998" t="s">
        <v>13</v>
      </c>
      <c r="E1998" t="s">
        <v>24</v>
      </c>
      <c r="F1998" s="3">
        <v>2585.06</v>
      </c>
      <c r="G1998" s="3">
        <v>4457</v>
      </c>
      <c r="H1998" s="3">
        <f>Table1[[#This Row],[Sale]]-Table1[[#This Row],[Cost]]</f>
        <v>1871.94</v>
      </c>
      <c r="I1998" s="4">
        <f>Table1[[#This Row],[Profit]]/Table1[[#This Row],[Sale]]</f>
        <v>0.42000000000000004</v>
      </c>
      <c r="J1998" s="5">
        <f t="shared" si="62"/>
        <v>2005</v>
      </c>
      <c r="K1998" s="5">
        <f>MONTH(Table1[[#This Row],[Date]])</f>
        <v>1</v>
      </c>
      <c r="L1998" s="5">
        <f>DAY(Table1[[#This Row],[Date]])</f>
        <v>15</v>
      </c>
      <c r="M1998" s="5" t="str">
        <f t="shared" si="63"/>
        <v>Jan</v>
      </c>
    </row>
    <row r="1999" spans="1:13" x14ac:dyDescent="0.25">
      <c r="A1999" s="2">
        <v>38222</v>
      </c>
      <c r="B1999" t="s">
        <v>26</v>
      </c>
      <c r="C1999" t="s">
        <v>23</v>
      </c>
      <c r="D1999" t="s">
        <v>28</v>
      </c>
      <c r="E1999" t="s">
        <v>25</v>
      </c>
      <c r="F1999" s="3">
        <v>3081.97</v>
      </c>
      <c r="G1999" s="3">
        <v>3296.22</v>
      </c>
      <c r="H1999" s="3">
        <f>Table1[[#This Row],[Sale]]-Table1[[#This Row],[Cost]]</f>
        <v>214.25</v>
      </c>
      <c r="I1999" s="4">
        <f>Table1[[#This Row],[Profit]]/Table1[[#This Row],[Sale]]</f>
        <v>6.4998695475423363E-2</v>
      </c>
      <c r="J1999" s="5">
        <f t="shared" si="62"/>
        <v>2004</v>
      </c>
      <c r="K1999" s="5">
        <f>MONTH(Table1[[#This Row],[Date]])</f>
        <v>8</v>
      </c>
      <c r="L1999" s="5">
        <f>DAY(Table1[[#This Row],[Date]])</f>
        <v>23</v>
      </c>
      <c r="M1999" s="5" t="str">
        <f t="shared" si="63"/>
        <v>Aug</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40"/>
  <sheetViews>
    <sheetView tabSelected="1" topLeftCell="B1" workbookViewId="0">
      <selection activeCell="L9" sqref="L9:N9"/>
    </sheetView>
  </sheetViews>
  <sheetFormatPr defaultRowHeight="15" x14ac:dyDescent="0.25"/>
  <cols>
    <col min="1" max="1" width="13.7109375" customWidth="1"/>
    <col min="2" max="2" width="20" customWidth="1"/>
    <col min="3" max="3" width="15.42578125" customWidth="1"/>
    <col min="4" max="4" width="22.42578125" customWidth="1"/>
    <col min="6" max="6" width="13.140625" bestFit="1" customWidth="1"/>
    <col min="7" max="7" width="12.7109375" bestFit="1" customWidth="1"/>
    <col min="8" max="8" width="12.5703125" bestFit="1" customWidth="1"/>
    <col min="9" max="9" width="16" bestFit="1" customWidth="1"/>
    <col min="10" max="10" width="17.5703125" customWidth="1"/>
    <col min="11" max="11" width="13.140625" bestFit="1" customWidth="1"/>
    <col min="12" max="12" width="12.7109375" bestFit="1" customWidth="1"/>
    <col min="13" max="13" width="11.5703125" customWidth="1"/>
    <col min="14" max="14" width="12" customWidth="1"/>
  </cols>
  <sheetData>
    <row r="1" spans="1:15" ht="26.25" customHeight="1" x14ac:dyDescent="0.25">
      <c r="L1" s="25" t="s">
        <v>34</v>
      </c>
      <c r="M1" s="25"/>
      <c r="N1" s="25"/>
      <c r="O1" s="25"/>
    </row>
    <row r="2" spans="1:15" ht="15.75" x14ac:dyDescent="0.25">
      <c r="A2" s="26" t="s">
        <v>30</v>
      </c>
      <c r="B2" s="26"/>
      <c r="C2" s="26"/>
      <c r="F2" s="26" t="s">
        <v>32</v>
      </c>
      <c r="G2" s="26"/>
      <c r="H2" s="26"/>
      <c r="I2" s="16"/>
      <c r="J2" s="16"/>
      <c r="L2" t="s">
        <v>35</v>
      </c>
      <c r="M2" s="17" t="s">
        <v>36</v>
      </c>
      <c r="N2" t="s">
        <v>37</v>
      </c>
    </row>
    <row r="3" spans="1:15" x14ac:dyDescent="0.25">
      <c r="A3" s="12" t="s">
        <v>44</v>
      </c>
      <c r="B3" s="9" t="s">
        <v>45</v>
      </c>
      <c r="C3" s="9" t="s">
        <v>46</v>
      </c>
      <c r="D3" s="9" t="s">
        <v>52</v>
      </c>
      <c r="F3" s="10" t="s">
        <v>44</v>
      </c>
      <c r="G3" t="s">
        <v>45</v>
      </c>
      <c r="H3" t="s">
        <v>46</v>
      </c>
      <c r="L3" t="s">
        <v>38</v>
      </c>
      <c r="M3" s="17">
        <f>COUNT('Clean Dataset'!G:G)</f>
        <v>1998</v>
      </c>
      <c r="N3">
        <f>COUNT('Clean Dataset'!H:H)</f>
        <v>1998</v>
      </c>
    </row>
    <row r="4" spans="1:15" x14ac:dyDescent="0.25">
      <c r="A4" s="13" t="s">
        <v>15</v>
      </c>
      <c r="B4" s="9">
        <v>1644938.7300000004</v>
      </c>
      <c r="C4" s="9">
        <v>589363.57000000007</v>
      </c>
      <c r="D4" s="9">
        <v>0.35001604938271552</v>
      </c>
      <c r="F4" s="11" t="s">
        <v>23</v>
      </c>
      <c r="G4" s="3">
        <v>1824241.9399999997</v>
      </c>
      <c r="H4" s="3">
        <v>667750.66999999993</v>
      </c>
      <c r="L4" t="s">
        <v>39</v>
      </c>
      <c r="M4" s="17">
        <f>AVERAGE('Clean Dataset'!G:G)</f>
        <v>5042.7232132132085</v>
      </c>
      <c r="N4" s="17">
        <f>AVERAGE('Clean Dataset'!H:H)</f>
        <v>1891.7028578578556</v>
      </c>
    </row>
    <row r="5" spans="1:15" x14ac:dyDescent="0.25">
      <c r="A5" s="13" t="s">
        <v>22</v>
      </c>
      <c r="B5" s="9">
        <v>1880961.3200000005</v>
      </c>
      <c r="C5" s="9">
        <v>691918.63999999966</v>
      </c>
      <c r="D5" s="9">
        <v>0.36449324324324234</v>
      </c>
      <c r="F5" s="11" t="s">
        <v>29</v>
      </c>
      <c r="G5" s="3">
        <v>2107132.6699999981</v>
      </c>
      <c r="H5" s="3">
        <v>814239.24</v>
      </c>
      <c r="L5" t="s">
        <v>40</v>
      </c>
      <c r="M5" s="17">
        <f>_xlfn.STDEV.S('Clean Dataset'!G:G)</f>
        <v>2875.5891732569098</v>
      </c>
      <c r="N5" s="17">
        <f>_xlfn.STDEV.S('Clean Dataset'!H:H)</f>
        <v>1533.2078173117309</v>
      </c>
    </row>
    <row r="6" spans="1:15" x14ac:dyDescent="0.25">
      <c r="A6" s="13" t="s">
        <v>26</v>
      </c>
      <c r="B6" s="9">
        <v>1481391.4300000004</v>
      </c>
      <c r="C6" s="9">
        <v>552446.46000000008</v>
      </c>
      <c r="D6" s="9">
        <v>0.37329540983606457</v>
      </c>
      <c r="F6" s="11" t="s">
        <v>27</v>
      </c>
      <c r="G6" s="3">
        <v>2088024.5400000007</v>
      </c>
      <c r="H6" s="3">
        <v>763067.46999999927</v>
      </c>
      <c r="L6" t="s">
        <v>41</v>
      </c>
      <c r="M6" s="17">
        <f>MIN('Clean Dataset'!G:G)</f>
        <v>12.56</v>
      </c>
      <c r="N6" s="17">
        <f>MIN('Clean Dataset'!H:H)</f>
        <v>-2657.1400000000003</v>
      </c>
    </row>
    <row r="7" spans="1:15" x14ac:dyDescent="0.25">
      <c r="A7" s="13" t="s">
        <v>21</v>
      </c>
      <c r="B7" s="9">
        <v>1708310.19</v>
      </c>
      <c r="C7" s="9">
        <v>620362.91000000015</v>
      </c>
      <c r="D7" s="9">
        <v>0.33566090651558006</v>
      </c>
      <c r="F7" s="11" t="s">
        <v>18</v>
      </c>
      <c r="G7" s="3">
        <v>1878038.6300000008</v>
      </c>
      <c r="H7" s="3">
        <v>700455.87000000034</v>
      </c>
      <c r="L7" t="s">
        <v>42</v>
      </c>
      <c r="M7" s="17">
        <f>MAX('Clean Dataset'!G:G)</f>
        <v>9994.24</v>
      </c>
      <c r="N7" s="17">
        <f>MAX('Clean Dataset'!H:H)</f>
        <v>6292.7899999999991</v>
      </c>
    </row>
    <row r="8" spans="1:15" x14ac:dyDescent="0.25">
      <c r="A8" s="13" t="s">
        <v>11</v>
      </c>
      <c r="B8" s="9">
        <v>1562105.6300000004</v>
      </c>
      <c r="C8" s="9">
        <v>613097.38</v>
      </c>
      <c r="D8" s="9">
        <v>0.3834374999999991</v>
      </c>
      <c r="F8" s="11" t="s">
        <v>12</v>
      </c>
      <c r="G8" s="3">
        <v>2177923.1999999997</v>
      </c>
      <c r="H8" s="3">
        <v>834109.05999999982</v>
      </c>
      <c r="L8" t="s">
        <v>48</v>
      </c>
      <c r="M8" s="17">
        <f>SUM('Clean Dataset'!G:G)</f>
        <v>10075360.979999991</v>
      </c>
      <c r="N8" s="17">
        <f>SUM('Clean Dataset'!H:H)</f>
        <v>3779622.3099999954</v>
      </c>
    </row>
    <row r="9" spans="1:15" x14ac:dyDescent="0.25">
      <c r="A9" s="13" t="s">
        <v>17</v>
      </c>
      <c r="B9" s="9">
        <v>1797653.6800000002</v>
      </c>
      <c r="C9" s="9">
        <v>712433.34999999963</v>
      </c>
      <c r="D9" s="9">
        <v>0.39505818713450214</v>
      </c>
      <c r="F9" s="11" t="s">
        <v>43</v>
      </c>
      <c r="G9" s="3">
        <v>10075360.979999999</v>
      </c>
      <c r="H9" s="3">
        <v>3779622.3099999987</v>
      </c>
      <c r="M9" s="17"/>
      <c r="N9" s="17"/>
    </row>
    <row r="10" spans="1:15" x14ac:dyDescent="0.25">
      <c r="A10" s="13" t="s">
        <v>43</v>
      </c>
      <c r="B10" s="20">
        <v>10075360.979999982</v>
      </c>
      <c r="C10" s="20">
        <v>3779622.3099999973</v>
      </c>
      <c r="D10" s="21">
        <v>0.36650950950951094</v>
      </c>
      <c r="M10" s="17"/>
      <c r="N10" s="6"/>
    </row>
    <row r="11" spans="1:15" ht="15.75" x14ac:dyDescent="0.25">
      <c r="A11" s="14" t="s">
        <v>31</v>
      </c>
      <c r="B11" s="15"/>
      <c r="C11" s="15"/>
      <c r="F11" s="26" t="s">
        <v>33</v>
      </c>
      <c r="G11" s="26"/>
      <c r="H11" s="26"/>
      <c r="K11" s="10" t="s">
        <v>44</v>
      </c>
      <c r="L11" t="s">
        <v>45</v>
      </c>
    </row>
    <row r="12" spans="1:15" x14ac:dyDescent="0.25">
      <c r="A12" s="10" t="s">
        <v>44</v>
      </c>
      <c r="B12" t="s">
        <v>45</v>
      </c>
      <c r="C12" t="s">
        <v>46</v>
      </c>
      <c r="D12" t="s">
        <v>47</v>
      </c>
      <c r="F12" s="10" t="s">
        <v>44</v>
      </c>
      <c r="G12" t="s">
        <v>45</v>
      </c>
      <c r="H12" t="s">
        <v>46</v>
      </c>
      <c r="K12" s="11">
        <v>2004</v>
      </c>
      <c r="L12" s="3">
        <v>2756652.95</v>
      </c>
    </row>
    <row r="13" spans="1:15" x14ac:dyDescent="0.25">
      <c r="A13" s="11" t="s">
        <v>28</v>
      </c>
      <c r="B13" s="3">
        <v>2624334.2200000035</v>
      </c>
      <c r="C13" s="3">
        <v>963309.33</v>
      </c>
      <c r="D13" s="4">
        <v>182.58009999999931</v>
      </c>
      <c r="F13" s="11" t="s">
        <v>24</v>
      </c>
      <c r="G13" s="3">
        <v>2692005.6099999989</v>
      </c>
      <c r="H13" s="3">
        <v>1014215.4099999998</v>
      </c>
      <c r="K13" s="22" t="s">
        <v>55</v>
      </c>
      <c r="L13" s="3">
        <v>213704.72000000006</v>
      </c>
      <c r="N13" s="9"/>
    </row>
    <row r="14" spans="1:15" x14ac:dyDescent="0.25">
      <c r="A14" s="11" t="s">
        <v>19</v>
      </c>
      <c r="B14" s="3">
        <v>2477499.4399999985</v>
      </c>
      <c r="C14" s="3">
        <v>931800.93999999983</v>
      </c>
      <c r="D14" s="4">
        <v>186.4334999999991</v>
      </c>
      <c r="F14" s="11" t="s">
        <v>20</v>
      </c>
      <c r="G14" s="3">
        <v>2314318.7299999995</v>
      </c>
      <c r="H14" s="3">
        <v>861158.83999999927</v>
      </c>
      <c r="K14" s="22" t="s">
        <v>56</v>
      </c>
      <c r="L14" s="3">
        <v>402246.39999999997</v>
      </c>
      <c r="N14" s="9"/>
    </row>
    <row r="15" spans="1:15" x14ac:dyDescent="0.25">
      <c r="A15" s="11" t="s">
        <v>13</v>
      </c>
      <c r="B15" s="3">
        <v>2462270.3600000003</v>
      </c>
      <c r="C15" s="3">
        <v>922053.39999999944</v>
      </c>
      <c r="D15" s="4">
        <v>181.39889999999926</v>
      </c>
      <c r="F15" s="11" t="s">
        <v>25</v>
      </c>
      <c r="G15" s="3">
        <v>2623694.2300000004</v>
      </c>
      <c r="H15" s="3">
        <v>999289.56</v>
      </c>
      <c r="K15" s="22" t="s">
        <v>64</v>
      </c>
      <c r="L15" s="3">
        <v>438473.76999999984</v>
      </c>
      <c r="N15" s="9"/>
    </row>
    <row r="16" spans="1:15" x14ac:dyDescent="0.25">
      <c r="A16" s="11" t="s">
        <v>16</v>
      </c>
      <c r="B16" s="3">
        <v>2511256.959999999</v>
      </c>
      <c r="C16" s="3">
        <v>962458.63999999943</v>
      </c>
      <c r="D16" s="4">
        <v>181.87349999999913</v>
      </c>
      <c r="F16" s="11" t="s">
        <v>14</v>
      </c>
      <c r="G16" s="3">
        <v>2445342.4099999997</v>
      </c>
      <c r="H16" s="3">
        <v>904958.49999999988</v>
      </c>
      <c r="K16" s="22" t="s">
        <v>62</v>
      </c>
      <c r="L16" s="3">
        <v>449849.06000000006</v>
      </c>
      <c r="N16" s="9"/>
    </row>
    <row r="17" spans="1:12" x14ac:dyDescent="0.25">
      <c r="A17" s="11" t="s">
        <v>43</v>
      </c>
      <c r="B17" s="3">
        <v>10075360.98</v>
      </c>
      <c r="C17" s="3">
        <v>3779622.3099999987</v>
      </c>
      <c r="D17" s="4">
        <v>732.28599999999676</v>
      </c>
      <c r="F17" s="11" t="s">
        <v>43</v>
      </c>
      <c r="G17" s="3">
        <v>10075360.979999999</v>
      </c>
      <c r="H17" s="3">
        <v>3779622.3099999991</v>
      </c>
      <c r="K17" s="22" t="s">
        <v>53</v>
      </c>
      <c r="L17" s="3">
        <v>435078.36000000016</v>
      </c>
    </row>
    <row r="18" spans="1:12" x14ac:dyDescent="0.25">
      <c r="K18" s="22" t="s">
        <v>57</v>
      </c>
      <c r="L18" s="3">
        <v>323764.41000000009</v>
      </c>
    </row>
    <row r="19" spans="1:12" x14ac:dyDescent="0.25">
      <c r="K19" s="22" t="s">
        <v>63</v>
      </c>
      <c r="L19" s="3">
        <v>493536.23</v>
      </c>
    </row>
    <row r="20" spans="1:12" x14ac:dyDescent="0.25">
      <c r="K20" s="11">
        <v>2005</v>
      </c>
      <c r="L20" s="3">
        <v>5085395.93</v>
      </c>
    </row>
    <row r="21" spans="1:12" x14ac:dyDescent="0.25">
      <c r="B21" s="6"/>
      <c r="C21" s="6"/>
      <c r="K21" s="22" t="s">
        <v>60</v>
      </c>
      <c r="L21" s="3">
        <v>493478.79</v>
      </c>
    </row>
    <row r="22" spans="1:12" x14ac:dyDescent="0.25">
      <c r="B22" s="6"/>
      <c r="C22" s="6"/>
      <c r="K22" s="22" t="s">
        <v>58</v>
      </c>
      <c r="L22" s="3">
        <v>397159.57999999996</v>
      </c>
    </row>
    <row r="23" spans="1:12" x14ac:dyDescent="0.25">
      <c r="B23" s="6"/>
      <c r="C23" s="6"/>
      <c r="K23" s="22" t="s">
        <v>59</v>
      </c>
      <c r="L23" s="3">
        <v>421915.84</v>
      </c>
    </row>
    <row r="24" spans="1:12" x14ac:dyDescent="0.25">
      <c r="B24" s="6"/>
      <c r="C24" s="6"/>
      <c r="K24" s="22" t="s">
        <v>54</v>
      </c>
      <c r="L24" s="3">
        <v>352684.06000000011</v>
      </c>
    </row>
    <row r="25" spans="1:12" x14ac:dyDescent="0.25">
      <c r="B25" s="6"/>
      <c r="C25" s="6"/>
      <c r="K25" s="22" t="s">
        <v>61</v>
      </c>
      <c r="L25" s="3">
        <v>395194.85000000003</v>
      </c>
    </row>
    <row r="26" spans="1:12" x14ac:dyDescent="0.25">
      <c r="K26" s="22" t="s">
        <v>55</v>
      </c>
      <c r="L26" s="3">
        <v>369263.03</v>
      </c>
    </row>
    <row r="27" spans="1:12" x14ac:dyDescent="0.25">
      <c r="K27" s="22" t="s">
        <v>56</v>
      </c>
      <c r="L27" s="3">
        <v>501652.39</v>
      </c>
    </row>
    <row r="28" spans="1:12" x14ac:dyDescent="0.25">
      <c r="K28" s="22" t="s">
        <v>64</v>
      </c>
      <c r="L28" s="3">
        <v>419055.65999999992</v>
      </c>
    </row>
    <row r="29" spans="1:12" x14ac:dyDescent="0.25">
      <c r="K29" s="22" t="s">
        <v>62</v>
      </c>
      <c r="L29" s="3">
        <v>453661.00999999995</v>
      </c>
    </row>
    <row r="30" spans="1:12" x14ac:dyDescent="0.25">
      <c r="B30" s="6"/>
      <c r="C30" s="6"/>
      <c r="K30" s="22" t="s">
        <v>53</v>
      </c>
      <c r="L30" s="3">
        <v>423459.30000000016</v>
      </c>
    </row>
    <row r="31" spans="1:12" x14ac:dyDescent="0.25">
      <c r="B31" s="6"/>
      <c r="C31" s="6"/>
      <c r="K31" s="22" t="s">
        <v>57</v>
      </c>
      <c r="L31" s="3">
        <v>371671.08000000013</v>
      </c>
    </row>
    <row r="32" spans="1:12" x14ac:dyDescent="0.25">
      <c r="B32" s="6"/>
      <c r="C32" s="6"/>
      <c r="K32" s="22" t="s">
        <v>63</v>
      </c>
      <c r="L32" s="3">
        <v>486200.34</v>
      </c>
    </row>
    <row r="33" spans="2:12" x14ac:dyDescent="0.25">
      <c r="B33" s="6"/>
      <c r="C33" s="6"/>
      <c r="K33" s="11">
        <v>2006</v>
      </c>
      <c r="L33" s="3">
        <v>2233312.0999999996</v>
      </c>
    </row>
    <row r="34" spans="2:12" x14ac:dyDescent="0.25">
      <c r="K34" s="22" t="s">
        <v>60</v>
      </c>
      <c r="L34" s="3">
        <v>393883.32999999996</v>
      </c>
    </row>
    <row r="35" spans="2:12" x14ac:dyDescent="0.25">
      <c r="K35" s="22" t="s">
        <v>58</v>
      </c>
      <c r="L35" s="3">
        <v>323847.9599999999</v>
      </c>
    </row>
    <row r="36" spans="2:12" x14ac:dyDescent="0.25">
      <c r="K36" s="22" t="s">
        <v>59</v>
      </c>
      <c r="L36" s="3">
        <v>431754.94</v>
      </c>
    </row>
    <row r="37" spans="2:12" x14ac:dyDescent="0.25">
      <c r="K37" s="22" t="s">
        <v>54</v>
      </c>
      <c r="L37" s="3">
        <v>381416.99000000005</v>
      </c>
    </row>
    <row r="38" spans="2:12" x14ac:dyDescent="0.25">
      <c r="K38" s="22" t="s">
        <v>61</v>
      </c>
      <c r="L38" s="3">
        <v>493488.56999999983</v>
      </c>
    </row>
    <row r="39" spans="2:12" x14ac:dyDescent="0.25">
      <c r="K39" s="22" t="s">
        <v>55</v>
      </c>
      <c r="L39" s="3">
        <v>208920.31</v>
      </c>
    </row>
    <row r="40" spans="2:12" x14ac:dyDescent="0.25">
      <c r="K40" s="11" t="s">
        <v>43</v>
      </c>
      <c r="L40" s="3">
        <v>10075360.98</v>
      </c>
    </row>
  </sheetData>
  <mergeCells count="4">
    <mergeCell ref="L1:O1"/>
    <mergeCell ref="A2:C2"/>
    <mergeCell ref="F2:H2"/>
    <mergeCell ref="F11:H11"/>
  </mergeCells>
  <pageMargins left="0.75" right="0.75" top="1" bottom="1" header="0.5" footer="0.5"/>
  <tableParts count="1">
    <tablePart r:id="rId6"/>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F69D8-BB3E-4237-BB0F-118565CACA24}">
  <dimension ref="A1:Z30"/>
  <sheetViews>
    <sheetView workbookViewId="0">
      <selection activeCell="U26" sqref="U26"/>
    </sheetView>
  </sheetViews>
  <sheetFormatPr defaultRowHeight="15" x14ac:dyDescent="0.25"/>
  <sheetData>
    <row r="1" spans="1:26" ht="15" customHeight="1" x14ac:dyDescent="0.25">
      <c r="A1" s="23" t="s">
        <v>50</v>
      </c>
      <c r="B1" s="23"/>
      <c r="C1" s="23"/>
      <c r="D1" s="23"/>
      <c r="E1" s="23"/>
      <c r="F1" s="23"/>
      <c r="G1" s="23"/>
      <c r="H1" s="23"/>
      <c r="I1" s="23"/>
      <c r="J1" s="23"/>
      <c r="K1" s="23"/>
      <c r="L1" s="23"/>
      <c r="M1" s="23"/>
      <c r="N1" s="23"/>
      <c r="O1" s="23"/>
      <c r="P1" s="23"/>
      <c r="Q1" s="23"/>
      <c r="R1" s="23"/>
      <c r="S1" s="23"/>
      <c r="T1" s="19"/>
      <c r="U1" s="19"/>
      <c r="V1" s="19"/>
      <c r="W1" s="19"/>
      <c r="X1" s="19"/>
      <c r="Y1" s="19"/>
      <c r="Z1" s="19"/>
    </row>
    <row r="2" spans="1:26" ht="15" customHeight="1" x14ac:dyDescent="0.25">
      <c r="A2" s="23"/>
      <c r="B2" s="23"/>
      <c r="C2" s="23"/>
      <c r="D2" s="23"/>
      <c r="E2" s="23"/>
      <c r="F2" s="23"/>
      <c r="G2" s="23"/>
      <c r="H2" s="23"/>
      <c r="I2" s="23"/>
      <c r="J2" s="23"/>
      <c r="K2" s="23"/>
      <c r="L2" s="23"/>
      <c r="M2" s="23"/>
      <c r="N2" s="23"/>
      <c r="O2" s="23"/>
      <c r="P2" s="23"/>
      <c r="Q2" s="23"/>
      <c r="R2" s="23"/>
      <c r="S2" s="23"/>
      <c r="T2" s="19"/>
      <c r="U2" s="19"/>
      <c r="V2" s="19"/>
      <c r="W2" s="19"/>
      <c r="X2" s="19"/>
      <c r="Y2" s="19"/>
      <c r="Z2" s="19"/>
    </row>
    <row r="3" spans="1:26" ht="15" customHeight="1" x14ac:dyDescent="0.25">
      <c r="A3" s="23"/>
      <c r="B3" s="23"/>
      <c r="C3" s="23"/>
      <c r="D3" s="23"/>
      <c r="E3" s="23"/>
      <c r="F3" s="23"/>
      <c r="G3" s="23"/>
      <c r="H3" s="23"/>
      <c r="I3" s="23"/>
      <c r="J3" s="23"/>
      <c r="K3" s="23"/>
      <c r="L3" s="23"/>
      <c r="M3" s="23"/>
      <c r="N3" s="23"/>
      <c r="O3" s="23"/>
      <c r="P3" s="23"/>
      <c r="Q3" s="23"/>
      <c r="R3" s="23"/>
      <c r="S3" s="23"/>
      <c r="T3" s="19"/>
      <c r="U3" s="19"/>
      <c r="V3" s="19"/>
      <c r="W3" s="19"/>
      <c r="X3" s="19"/>
      <c r="Y3" s="19"/>
      <c r="Z3" s="19"/>
    </row>
    <row r="4" spans="1:26" ht="15" customHeight="1" x14ac:dyDescent="0.25">
      <c r="A4" s="24"/>
      <c r="B4" s="24"/>
      <c r="C4" s="24"/>
      <c r="D4" s="24"/>
      <c r="E4" s="24"/>
      <c r="F4" s="24"/>
      <c r="G4" s="24"/>
      <c r="H4" s="24"/>
      <c r="I4" s="24"/>
      <c r="J4" s="24"/>
      <c r="K4" s="24"/>
      <c r="L4" s="24"/>
      <c r="M4" s="24"/>
      <c r="N4" s="24"/>
      <c r="O4" s="24"/>
      <c r="P4" s="24"/>
      <c r="Q4" s="24"/>
      <c r="R4" s="24"/>
      <c r="S4" s="24"/>
      <c r="T4" s="19"/>
      <c r="U4" s="19"/>
      <c r="V4" s="19"/>
      <c r="W4" s="19"/>
      <c r="X4" s="19"/>
      <c r="Y4" s="19"/>
      <c r="Z4" s="19"/>
    </row>
    <row r="5" spans="1:26" ht="15" customHeight="1" x14ac:dyDescent="0.25">
      <c r="A5" s="24"/>
      <c r="B5" s="24"/>
      <c r="C5" s="24"/>
      <c r="D5" s="24"/>
      <c r="E5" s="24"/>
      <c r="F5" s="24"/>
      <c r="G5" s="24"/>
      <c r="H5" s="24"/>
      <c r="I5" s="24"/>
      <c r="J5" s="24"/>
      <c r="K5" s="24"/>
      <c r="L5" s="24"/>
      <c r="M5" s="24"/>
      <c r="N5" s="24"/>
      <c r="O5" s="24"/>
      <c r="P5" s="24"/>
      <c r="Q5" s="24"/>
      <c r="R5" s="24"/>
      <c r="S5" s="24"/>
      <c r="T5" s="19"/>
      <c r="U5" s="19"/>
      <c r="V5" s="19"/>
      <c r="W5" s="19"/>
      <c r="X5" s="19"/>
      <c r="Y5" s="19"/>
      <c r="Z5" s="19"/>
    </row>
    <row r="6" spans="1:26" ht="15" customHeight="1" x14ac:dyDescent="0.25">
      <c r="A6" s="24"/>
      <c r="B6" s="24"/>
      <c r="C6" s="24"/>
      <c r="D6" s="24"/>
      <c r="E6" s="24"/>
      <c r="F6" s="24"/>
      <c r="G6" s="24"/>
      <c r="H6" s="24"/>
      <c r="I6" s="24"/>
      <c r="J6" s="24"/>
      <c r="K6" s="24"/>
      <c r="L6" s="24"/>
      <c r="M6" s="24"/>
      <c r="N6" s="24"/>
      <c r="O6" s="24"/>
      <c r="P6" s="24"/>
      <c r="Q6" s="24"/>
      <c r="R6" s="24"/>
      <c r="S6" s="24"/>
      <c r="T6" s="19"/>
      <c r="U6" s="19"/>
      <c r="V6" s="19"/>
      <c r="W6" s="19"/>
      <c r="X6" s="19"/>
      <c r="Y6" s="19"/>
    </row>
    <row r="7" spans="1:26" ht="15" customHeight="1" x14ac:dyDescent="0.25">
      <c r="A7" s="24"/>
      <c r="B7" s="24"/>
      <c r="C7" s="24"/>
      <c r="D7" s="24"/>
      <c r="E7" s="24"/>
      <c r="F7" s="24"/>
      <c r="G7" s="24"/>
      <c r="H7" s="24"/>
      <c r="I7" s="24"/>
      <c r="J7" s="24"/>
      <c r="K7" s="24"/>
      <c r="L7" s="24"/>
      <c r="M7" s="24"/>
      <c r="N7" s="24"/>
      <c r="O7" s="24"/>
      <c r="P7" s="24"/>
      <c r="Q7" s="24"/>
      <c r="R7" s="24"/>
      <c r="S7" s="24"/>
    </row>
    <row r="8" spans="1:26" ht="15" customHeight="1" x14ac:dyDescent="0.25">
      <c r="A8" s="24"/>
      <c r="B8" s="24"/>
      <c r="C8" s="24"/>
      <c r="D8" s="24"/>
      <c r="E8" s="24"/>
      <c r="F8" s="24"/>
      <c r="G8" s="24"/>
      <c r="H8" s="24"/>
      <c r="I8" s="24"/>
      <c r="J8" s="24"/>
      <c r="K8" s="24"/>
      <c r="L8" s="24"/>
      <c r="M8" s="24"/>
      <c r="N8" s="24"/>
      <c r="O8" s="24"/>
      <c r="P8" s="24"/>
      <c r="Q8" s="24"/>
      <c r="R8" s="24"/>
      <c r="S8" s="24"/>
    </row>
    <row r="9" spans="1:26" ht="15" customHeight="1" x14ac:dyDescent="0.25">
      <c r="A9" s="24"/>
      <c r="B9" s="24"/>
      <c r="C9" s="24"/>
      <c r="D9" s="24"/>
      <c r="E9" s="24"/>
      <c r="F9" s="24"/>
      <c r="G9" s="24"/>
      <c r="H9" s="24"/>
      <c r="I9" s="24"/>
      <c r="J9" s="24"/>
      <c r="K9" s="24"/>
      <c r="L9" s="24"/>
      <c r="M9" s="24"/>
      <c r="N9" s="24"/>
      <c r="O9" s="24"/>
      <c r="P9" s="24"/>
      <c r="Q9" s="24"/>
      <c r="R9" s="24"/>
      <c r="S9" s="24"/>
    </row>
    <row r="10" spans="1:26" ht="15" customHeight="1" x14ac:dyDescent="0.25">
      <c r="A10" s="24"/>
      <c r="B10" s="24"/>
      <c r="C10" s="24"/>
      <c r="D10" s="24"/>
      <c r="E10" s="24"/>
      <c r="F10" s="24"/>
      <c r="G10" s="24"/>
      <c r="H10" s="24"/>
      <c r="I10" s="24"/>
      <c r="J10" s="24"/>
      <c r="K10" s="24"/>
      <c r="L10" s="24"/>
      <c r="M10" s="24"/>
      <c r="N10" s="24"/>
      <c r="O10" s="24"/>
      <c r="P10" s="24"/>
      <c r="Q10" s="24"/>
      <c r="R10" s="24"/>
      <c r="S10" s="24"/>
    </row>
    <row r="11" spans="1:26" ht="15" customHeight="1" x14ac:dyDescent="0.25">
      <c r="A11" s="24"/>
      <c r="B11" s="24"/>
      <c r="C11" s="24"/>
      <c r="D11" s="24"/>
      <c r="E11" s="24"/>
      <c r="F11" s="24"/>
      <c r="G11" s="24"/>
      <c r="H11" s="24"/>
      <c r="I11" s="24"/>
      <c r="J11" s="24"/>
      <c r="K11" s="24"/>
      <c r="L11" s="24"/>
      <c r="M11" s="24"/>
      <c r="N11" s="24"/>
      <c r="O11" s="24"/>
      <c r="P11" s="24"/>
      <c r="Q11" s="24"/>
      <c r="R11" s="24"/>
      <c r="S11" s="24"/>
    </row>
    <row r="12" spans="1:26" ht="15" customHeight="1" x14ac:dyDescent="0.25">
      <c r="A12" s="24"/>
      <c r="B12" s="24"/>
      <c r="C12" s="24"/>
      <c r="D12" s="24"/>
      <c r="E12" s="24"/>
      <c r="F12" s="24"/>
      <c r="G12" s="24"/>
      <c r="H12" s="24"/>
      <c r="I12" s="24"/>
      <c r="J12" s="24"/>
      <c r="K12" s="24"/>
      <c r="L12" s="24"/>
      <c r="M12" s="24"/>
      <c r="N12" s="24"/>
      <c r="O12" s="24"/>
      <c r="P12" s="24"/>
      <c r="Q12" s="24"/>
      <c r="R12" s="24"/>
      <c r="S12" s="24"/>
    </row>
    <row r="13" spans="1:26" ht="15" customHeight="1" x14ac:dyDescent="0.25">
      <c r="A13" s="24"/>
      <c r="B13" s="24"/>
      <c r="C13" s="24"/>
      <c r="D13" s="24"/>
      <c r="E13" s="24"/>
      <c r="F13" s="24"/>
      <c r="G13" s="24"/>
      <c r="H13" s="24"/>
      <c r="I13" s="24"/>
      <c r="J13" s="24"/>
      <c r="K13" s="24"/>
      <c r="L13" s="24"/>
      <c r="M13" s="24"/>
      <c r="N13" s="24"/>
      <c r="O13" s="24"/>
      <c r="P13" s="24"/>
      <c r="Q13" s="24"/>
      <c r="R13" s="24"/>
      <c r="S13" s="24"/>
    </row>
    <row r="14" spans="1:26" ht="15" customHeight="1" x14ac:dyDescent="0.25">
      <c r="A14" s="24"/>
      <c r="B14" s="24"/>
      <c r="C14" s="24"/>
      <c r="D14" s="24"/>
      <c r="E14" s="24"/>
      <c r="F14" s="24"/>
      <c r="G14" s="24"/>
      <c r="H14" s="24"/>
      <c r="I14" s="24"/>
      <c r="J14" s="24"/>
      <c r="K14" s="24"/>
      <c r="L14" s="24"/>
      <c r="M14" s="24"/>
      <c r="N14" s="24"/>
      <c r="O14" s="24"/>
      <c r="P14" s="24"/>
      <c r="Q14" s="24"/>
      <c r="R14" s="24"/>
      <c r="S14" s="24"/>
    </row>
    <row r="15" spans="1:26" ht="15" customHeight="1" x14ac:dyDescent="0.25">
      <c r="A15" s="24"/>
      <c r="B15" s="24"/>
      <c r="C15" s="24"/>
      <c r="D15" s="24"/>
      <c r="E15" s="24"/>
      <c r="F15" s="24"/>
      <c r="G15" s="24"/>
      <c r="H15" s="24"/>
      <c r="I15" s="24"/>
      <c r="J15" s="24"/>
      <c r="K15" s="24"/>
      <c r="L15" s="24"/>
      <c r="M15" s="24"/>
      <c r="N15" s="24"/>
      <c r="O15" s="24"/>
      <c r="P15" s="24"/>
      <c r="Q15" s="24"/>
      <c r="R15" s="24"/>
      <c r="S15" s="24"/>
    </row>
    <row r="16" spans="1:26" ht="15" customHeight="1" x14ac:dyDescent="0.25">
      <c r="A16" s="24"/>
      <c r="B16" s="24"/>
      <c r="C16" s="24"/>
      <c r="D16" s="24"/>
      <c r="E16" s="24"/>
      <c r="F16" s="24"/>
      <c r="G16" s="24"/>
      <c r="H16" s="24"/>
      <c r="I16" s="24"/>
      <c r="J16" s="24"/>
      <c r="K16" s="24"/>
      <c r="L16" s="24"/>
      <c r="M16" s="24"/>
      <c r="N16" s="24"/>
      <c r="O16" s="24"/>
      <c r="P16" s="24"/>
      <c r="Q16" s="24"/>
      <c r="R16" s="24"/>
      <c r="S16" s="24"/>
    </row>
    <row r="17" spans="1:19" ht="15" customHeight="1" x14ac:dyDescent="0.25">
      <c r="A17" s="24"/>
      <c r="B17" s="24"/>
      <c r="C17" s="24"/>
      <c r="D17" s="24"/>
      <c r="E17" s="24"/>
      <c r="F17" s="24"/>
      <c r="G17" s="24"/>
      <c r="H17" s="24"/>
      <c r="I17" s="24"/>
      <c r="J17" s="24"/>
      <c r="K17" s="24"/>
      <c r="L17" s="24"/>
      <c r="M17" s="24"/>
      <c r="N17" s="24"/>
      <c r="O17" s="24"/>
      <c r="P17" s="24"/>
      <c r="Q17" s="24"/>
      <c r="R17" s="24"/>
      <c r="S17" s="24"/>
    </row>
    <row r="18" spans="1:19" ht="15" customHeight="1" x14ac:dyDescent="0.25">
      <c r="A18" s="24"/>
      <c r="B18" s="24"/>
      <c r="C18" s="24"/>
      <c r="D18" s="24"/>
      <c r="E18" s="24"/>
      <c r="F18" s="24"/>
      <c r="G18" s="24"/>
      <c r="H18" s="24"/>
      <c r="I18" s="24"/>
      <c r="J18" s="24"/>
      <c r="K18" s="24"/>
      <c r="L18" s="24"/>
      <c r="M18" s="24"/>
      <c r="N18" s="24"/>
      <c r="O18" s="24"/>
      <c r="P18" s="24"/>
      <c r="Q18" s="24"/>
      <c r="R18" s="24"/>
      <c r="S18" s="24"/>
    </row>
    <row r="19" spans="1:19" ht="15" customHeight="1" x14ac:dyDescent="0.25">
      <c r="A19" s="24"/>
      <c r="B19" s="24"/>
      <c r="C19" s="24"/>
      <c r="D19" s="24"/>
      <c r="E19" s="24"/>
      <c r="F19" s="24"/>
      <c r="G19" s="24"/>
      <c r="H19" s="24"/>
      <c r="I19" s="24"/>
      <c r="J19" s="24"/>
      <c r="K19" s="24"/>
      <c r="L19" s="24"/>
      <c r="M19" s="24"/>
      <c r="N19" s="24"/>
      <c r="O19" s="24"/>
      <c r="P19" s="24"/>
      <c r="Q19" s="24"/>
      <c r="R19" s="24"/>
      <c r="S19" s="24"/>
    </row>
    <row r="20" spans="1:19" ht="15" customHeight="1" x14ac:dyDescent="0.25">
      <c r="A20" s="24"/>
      <c r="B20" s="24"/>
      <c r="C20" s="24"/>
      <c r="D20" s="24"/>
      <c r="E20" s="24"/>
      <c r="F20" s="24"/>
      <c r="G20" s="24"/>
      <c r="H20" s="24"/>
      <c r="I20" s="24"/>
      <c r="J20" s="24"/>
      <c r="K20" s="24"/>
      <c r="L20" s="24"/>
      <c r="M20" s="24"/>
      <c r="N20" s="24"/>
      <c r="O20" s="24"/>
      <c r="P20" s="24"/>
      <c r="Q20" s="24"/>
      <c r="R20" s="24"/>
      <c r="S20" s="24"/>
    </row>
    <row r="21" spans="1:19" ht="15" customHeight="1" x14ac:dyDescent="0.25">
      <c r="A21" s="24"/>
      <c r="B21" s="24"/>
      <c r="C21" s="24"/>
      <c r="D21" s="24"/>
      <c r="E21" s="24"/>
      <c r="F21" s="24"/>
      <c r="G21" s="24"/>
      <c r="H21" s="24"/>
      <c r="I21" s="24"/>
      <c r="J21" s="24"/>
      <c r="K21" s="24"/>
      <c r="L21" s="24"/>
      <c r="M21" s="24"/>
      <c r="N21" s="24"/>
      <c r="O21" s="24"/>
      <c r="P21" s="24"/>
      <c r="Q21" s="24"/>
      <c r="R21" s="24"/>
      <c r="S21" s="24"/>
    </row>
    <row r="22" spans="1:19" ht="15" customHeight="1" x14ac:dyDescent="0.25">
      <c r="A22" s="24"/>
      <c r="B22" s="24"/>
      <c r="C22" s="24"/>
      <c r="D22" s="24"/>
      <c r="E22" s="24"/>
      <c r="F22" s="24"/>
      <c r="G22" s="24"/>
      <c r="H22" s="24"/>
      <c r="I22" s="24"/>
      <c r="J22" s="24"/>
      <c r="K22" s="24"/>
      <c r="L22" s="24"/>
      <c r="M22" s="24"/>
      <c r="N22" s="24"/>
      <c r="O22" s="24"/>
      <c r="P22" s="24"/>
      <c r="Q22" s="24"/>
      <c r="R22" s="24"/>
      <c r="S22" s="24"/>
    </row>
    <row r="23" spans="1:19" ht="15" customHeight="1" x14ac:dyDescent="0.25">
      <c r="A23" s="24"/>
      <c r="B23" s="24"/>
      <c r="C23" s="24"/>
      <c r="D23" s="24"/>
      <c r="E23" s="24"/>
      <c r="F23" s="24"/>
      <c r="G23" s="24"/>
      <c r="H23" s="24"/>
      <c r="I23" s="24"/>
      <c r="J23" s="24"/>
      <c r="K23" s="24"/>
      <c r="L23" s="24"/>
      <c r="M23" s="24"/>
      <c r="N23" s="24"/>
      <c r="O23" s="24"/>
      <c r="P23" s="24"/>
      <c r="Q23" s="24"/>
      <c r="R23" s="24"/>
      <c r="S23" s="24"/>
    </row>
    <row r="24" spans="1:19" ht="15" customHeight="1" x14ac:dyDescent="0.25">
      <c r="A24" s="24"/>
      <c r="B24" s="24"/>
      <c r="C24" s="24"/>
      <c r="D24" s="24"/>
      <c r="E24" s="24"/>
      <c r="F24" s="24"/>
      <c r="G24" s="24"/>
      <c r="H24" s="24"/>
      <c r="I24" s="24"/>
      <c r="J24" s="24"/>
      <c r="K24" s="24"/>
      <c r="L24" s="24"/>
      <c r="M24" s="24"/>
      <c r="N24" s="24"/>
      <c r="O24" s="24"/>
      <c r="P24" s="24"/>
      <c r="Q24" s="24"/>
      <c r="R24" s="24"/>
      <c r="S24" s="24"/>
    </row>
    <row r="25" spans="1:19" ht="15" customHeight="1" x14ac:dyDescent="0.25">
      <c r="A25" s="24"/>
      <c r="B25" s="24"/>
      <c r="C25" s="24"/>
      <c r="D25" s="24"/>
      <c r="E25" s="24"/>
      <c r="F25" s="24"/>
      <c r="G25" s="24"/>
      <c r="H25" s="24"/>
      <c r="I25" s="24"/>
      <c r="J25" s="24"/>
      <c r="K25" s="24"/>
      <c r="L25" s="24"/>
      <c r="M25" s="24"/>
      <c r="N25" s="24"/>
      <c r="O25" s="24"/>
      <c r="P25" s="24"/>
      <c r="Q25" s="24"/>
      <c r="R25" s="24"/>
      <c r="S25" s="24"/>
    </row>
    <row r="26" spans="1:19" ht="15" customHeight="1" x14ac:dyDescent="0.25">
      <c r="A26" s="24"/>
      <c r="B26" s="24"/>
      <c r="C26" s="24"/>
      <c r="D26" s="24"/>
      <c r="E26" s="24"/>
      <c r="F26" s="24"/>
      <c r="G26" s="24"/>
      <c r="H26" s="24"/>
      <c r="I26" s="24"/>
      <c r="J26" s="24"/>
      <c r="K26" s="24"/>
      <c r="L26" s="24"/>
      <c r="M26" s="24"/>
      <c r="N26" s="24"/>
      <c r="O26" s="24"/>
      <c r="P26" s="24"/>
      <c r="Q26" s="24"/>
      <c r="R26" s="24"/>
      <c r="S26" s="24"/>
    </row>
    <row r="27" spans="1:19" ht="15" customHeight="1" x14ac:dyDescent="0.25">
      <c r="A27" s="24"/>
      <c r="B27" s="24"/>
      <c r="C27" s="24"/>
      <c r="D27" s="24"/>
      <c r="E27" s="24"/>
      <c r="F27" s="24"/>
      <c r="G27" s="24"/>
      <c r="H27" s="24"/>
      <c r="I27" s="24"/>
      <c r="J27" s="24"/>
      <c r="K27" s="24"/>
      <c r="L27" s="24"/>
      <c r="M27" s="24"/>
      <c r="N27" s="24"/>
      <c r="O27" s="24"/>
      <c r="P27" s="24"/>
      <c r="Q27" s="24"/>
      <c r="R27" s="24"/>
      <c r="S27" s="24"/>
    </row>
    <row r="28" spans="1:19" ht="15" customHeight="1" x14ac:dyDescent="0.25">
      <c r="A28" s="24"/>
      <c r="B28" s="24"/>
      <c r="C28" s="24"/>
      <c r="D28" s="24"/>
      <c r="E28" s="24"/>
      <c r="F28" s="24"/>
      <c r="G28" s="24"/>
      <c r="H28" s="24"/>
      <c r="I28" s="24"/>
      <c r="J28" s="24"/>
      <c r="K28" s="24"/>
      <c r="L28" s="24"/>
      <c r="M28" s="24"/>
      <c r="N28" s="24"/>
      <c r="O28" s="24"/>
      <c r="P28" s="24"/>
      <c r="Q28" s="24"/>
      <c r="R28" s="24"/>
      <c r="S28" s="24"/>
    </row>
    <row r="29" spans="1:19" ht="15" customHeight="1" x14ac:dyDescent="0.25">
      <c r="A29" s="24"/>
      <c r="B29" s="24"/>
      <c r="C29" s="24"/>
      <c r="D29" s="24"/>
      <c r="E29" s="24"/>
      <c r="F29" s="24"/>
      <c r="G29" s="24"/>
      <c r="H29" s="24"/>
      <c r="I29" s="24"/>
      <c r="J29" s="24"/>
      <c r="K29" s="24"/>
      <c r="L29" s="24"/>
      <c r="M29" s="24"/>
      <c r="N29" s="24"/>
      <c r="O29" s="24"/>
      <c r="P29" s="24"/>
      <c r="Q29" s="24"/>
      <c r="R29" s="24"/>
      <c r="S29" s="24"/>
    </row>
    <row r="30" spans="1:19" ht="15" customHeight="1" x14ac:dyDescent="0.25">
      <c r="A30" s="24"/>
      <c r="B30" s="24"/>
      <c r="C30" s="24"/>
      <c r="D30" s="24"/>
      <c r="E30" s="24"/>
      <c r="F30" s="24"/>
      <c r="G30" s="24"/>
      <c r="H30" s="24"/>
      <c r="I30" s="24"/>
      <c r="J30" s="24"/>
      <c r="K30" s="24"/>
      <c r="L30" s="24"/>
      <c r="M30" s="24"/>
      <c r="N30" s="24"/>
      <c r="O30" s="24"/>
      <c r="P30" s="24"/>
      <c r="Q30" s="24"/>
      <c r="R30" s="24"/>
      <c r="S30" s="24"/>
    </row>
  </sheetData>
  <mergeCells count="2">
    <mergeCell ref="A1:S3"/>
    <mergeCell ref="A4:S30"/>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Clean Dataset</vt:lpstr>
      <vt:lpstr>Summary 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Zainab Al-Harbi</cp:lastModifiedBy>
  <dcterms:created xsi:type="dcterms:W3CDTF">2026-06-08T05:44:09Z</dcterms:created>
  <dcterms:modified xsi:type="dcterms:W3CDTF">2026-06-16T00:24:51Z</dcterms:modified>
</cp:coreProperties>
</file>